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개요" state="visible" r:id="rId4"/>
    <sheet sheetId="2" name="본별 항타기록" state="visible" r:id="rId5"/>
    <sheet sheetId="3" name="수량·금액 정산" state="visible" r:id="rId6"/>
    <sheet sheetId="4" name="관급자재" state="visible" r:id="rId7"/>
    <sheet sheetId="5" name="증빙·검토의견" state="visible" r:id="rId8"/>
  </sheets>
  <definedNames>
    <definedName name="_xlnm.Print_Area" localSheetId="0">'개요'!$A1:$B27</definedName>
    <definedName name="_xlnm.Print_Area" localSheetId="1">'본별 항타기록'!$A1:$N8</definedName>
    <definedName name="_xlnm.Print_Titles" localSheetId="1">'본별 항타기록'!$4:$4</definedName>
    <definedName name="_xlnm.Print_Area" localSheetId="2">'수량·금액 정산'!$A1:$I20</definedName>
    <definedName name="_xlnm.Print_Area" localSheetId="3">'관급자재'!$A1:$C16</definedName>
    <definedName name="_xlnm.Print_Area" localSheetId="4">'증빙·검토의견'!$A1:$E36</definedName>
  </definedNames>
  <calcPr calcId="171027"/>
</workbook>
</file>

<file path=xl/sharedStrings.xml><?xml version="1.0" encoding="utf-8"?>
<sst xmlns="http://schemas.openxmlformats.org/spreadsheetml/2006/main" count="240" uniqueCount="129">
  <si>
    <t>파일(말뚝)공사 정산 검토서</t>
  </si>
  <si>
    <t>PHC φ500 A종  ·  작성 2026. 9. 26.</t>
  </si>
  <si>
    <t>1. 공사 개요</t>
  </si>
  <si>
    <t>공사명</t>
  </si>
  <si>
    <t/>
  </si>
  <si>
    <t>발주기관</t>
  </si>
  <si>
    <t>계약상대자</t>
  </si>
  <si>
    <t>파일 시공업체</t>
  </si>
  <si>
    <t>파일 규격</t>
  </si>
  <si>
    <t>PHC φ500 A종</t>
  </si>
  <si>
    <t>공법</t>
  </si>
  <si>
    <t>SIP(매입말뚝)</t>
  </si>
  <si>
    <t>검토 일자</t>
  </si>
  <si>
    <t>작성자(감독)</t>
  </si>
  <si>
    <t>2. 정산 기준</t>
  </si>
  <si>
    <t>두부정리 여유 인정 길이(m)</t>
  </si>
  <si>
    <t>파일 자재 조달 구분(관급/사급)</t>
  </si>
  <si>
    <t>관급</t>
  </si>
  <si>
    <t>자재 인정 길이 = MIN(반입길이, 근입깊이 + 두부정리 여유). 노란 칸은 입력값, 흰 칸은 자동 계산입니다.</t>
  </si>
  <si>
    <t>3. 정산 요약</t>
  </si>
  <si>
    <t>시공 본수(본)</t>
  </si>
  <si>
    <t>근입 길이 계(m)</t>
  </si>
  <si>
    <t>설계 근입 길이(m)</t>
  </si>
  <si>
    <t>자재 공제 대상(m)</t>
  </si>
  <si>
    <t>직접공사비 증감(원)</t>
  </si>
  <si>
    <t>제경비(원)</t>
  </si>
  <si>
    <t>부가가치세(원)</t>
  </si>
  <si>
    <t>정산 증감 합계(원)</t>
  </si>
  <si>
    <t>본별 항타기록 집계</t>
  </si>
  <si>
    <t>두부정리 여유 0.5 m 기준 · 단위 m (최종관입량 mm)</t>
  </si>
  <si>
    <t>말뚝번호</t>
  </si>
  <si>
    <t>설계길이</t>
  </si>
  <si>
    <t xml:space="preserve">천공
토사</t>
  </si>
  <si>
    <t xml:space="preserve">천공
풍화암</t>
  </si>
  <si>
    <t xml:space="preserve">천공
연암↑</t>
  </si>
  <si>
    <t>천공 계</t>
  </si>
  <si>
    <t>근입깊이</t>
  </si>
  <si>
    <t>반입길이</t>
  </si>
  <si>
    <t>절단길이</t>
  </si>
  <si>
    <t>자재인정</t>
  </si>
  <si>
    <t>자재공제</t>
  </si>
  <si>
    <t>이음</t>
  </si>
  <si>
    <t xml:space="preserve">최종
관입량</t>
  </si>
  <si>
    <t>판정</t>
  </si>
  <si>
    <t>계 (입력 없음)</t>
  </si>
  <si>
    <t>절단길이 = 반입길이 − 근입깊이 · 자재인정 = MIN(반입길이, 근입깊이 + 두부정리 여유) · 자재공제 = 반입길이 − 자재인정</t>
  </si>
  <si>
    <t>판정: 여유 초과·반입&lt;근입은 붉은 글씨로 표시됩니다. 노란 칸은 입력값, 흰 칸은 자동 계산입니다.</t>
  </si>
  <si>
    <t>항목별 수량 대비 및 금액 정산</t>
  </si>
  <si>
    <t>파일 자재 관급(금액 정산 제외) · 금액 단위 원</t>
  </si>
  <si>
    <t>항목</t>
  </si>
  <si>
    <t>단위</t>
  </si>
  <si>
    <t>설계 수량</t>
  </si>
  <si>
    <t>실시공 수량</t>
  </si>
  <si>
    <t>증감</t>
  </si>
  <si>
    <t>적용 단가</t>
  </si>
  <si>
    <t>단가 구분</t>
  </si>
  <si>
    <t>증감 금액</t>
  </si>
  <si>
    <t>증감 사유</t>
  </si>
  <si>
    <t>천공(토사)</t>
  </si>
  <si>
    <t>m</t>
  </si>
  <si>
    <t>계약단가</t>
  </si>
  <si>
    <t>천공(풍화암)</t>
  </si>
  <si>
    <t>천공(연암 이상)</t>
  </si>
  <si>
    <t>파일 근입</t>
  </si>
  <si>
    <t>PHC 파일 자재</t>
  </si>
  <si>
    <t>두부정리</t>
  </si>
  <si>
    <t>개소</t>
  </si>
  <si>
    <t>말뚝 이음</t>
  </si>
  <si>
    <t>보강말뚝</t>
  </si>
  <si>
    <t>본</t>
  </si>
  <si>
    <t>동재하시험</t>
  </si>
  <si>
    <t>회</t>
  </si>
  <si>
    <t>직접공사비 소계</t>
  </si>
  <si>
    <t>제경비</t>
  </si>
  <si>
    <t>%</t>
  </si>
  <si>
    <t>부가가치세</t>
  </si>
  <si>
    <t>정산 증감 합계</t>
  </si>
  <si>
    <t>기존 비목의 수량 증감은 계약단가, 설계에 없던 비목은 설계변경 당시 산정단가 × 낙찰률 범위에서 협의단가를 적용합니다.</t>
  </si>
  <si>
    <t>실시공 수량(흰 칸)은 본별 항타기록 시트에서 자동 집계됩니다. 보강말뚝·동재하시험은 직접 입력합니다.</t>
  </si>
  <si>
    <t>관급 PHC 파일 수불 대사</t>
  </si>
  <si>
    <t>구분</t>
  </si>
  <si>
    <t>값</t>
  </si>
  <si>
    <t>규격</t>
  </si>
  <si>
    <t>납품 본수</t>
  </si>
  <si>
    <t>본당 길이</t>
  </si>
  <si>
    <t>납품 길이</t>
  </si>
  <si>
    <t>현장 반입(사용) 길이</t>
  </si>
  <si>
    <t>인정 사용 길이</t>
  </si>
  <si>
    <t>여유 초과 절단(공제 대상)</t>
  </si>
  <si>
    <t>미사용 본수</t>
  </si>
  <si>
    <t>정산 잔량</t>
  </si>
  <si>
    <t>잔량 처리 방법</t>
  </si>
  <si>
    <t>반납</t>
  </si>
  <si>
    <t>납품 수량은 납품검사조서, 사용 수량은 반입검수부·항타기록부와 대사합니다. 계약상대자 귀책 파손분은 변상 또는 공제 대상입니다.</t>
  </si>
  <si>
    <t>증빙서류 확인 및 검토 의견</t>
  </si>
  <si>
    <t>1. 증빙서류 확인</t>
  </si>
  <si>
    <t>번호</t>
  </si>
  <si>
    <t>증빙서류</t>
  </si>
  <si>
    <t>확인</t>
  </si>
  <si>
    <t>시항타 결과 보고서 및 실정보고 승인 공문</t>
  </si>
  <si>
    <t>미확인</t>
  </si>
  <si>
    <t>지반조사 보고서(주상도)와 실제 굴착 지층 비교</t>
  </si>
  <si>
    <t>본별 항타기록부(감독자 확인 서명)</t>
  </si>
  <si>
    <t>자재 반입검수부 및 품질시험성적서</t>
  </si>
  <si>
    <t>관급자재 납품검사조서 및 수불부</t>
  </si>
  <si>
    <t>두부정리 측량 기록(절단 전후 레벨)</t>
  </si>
  <si>
    <t>용접 이음 검사 기록</t>
  </si>
  <si>
    <t>동재하·정재하 시험성적서</t>
  </si>
  <si>
    <t>시공 사진(천공깊이, 근입, 두부정리 전후)</t>
  </si>
  <si>
    <t>말뚝 위치 측량 성과 및 보강말뚝 발생 사유서</t>
  </si>
  <si>
    <t>절단 잔재 폐기물 처리 확인서</t>
  </si>
  <si>
    <t>설계변경 수량산출서·내역서</t>
  </si>
  <si>
    <t>2. 검토 의견</t>
  </si>
  <si>
    <t>검토 항목</t>
  </si>
  <si>
    <t>검토 결과</t>
  </si>
  <si>
    <t>정산 기준의 사전 확정 여부</t>
  </si>
  <si>
    <t>천공·근입 수량의 근거</t>
  </si>
  <si>
    <t>자재 인정 길이(여유 초과분 공제)</t>
  </si>
  <si>
    <t>단가 적용(계약단가·협의단가 구분)</t>
  </si>
  <si>
    <t>관급자재 잔량 처리</t>
  </si>
  <si>
    <t>보강말뚝 귀책 판단</t>
  </si>
  <si>
    <t>3. 종합 의견 및 조치사항</t>
  </si>
  <si>
    <t>4. 확인</t>
  </si>
  <si>
    <t>소속</t>
  </si>
  <si>
    <t>직급</t>
  </si>
  <si>
    <t>성명(서명)</t>
  </si>
  <si>
    <t>작성(감독)</t>
  </si>
  <si>
    <t>검토</t>
  </si>
  <si>
    <t>계약상대자 현장대리인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</si>
</sst>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-#,##0;0"/>
    <numFmt numFmtId="165" formatCode="+#,##0.00;-#,##0.00;0.00"/>
    <numFmt numFmtId="166" formatCode="+#,##0;-#,##0;0"/>
  </numFmts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맑은 고딕"/>
    </font>
    <font>
      <color rgb="FF787774"/>
      <sz val="9"/>
      <name val="맑은 고딕"/>
    </font>
    <font>
      <b/>
      <color rgb="FF37352F"/>
      <sz val="10"/>
      <name val="맑은 고딕"/>
    </font>
    <font>
      <color rgb="FF37352F"/>
      <sz val="10"/>
      <name val="맑은 고딕"/>
    </font>
    <font>
      <color rgb="FF337EA9"/>
      <sz val="10"/>
      <name val="맑은 고딕"/>
    </font>
    <font>
      <color rgb="FF9B9A97"/>
      <sz val="8"/>
      <name val="맑은 고딕"/>
    </font>
    <font>
      <b/>
      <color rgb="FFD9730D"/>
      <sz val="10"/>
      <name val="맑은 고딕"/>
    </font>
    <font>
      <color rgb="FFD44C47"/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37352F"/>
      </patternFill>
    </fill>
    <fill>
      <patternFill patternType="solid">
        <fgColor rgb="FFF1F0ED"/>
      </patternFill>
    </fill>
    <fill>
      <patternFill patternType="solid">
        <fgColor rgb="FFF7F6F3"/>
      </patternFill>
    </fill>
    <fill>
      <patternFill patternType="solid">
        <fgColor rgb="FFFBF3DB"/>
      </patternFill>
    </fill>
  </fills>
  <borders count="4">
    <border>
      <left/>
      <right/>
      <top/>
      <bottom/>
      <diagonal/>
    </border>
    <border>
      <left style="medium">
        <color rgb="FFD9730D"/>
      </left>
      <right/>
      <top/>
      <bottom/>
      <diagonal/>
    </border>
    <border>
      <left style="thin">
        <color rgb="FFE3E2DE"/>
      </left>
      <right style="thin">
        <color rgb="FFE3E2DE"/>
      </right>
      <top style="thin">
        <color rgb="FFE3E2DE"/>
      </top>
      <bottom style="thin">
        <color rgb="FFE3E2DE"/>
      </bottom>
      <diagonal/>
    </border>
    <border>
      <left style="thin">
        <color rgb="FFE3E2DE"/>
      </left>
      <right style="thin">
        <color rgb="FFE3E2DE"/>
      </right>
      <top style="thin">
        <color rgb="FFC7C5C0"/>
      </top>
      <bottom style="thin">
        <color rgb="FFC7C5C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vertical="center" indent="1"/>
    </xf>
    <xf numFmtId="0" fontId="3" fillId="3" borderId="1" xfId="0" applyFont="1" applyFill="1" applyBorder="1" applyAlignment="1">
      <alignment vertical="center" indent="1"/>
    </xf>
    <xf numFmtId="0" fontId="4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4" fontId="5" fillId="5" borderId="2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3" fontId="4" fillId="0" borderId="2" xfId="0" applyNumberFormat="1" applyFont="1" applyBorder="1" applyAlignment="1">
      <alignment horizontal="right" vertical="center" wrapText="1"/>
    </xf>
    <xf numFmtId="4" fontId="4" fillId="0" borderId="2" xfId="0" applyNumberFormat="1" applyFont="1" applyBorder="1" applyAlignment="1">
      <alignment horizontal="right" vertical="center" wrapText="1"/>
    </xf>
    <xf numFmtId="164" fontId="4" fillId="0" borderId="2" xfId="0" applyNumberFormat="1" applyFont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164" fontId="7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center" vertical="center" wrapText="1"/>
    </xf>
    <xf numFmtId="4" fontId="7" fillId="4" borderId="3" xfId="0" applyNumberFormat="1" applyFont="1" applyFill="1" applyBorder="1" applyAlignment="1">
      <alignment horizontal="right" vertical="center" wrapText="1"/>
    </xf>
    <xf numFmtId="3" fontId="7" fillId="4" borderId="3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right" vertical="center" wrapText="1"/>
    </xf>
    <xf numFmtId="164" fontId="5" fillId="5" borderId="2" xfId="0" applyNumberFormat="1" applyFont="1" applyFill="1" applyBorder="1" applyAlignment="1">
      <alignment horizontal="right" vertical="center" wrapText="1"/>
    </xf>
    <xf numFmtId="0" fontId="5" fillId="5" borderId="2" xfId="0" applyFont="1" applyFill="1" applyBorder="1" applyAlignment="1">
      <alignment horizontal="center" vertical="center" wrapText="1"/>
    </xf>
    <xf numFmtId="166" fontId="4" fillId="0" borderId="2" xfId="0" applyNumberFormat="1" applyFont="1" applyBorder="1" applyAlignment="1">
      <alignment horizontal="right" vertical="center" wrapText="1"/>
    </xf>
    <xf numFmtId="166" fontId="4" fillId="0" borderId="2" xfId="0" applyNumberFormat="1" applyFont="1" applyBorder="1" applyAlignment="1">
      <alignment horizontal="center" vertical="center" wrapText="1"/>
    </xf>
    <xf numFmtId="166" fontId="7" fillId="4" borderId="3" xfId="0" applyNumberFormat="1" applyFont="1" applyFill="1" applyBorder="1" applyAlignment="1">
      <alignment horizontal="right" vertical="center"/>
    </xf>
    <xf numFmtId="2" fontId="5" fillId="5" borderId="2" xfId="0" applyNumberFormat="1" applyFont="1" applyFill="1" applyBorder="1" applyAlignment="1">
      <alignment horizontal="right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3" fontId="5" fillId="5" borderId="2" xfId="0" applyNumberFormat="1" applyFont="1" applyFill="1" applyBorder="1" applyAlignment="1">
      <alignment horizontal="right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30D"/>
    <pageSetUpPr fitToPage="1"/>
  </sheetPr>
  <dimension ref="A1:B27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46" customWidth="1"/>
  </cols>
  <sheetData>
    <row r="1" ht="30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2"/>
    </row>
    <row r="4" ht="22" customHeight="1" spans="1:2" x14ac:dyDescent="0.25">
      <c r="A4" s="3" t="s">
        <v>2</v>
      </c>
      <c r="B4" s="3"/>
    </row>
    <row r="5" spans="1:2" x14ac:dyDescent="0.25">
      <c r="A5" s="4" t="s">
        <v>3</v>
      </c>
      <c r="B5" s="5" t="s">
        <v>4</v>
      </c>
    </row>
    <row r="6" spans="1:2" x14ac:dyDescent="0.25">
      <c r="A6" s="4" t="s">
        <v>5</v>
      </c>
      <c r="B6" s="5" t="s">
        <v>4</v>
      </c>
    </row>
    <row r="7" spans="1:2" x14ac:dyDescent="0.25">
      <c r="A7" s="4" t="s">
        <v>6</v>
      </c>
      <c r="B7" s="5" t="s">
        <v>4</v>
      </c>
    </row>
    <row r="8" spans="1:2" x14ac:dyDescent="0.25">
      <c r="A8" s="4" t="s">
        <v>7</v>
      </c>
      <c r="B8" s="5" t="s">
        <v>4</v>
      </c>
    </row>
    <row r="9" spans="1:2" x14ac:dyDescent="0.25">
      <c r="A9" s="4" t="s">
        <v>8</v>
      </c>
      <c r="B9" s="5" t="s">
        <v>9</v>
      </c>
    </row>
    <row r="10" spans="1:2" x14ac:dyDescent="0.25">
      <c r="A10" s="4" t="s">
        <v>10</v>
      </c>
      <c r="B10" s="5" t="s">
        <v>11</v>
      </c>
    </row>
    <row r="11" spans="1:2" x14ac:dyDescent="0.25">
      <c r="A11" s="4" t="s">
        <v>12</v>
      </c>
      <c r="B11" s="5" t="s">
        <v>4</v>
      </c>
    </row>
    <row r="12" spans="1:2" x14ac:dyDescent="0.25">
      <c r="A12" s="4" t="s">
        <v>13</v>
      </c>
      <c r="B12" s="5" t="s">
        <v>4</v>
      </c>
    </row>
    <row r="14" ht="22" customHeight="1" spans="1:2" x14ac:dyDescent="0.25">
      <c r="A14" s="3" t="s">
        <v>14</v>
      </c>
      <c r="B14" s="3"/>
    </row>
    <row r="15" spans="1:2" x14ac:dyDescent="0.25">
      <c r="A15" s="4" t="s">
        <v>15</v>
      </c>
      <c r="B15" s="6">
        <v>0.5</v>
      </c>
    </row>
    <row r="16" spans="1:2" x14ac:dyDescent="0.25">
      <c r="A16" s="4" t="s">
        <v>16</v>
      </c>
      <c r="B16" s="5" t="s">
        <v>17</v>
      </c>
    </row>
    <row r="17" spans="1:2" x14ac:dyDescent="0.25">
      <c r="A17" s="7" t="s">
        <v>18</v>
      </c>
      <c r="B17" s="7"/>
    </row>
    <row r="19" ht="22" customHeight="1" spans="1:2" x14ac:dyDescent="0.25">
      <c r="A19" s="3" t="s">
        <v>19</v>
      </c>
      <c r="B19" s="3"/>
    </row>
    <row r="20" spans="1:2" x14ac:dyDescent="0.25">
      <c r="A20" s="4" t="s">
        <v>20</v>
      </c>
      <c r="B20" s="8">
        <v>0</v>
      </c>
    </row>
    <row r="21" spans="1:2" x14ac:dyDescent="0.25">
      <c r="A21" s="4" t="s">
        <v>21</v>
      </c>
      <c r="B21" s="9">
        <v>0</v>
      </c>
    </row>
    <row r="22" spans="1:2" x14ac:dyDescent="0.25">
      <c r="A22" s="4" t="s">
        <v>22</v>
      </c>
      <c r="B22" s="9">
        <f>'수량·금액 정산'!C8</f>
        <v>0</v>
      </c>
    </row>
    <row r="23" spans="1:2" x14ac:dyDescent="0.25">
      <c r="A23" s="4" t="s">
        <v>23</v>
      </c>
      <c r="B23" s="9">
        <v>0</v>
      </c>
    </row>
    <row r="24" spans="1:2" x14ac:dyDescent="0.25">
      <c r="A24" s="4" t="s">
        <v>24</v>
      </c>
      <c r="B24" s="10">
        <f>'수량·금액 정산'!H14</f>
        <v>0</v>
      </c>
    </row>
    <row r="25" spans="1:2" x14ac:dyDescent="0.25">
      <c r="A25" s="4" t="s">
        <v>25</v>
      </c>
      <c r="B25" s="10">
        <f>'수량·금액 정산'!H15</f>
        <v>0</v>
      </c>
    </row>
    <row r="26" spans="1:2" x14ac:dyDescent="0.25">
      <c r="A26" s="4" t="s">
        <v>26</v>
      </c>
      <c r="B26" s="10">
        <f>'수량·금액 정산'!H16</f>
        <v>0</v>
      </c>
    </row>
    <row r="27" spans="1:2" x14ac:dyDescent="0.25">
      <c r="A27" s="11" t="s">
        <v>27</v>
      </c>
      <c r="B27" s="12">
        <f>'수량·금액 정산'!H17</f>
        <v>0</v>
      </c>
    </row>
  </sheetData>
  <mergeCells count="6">
    <mergeCell ref="A1:B1"/>
    <mergeCell ref="A2:B2"/>
    <mergeCell ref="A4:B4"/>
    <mergeCell ref="A14:B14"/>
    <mergeCell ref="A17:B17"/>
    <mergeCell ref="A19:B19"/>
  </mergeCells>
  <printOptions horizontalCentered="1"/>
  <pageMargins left="0.39" right="0.39" top="0.51" bottom="0.51" header="0.24" footer="0.24"/>
  <pageSetup paperSize="9" orientation="portrait" fitToWidth="1" fitToHeight="0"/>
  <headerFooter>
    <oddFooter>&amp;L&amp;"맑은 고딕"&amp;8개요&amp;R&amp;"맑은 고딕"&amp;8&amp;P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87774"/>
    <pageSetUpPr fitToPage="1"/>
  </sheetPr>
  <dimension ref="A1:N8"/>
  <sheetViews>
    <sheetView workbookViewId="0" showGridLines="0"/>
  </sheetViews>
  <sheetFormatPr defaultRowHeight="15" outlineLevelRow="0" outlineLevelCol="0" x14ac:dyDescent="55"/>
  <cols>
    <col min="1" max="11" width="8" customWidth="1"/>
    <col min="12" max="12" width="6" customWidth="1"/>
    <col min="14" max="14" width="10" customWidth="1"/>
  </cols>
  <sheetData>
    <row r="1" ht="30" customHeight="1" spans="1:14" x14ac:dyDescent="0.25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8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2" customHeight="1" spans="1:14" x14ac:dyDescent="0.25">
      <c r="A3" s="3" t="s">
        <v>29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34" customHeight="1" spans="1:14" x14ac:dyDescent="0.25">
      <c r="A4" s="13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3" t="s">
        <v>39</v>
      </c>
      <c r="K4" s="13" t="s">
        <v>40</v>
      </c>
      <c r="L4" s="13" t="s">
        <v>41</v>
      </c>
      <c r="M4" s="13" t="s">
        <v>42</v>
      </c>
      <c r="N4" s="13" t="s">
        <v>43</v>
      </c>
    </row>
    <row r="5" spans="1:14" x14ac:dyDescent="0.25">
      <c r="A5" s="13" t="s">
        <v>44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5">
        <v>0</v>
      </c>
      <c r="M5" s="11" t="s">
        <v>4</v>
      </c>
      <c r="N5" s="11" t="s">
        <v>4</v>
      </c>
    </row>
    <row r="7" spans="1:14" x14ac:dyDescent="0.25">
      <c r="A7" s="7" t="s">
        <v>45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x14ac:dyDescent="0.25">
      <c r="A8" s="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</sheetData>
  <mergeCells count="5">
    <mergeCell ref="A1:N1"/>
    <mergeCell ref="A2:N2"/>
    <mergeCell ref="A3:N3"/>
    <mergeCell ref="A7:N7"/>
    <mergeCell ref="A8:N8"/>
  </mergeCells>
  <printOptions horizontalCentered="1"/>
  <pageMargins left="0.39" right="0.39" top="0.51" bottom="0.51" header="0.24" footer="0.24"/>
  <pageSetup paperSize="9" orientation="portrait" fitToWidth="1" fitToHeight="0"/>
  <headerFooter>
    <oddFooter>&amp;L&amp;"맑은 고딕"&amp;8본별 항타기록&amp;R&amp;"맑은 고딕"&amp;8&amp;P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30D"/>
    <pageSetUpPr fitToPage="1"/>
  </sheetPr>
  <dimension ref="A1:I20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6" customWidth="1"/>
    <col min="3" max="5" width="10" customWidth="1"/>
    <col min="6" max="6" width="12" customWidth="1"/>
    <col min="7" max="7" width="10" customWidth="1"/>
    <col min="8" max="8" width="14" customWidth="1"/>
    <col min="9" max="9" width="22" customWidth="1"/>
  </cols>
  <sheetData>
    <row r="1" ht="30" customHeight="1" spans="1:9" x14ac:dyDescent="0.25">
      <c r="A1" s="1" t="s">
        <v>47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2" customHeight="1" spans="1:9" x14ac:dyDescent="0.25">
      <c r="A3" s="3" t="s">
        <v>48</v>
      </c>
      <c r="B3" s="3"/>
      <c r="C3" s="3"/>
      <c r="D3" s="3"/>
      <c r="E3" s="3"/>
      <c r="F3" s="3"/>
      <c r="G3" s="3"/>
      <c r="H3" s="3"/>
      <c r="I3" s="3"/>
    </row>
    <row r="4" ht="24" customHeight="1" spans="1:9" x14ac:dyDescent="0.25">
      <c r="A4" s="13" t="s">
        <v>49</v>
      </c>
      <c r="B4" s="13" t="s">
        <v>50</v>
      </c>
      <c r="C4" s="13" t="s">
        <v>51</v>
      </c>
      <c r="D4" s="13" t="s">
        <v>52</v>
      </c>
      <c r="E4" s="13" t="s">
        <v>53</v>
      </c>
      <c r="F4" s="13" t="s">
        <v>54</v>
      </c>
      <c r="G4" s="13" t="s">
        <v>55</v>
      </c>
      <c r="H4" s="13" t="s">
        <v>56</v>
      </c>
      <c r="I4" s="13" t="s">
        <v>57</v>
      </c>
    </row>
    <row r="5" spans="1:9" x14ac:dyDescent="0.25">
      <c r="A5" s="4" t="s">
        <v>58</v>
      </c>
      <c r="B5" s="16" t="s">
        <v>59</v>
      </c>
      <c r="C5" s="6">
        <v>0</v>
      </c>
      <c r="D5" s="9">
        <v>0</v>
      </c>
      <c r="E5" s="17">
        <f>ROUND(D5-C5,2)</f>
        <v>0</v>
      </c>
      <c r="F5" s="18">
        <v>0</v>
      </c>
      <c r="G5" s="19" t="s">
        <v>60</v>
      </c>
      <c r="H5" s="20">
        <f>ROUND(E5*F5,0)</f>
        <v>0</v>
      </c>
      <c r="I5" s="5" t="s">
        <v>4</v>
      </c>
    </row>
    <row r="6" spans="1:9" x14ac:dyDescent="0.25">
      <c r="A6" s="4" t="s">
        <v>61</v>
      </c>
      <c r="B6" s="16" t="s">
        <v>59</v>
      </c>
      <c r="C6" s="6">
        <v>0</v>
      </c>
      <c r="D6" s="9">
        <v>0</v>
      </c>
      <c r="E6" s="17">
        <f>ROUND(D6-C6,2)</f>
        <v>0</v>
      </c>
      <c r="F6" s="18">
        <v>0</v>
      </c>
      <c r="G6" s="19" t="s">
        <v>60</v>
      </c>
      <c r="H6" s="20">
        <f>ROUND(E6*F6,0)</f>
        <v>0</v>
      </c>
      <c r="I6" s="5" t="s">
        <v>4</v>
      </c>
    </row>
    <row r="7" spans="1:9" x14ac:dyDescent="0.25">
      <c r="A7" s="4" t="s">
        <v>62</v>
      </c>
      <c r="B7" s="16" t="s">
        <v>59</v>
      </c>
      <c r="C7" s="6">
        <v>0</v>
      </c>
      <c r="D7" s="9">
        <v>0</v>
      </c>
      <c r="E7" s="17">
        <f>ROUND(D7-C7,2)</f>
        <v>0</v>
      </c>
      <c r="F7" s="18">
        <v>0</v>
      </c>
      <c r="G7" s="19" t="s">
        <v>60</v>
      </c>
      <c r="H7" s="20">
        <f>ROUND(E7*F7,0)</f>
        <v>0</v>
      </c>
      <c r="I7" s="5" t="s">
        <v>4</v>
      </c>
    </row>
    <row r="8" spans="1:9" x14ac:dyDescent="0.25">
      <c r="A8" s="4" t="s">
        <v>63</v>
      </c>
      <c r="B8" s="16" t="s">
        <v>59</v>
      </c>
      <c r="C8" s="6">
        <v>0</v>
      </c>
      <c r="D8" s="9">
        <v>0</v>
      </c>
      <c r="E8" s="17">
        <f>ROUND(D8-C8,2)</f>
        <v>0</v>
      </c>
      <c r="F8" s="18">
        <v>0</v>
      </c>
      <c r="G8" s="19" t="s">
        <v>60</v>
      </c>
      <c r="H8" s="20">
        <f>ROUND(E8*F8,0)</f>
        <v>0</v>
      </c>
      <c r="I8" s="5" t="s">
        <v>4</v>
      </c>
    </row>
    <row r="9" spans="1:9" x14ac:dyDescent="0.25">
      <c r="A9" s="4" t="s">
        <v>64</v>
      </c>
      <c r="B9" s="16" t="s">
        <v>59</v>
      </c>
      <c r="C9" s="6">
        <v>0</v>
      </c>
      <c r="D9" s="9">
        <v>0</v>
      </c>
      <c r="E9" s="17">
        <f>ROUND(D9-C9,2)</f>
        <v>0</v>
      </c>
      <c r="F9" s="18">
        <v>0</v>
      </c>
      <c r="G9" s="19" t="s">
        <v>60</v>
      </c>
      <c r="H9" s="21" t="str">
        <f>IF('개요'!$B$16="관급","관급 제외",ROUND(E9*F9,0))</f>
        <v>관급 제외</v>
      </c>
      <c r="I9" s="5" t="s">
        <v>4</v>
      </c>
    </row>
    <row r="10" spans="1:9" x14ac:dyDescent="0.25">
      <c r="A10" s="4" t="s">
        <v>65</v>
      </c>
      <c r="B10" s="16" t="s">
        <v>66</v>
      </c>
      <c r="C10" s="6">
        <v>0</v>
      </c>
      <c r="D10" s="9">
        <v>0</v>
      </c>
      <c r="E10" s="17">
        <f>ROUND(D10-C10,2)</f>
        <v>0</v>
      </c>
      <c r="F10" s="18">
        <v>0</v>
      </c>
      <c r="G10" s="19" t="s">
        <v>60</v>
      </c>
      <c r="H10" s="20">
        <f>ROUND(E10*F10,0)</f>
        <v>0</v>
      </c>
      <c r="I10" s="5" t="s">
        <v>4</v>
      </c>
    </row>
    <row r="11" spans="1:9" x14ac:dyDescent="0.25">
      <c r="A11" s="4" t="s">
        <v>67</v>
      </c>
      <c r="B11" s="16" t="s">
        <v>66</v>
      </c>
      <c r="C11" s="6">
        <v>0</v>
      </c>
      <c r="D11" s="9">
        <v>0</v>
      </c>
      <c r="E11" s="17">
        <f>ROUND(D11-C11,2)</f>
        <v>0</v>
      </c>
      <c r="F11" s="18">
        <v>0</v>
      </c>
      <c r="G11" s="19" t="s">
        <v>60</v>
      </c>
      <c r="H11" s="20">
        <f>ROUND(E11*F11,0)</f>
        <v>0</v>
      </c>
      <c r="I11" s="5" t="s">
        <v>4</v>
      </c>
    </row>
    <row r="12" spans="1:9" x14ac:dyDescent="0.25">
      <c r="A12" s="4" t="s">
        <v>68</v>
      </c>
      <c r="B12" s="16" t="s">
        <v>69</v>
      </c>
      <c r="C12" s="6">
        <v>0</v>
      </c>
      <c r="D12" s="6">
        <v>0</v>
      </c>
      <c r="E12" s="17">
        <f>ROUND(D12-C12,2)</f>
        <v>0</v>
      </c>
      <c r="F12" s="18">
        <v>0</v>
      </c>
      <c r="G12" s="19" t="s">
        <v>60</v>
      </c>
      <c r="H12" s="20">
        <f>ROUND(E12*F12,0)</f>
        <v>0</v>
      </c>
      <c r="I12" s="5" t="s">
        <v>4</v>
      </c>
    </row>
    <row r="13" spans="1:9" x14ac:dyDescent="0.25">
      <c r="A13" s="4" t="s">
        <v>70</v>
      </c>
      <c r="B13" s="16" t="s">
        <v>71</v>
      </c>
      <c r="C13" s="6">
        <v>0</v>
      </c>
      <c r="D13" s="6">
        <v>0</v>
      </c>
      <c r="E13" s="17">
        <f>ROUND(D13-C13,2)</f>
        <v>0</v>
      </c>
      <c r="F13" s="18">
        <v>0</v>
      </c>
      <c r="G13" s="19" t="s">
        <v>60</v>
      </c>
      <c r="H13" s="20">
        <f>ROUND(E13*F13,0)</f>
        <v>0</v>
      </c>
      <c r="I13" s="5" t="s">
        <v>4</v>
      </c>
    </row>
    <row r="14" spans="1:9" x14ac:dyDescent="0.25">
      <c r="A14" s="11" t="s">
        <v>72</v>
      </c>
      <c r="B14" s="11" t="s">
        <v>4</v>
      </c>
      <c r="C14" s="11" t="s">
        <v>4</v>
      </c>
      <c r="D14" s="11" t="s">
        <v>4</v>
      </c>
      <c r="E14" s="11" t="s">
        <v>4</v>
      </c>
      <c r="F14" s="11" t="s">
        <v>4</v>
      </c>
      <c r="G14" s="11" t="s">
        <v>4</v>
      </c>
      <c r="H14" s="22">
        <f>SUM(H5:H13)</f>
        <v>0</v>
      </c>
      <c r="I14" s="11" t="s">
        <v>4</v>
      </c>
    </row>
    <row r="15" spans="1:9" x14ac:dyDescent="0.25">
      <c r="A15" s="4" t="s">
        <v>73</v>
      </c>
      <c r="B15" s="16" t="s">
        <v>74</v>
      </c>
      <c r="C15" s="23">
        <v>0</v>
      </c>
      <c r="D15" s="24" t="s">
        <v>4</v>
      </c>
      <c r="E15" s="24" t="s">
        <v>4</v>
      </c>
      <c r="F15" s="24" t="s">
        <v>4</v>
      </c>
      <c r="G15" s="24" t="s">
        <v>4</v>
      </c>
      <c r="H15" s="20">
        <f>ROUND(H14*C15/100,0)</f>
        <v>0</v>
      </c>
      <c r="I15" s="24" t="s">
        <v>4</v>
      </c>
    </row>
    <row r="16" spans="1:9" x14ac:dyDescent="0.25">
      <c r="A16" s="4" t="s">
        <v>75</v>
      </c>
      <c r="B16" s="16" t="s">
        <v>74</v>
      </c>
      <c r="C16" s="23">
        <v>10</v>
      </c>
      <c r="D16" s="24" t="s">
        <v>4</v>
      </c>
      <c r="E16" s="24" t="s">
        <v>4</v>
      </c>
      <c r="F16" s="24" t="s">
        <v>4</v>
      </c>
      <c r="G16" s="24" t="s">
        <v>4</v>
      </c>
      <c r="H16" s="20">
        <f>ROUND((H14+H15)*C16/100,0)</f>
        <v>0</v>
      </c>
      <c r="I16" s="24" t="s">
        <v>4</v>
      </c>
    </row>
    <row r="17" spans="1:9" x14ac:dyDescent="0.25">
      <c r="A17" s="11" t="s">
        <v>76</v>
      </c>
      <c r="B17" s="11" t="s">
        <v>4</v>
      </c>
      <c r="C17" s="11" t="s">
        <v>4</v>
      </c>
      <c r="D17" s="11" t="s">
        <v>4</v>
      </c>
      <c r="E17" s="11" t="s">
        <v>4</v>
      </c>
      <c r="F17" s="11" t="s">
        <v>4</v>
      </c>
      <c r="G17" s="11" t="s">
        <v>4</v>
      </c>
      <c r="H17" s="22">
        <f>H14+H15+H16</f>
        <v>0</v>
      </c>
      <c r="I17" s="11" t="s">
        <v>4</v>
      </c>
    </row>
    <row r="19" spans="1:9" x14ac:dyDescent="0.25">
      <c r="A19" s="7" t="s">
        <v>77</v>
      </c>
      <c r="B19" s="7"/>
      <c r="C19" s="7"/>
      <c r="D19" s="7"/>
      <c r="E19" s="7"/>
      <c r="F19" s="7"/>
      <c r="G19" s="7"/>
      <c r="H19" s="7"/>
      <c r="I19" s="7"/>
    </row>
    <row r="20" spans="1:9" x14ac:dyDescent="0.25">
      <c r="A20" s="7" t="s">
        <v>78</v>
      </c>
      <c r="B20" s="7"/>
      <c r="C20" s="7"/>
      <c r="D20" s="7"/>
      <c r="E20" s="7"/>
      <c r="F20" s="7"/>
      <c r="G20" s="7"/>
      <c r="H20" s="7"/>
      <c r="I20" s="7"/>
    </row>
  </sheetData>
  <mergeCells count="5">
    <mergeCell ref="A1:I1"/>
    <mergeCell ref="A2:I2"/>
    <mergeCell ref="A3:I3"/>
    <mergeCell ref="A19:I19"/>
    <mergeCell ref="A20:I20"/>
  </mergeCells>
  <printOptions horizontalCentered="1"/>
  <pageMargins left="0.39" right="0.39" top="0.51" bottom="0.51" header="0.24" footer="0.24"/>
  <pageSetup paperSize="9" orientation="portrait" fitToWidth="1" fitToHeight="0"/>
  <headerFooter>
    <oddFooter>&amp;L&amp;"맑은 고딕"&amp;8수량·금액 정산&amp;R&amp;"맑은 고딕"&amp;8&amp;P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87774"/>
    <pageSetUpPr fitToPage="1"/>
  </sheetPr>
  <dimension ref="A1:C16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6" customWidth="1"/>
    <col min="3" max="3" width="8" customWidth="1"/>
  </cols>
  <sheetData>
    <row r="1" ht="30" customHeight="1" spans="1:3" x14ac:dyDescent="0.25">
      <c r="A1" s="1" t="s">
        <v>79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ht="22" customHeight="1" spans="1:3" x14ac:dyDescent="0.25">
      <c r="A4" s="13" t="s">
        <v>80</v>
      </c>
      <c r="B4" s="13" t="s">
        <v>81</v>
      </c>
      <c r="C4" s="13" t="s">
        <v>50</v>
      </c>
    </row>
    <row r="5" spans="1:3" x14ac:dyDescent="0.25">
      <c r="A5" s="4" t="s">
        <v>82</v>
      </c>
      <c r="B5" s="25" t="s">
        <v>9</v>
      </c>
      <c r="C5" s="16" t="s">
        <v>4</v>
      </c>
    </row>
    <row r="6" spans="1:3" x14ac:dyDescent="0.25">
      <c r="A6" s="4" t="s">
        <v>83</v>
      </c>
      <c r="B6" s="26">
        <v>0</v>
      </c>
      <c r="C6" s="16" t="s">
        <v>69</v>
      </c>
    </row>
    <row r="7" spans="1:3" x14ac:dyDescent="0.25">
      <c r="A7" s="4" t="s">
        <v>84</v>
      </c>
      <c r="B7" s="6">
        <v>0</v>
      </c>
      <c r="C7" s="16" t="s">
        <v>59</v>
      </c>
    </row>
    <row r="8" spans="1:3" x14ac:dyDescent="0.25">
      <c r="A8" s="4" t="s">
        <v>85</v>
      </c>
      <c r="B8" s="9">
        <f>B6*B7</f>
        <v>0</v>
      </c>
      <c r="C8" s="16" t="s">
        <v>59</v>
      </c>
    </row>
    <row r="9" spans="1:3" x14ac:dyDescent="0.25">
      <c r="A9" s="4" t="s">
        <v>86</v>
      </c>
      <c r="B9" s="9">
        <v>0</v>
      </c>
      <c r="C9" s="16" t="s">
        <v>59</v>
      </c>
    </row>
    <row r="10" spans="1:3" x14ac:dyDescent="0.25">
      <c r="A10" s="4" t="s">
        <v>87</v>
      </c>
      <c r="B10" s="9">
        <v>0</v>
      </c>
      <c r="C10" s="16" t="s">
        <v>59</v>
      </c>
    </row>
    <row r="11" spans="1:3" x14ac:dyDescent="0.25">
      <c r="A11" s="4" t="s">
        <v>88</v>
      </c>
      <c r="B11" s="9">
        <v>0</v>
      </c>
      <c r="C11" s="16" t="s">
        <v>59</v>
      </c>
    </row>
    <row r="12" spans="1:3" x14ac:dyDescent="0.25">
      <c r="A12" s="4" t="s">
        <v>89</v>
      </c>
      <c r="B12" s="8">
        <f>MAX(0,B6-'개요'!B20)</f>
        <v>0</v>
      </c>
      <c r="C12" s="16" t="s">
        <v>69</v>
      </c>
    </row>
    <row r="13" spans="1:3" x14ac:dyDescent="0.25">
      <c r="A13" s="11" t="s">
        <v>90</v>
      </c>
      <c r="B13" s="14">
        <f>ROUND(B8-B10,2)</f>
        <v>0</v>
      </c>
      <c r="C13" s="13" t="s">
        <v>59</v>
      </c>
    </row>
    <row r="14" spans="1:3" x14ac:dyDescent="0.25">
      <c r="A14" s="4" t="s">
        <v>91</v>
      </c>
      <c r="B14" s="19" t="s">
        <v>92</v>
      </c>
      <c r="C14" s="24" t="s">
        <v>4</v>
      </c>
    </row>
    <row r="16" spans="1:3" x14ac:dyDescent="0.25">
      <c r="A16" s="7" t="s">
        <v>93</v>
      </c>
      <c r="B16" s="7"/>
      <c r="C16" s="7"/>
    </row>
  </sheetData>
  <mergeCells count="3">
    <mergeCell ref="A1:C1"/>
    <mergeCell ref="A2:C2"/>
    <mergeCell ref="A16:C16"/>
  </mergeCells>
  <printOptions horizontalCentered="1"/>
  <pageMargins left="0.39" right="0.39" top="0.51" bottom="0.51" header="0.24" footer="0.24"/>
  <pageSetup paperSize="9" orientation="portrait" fitToWidth="1" fitToHeight="0"/>
  <headerFooter>
    <oddFooter>&amp;L&amp;"맑은 고딕"&amp;8관급자재&amp;R&amp;"맑은 고딕"&amp;8&amp;P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87774"/>
    <pageSetUpPr fitToPage="1"/>
  </sheetPr>
  <dimension ref="A1:E36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34" customWidth="1"/>
    <col min="3" max="3" width="22" customWidth="1"/>
    <col min="4" max="4" width="14" customWidth="1"/>
    <col min="5" max="5" width="12" customWidth="1"/>
  </cols>
  <sheetData>
    <row r="1" ht="30" customHeight="1" spans="1:5" x14ac:dyDescent="0.25">
      <c r="A1" s="1" t="s">
        <v>94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95</v>
      </c>
      <c r="B4" s="3"/>
      <c r="C4" s="3"/>
      <c r="D4" s="3"/>
      <c r="E4" s="3"/>
    </row>
    <row r="5" ht="22" customHeight="1" spans="1:5" x14ac:dyDescent="0.25">
      <c r="A5" s="13" t="s">
        <v>96</v>
      </c>
      <c r="B5" s="13" t="s">
        <v>97</v>
      </c>
      <c r="C5" s="13"/>
      <c r="D5" s="13"/>
      <c r="E5" s="13" t="s">
        <v>98</v>
      </c>
    </row>
    <row r="6" spans="1:5" x14ac:dyDescent="0.25">
      <c r="A6" s="16">
        <v>1</v>
      </c>
      <c r="B6" s="24" t="s">
        <v>99</v>
      </c>
      <c r="C6" s="24"/>
      <c r="D6" s="24"/>
      <c r="E6" s="27" t="s">
        <v>100</v>
      </c>
    </row>
    <row r="7" spans="1:5" x14ac:dyDescent="0.25">
      <c r="A7" s="16">
        <v>2</v>
      </c>
      <c r="B7" s="24" t="s">
        <v>101</v>
      </c>
      <c r="C7" s="24"/>
      <c r="D7" s="24"/>
      <c r="E7" s="27" t="s">
        <v>100</v>
      </c>
    </row>
    <row r="8" spans="1:5" x14ac:dyDescent="0.25">
      <c r="A8" s="16">
        <v>3</v>
      </c>
      <c r="B8" s="24" t="s">
        <v>102</v>
      </c>
      <c r="C8" s="24"/>
      <c r="D8" s="24"/>
      <c r="E8" s="27" t="s">
        <v>100</v>
      </c>
    </row>
    <row r="9" spans="1:5" x14ac:dyDescent="0.25">
      <c r="A9" s="16">
        <v>4</v>
      </c>
      <c r="B9" s="24" t="s">
        <v>103</v>
      </c>
      <c r="C9" s="24"/>
      <c r="D9" s="24"/>
      <c r="E9" s="27" t="s">
        <v>100</v>
      </c>
    </row>
    <row r="10" spans="1:5" x14ac:dyDescent="0.25">
      <c r="A10" s="16">
        <v>5</v>
      </c>
      <c r="B10" s="24" t="s">
        <v>104</v>
      </c>
      <c r="C10" s="24"/>
      <c r="D10" s="24"/>
      <c r="E10" s="27" t="s">
        <v>100</v>
      </c>
    </row>
    <row r="11" spans="1:5" x14ac:dyDescent="0.25">
      <c r="A11" s="16">
        <v>6</v>
      </c>
      <c r="B11" s="24" t="s">
        <v>105</v>
      </c>
      <c r="C11" s="24"/>
      <c r="D11" s="24"/>
      <c r="E11" s="27" t="s">
        <v>100</v>
      </c>
    </row>
    <row r="12" spans="1:5" x14ac:dyDescent="0.25">
      <c r="A12" s="16">
        <v>7</v>
      </c>
      <c r="B12" s="24" t="s">
        <v>106</v>
      </c>
      <c r="C12" s="24"/>
      <c r="D12" s="24"/>
      <c r="E12" s="27" t="s">
        <v>100</v>
      </c>
    </row>
    <row r="13" spans="1:5" x14ac:dyDescent="0.25">
      <c r="A13" s="16">
        <v>8</v>
      </c>
      <c r="B13" s="24" t="s">
        <v>107</v>
      </c>
      <c r="C13" s="24"/>
      <c r="D13" s="24"/>
      <c r="E13" s="27" t="s">
        <v>100</v>
      </c>
    </row>
    <row r="14" spans="1:5" x14ac:dyDescent="0.25">
      <c r="A14" s="16">
        <v>9</v>
      </c>
      <c r="B14" s="24" t="s">
        <v>108</v>
      </c>
      <c r="C14" s="24"/>
      <c r="D14" s="24"/>
      <c r="E14" s="27" t="s">
        <v>100</v>
      </c>
    </row>
    <row r="15" spans="1:5" x14ac:dyDescent="0.25">
      <c r="A15" s="16">
        <v>10</v>
      </c>
      <c r="B15" s="24" t="s">
        <v>109</v>
      </c>
      <c r="C15" s="24"/>
      <c r="D15" s="24"/>
      <c r="E15" s="27" t="s">
        <v>100</v>
      </c>
    </row>
    <row r="16" spans="1:5" x14ac:dyDescent="0.25">
      <c r="A16" s="16">
        <v>11</v>
      </c>
      <c r="B16" s="24" t="s">
        <v>110</v>
      </c>
      <c r="C16" s="24"/>
      <c r="D16" s="24"/>
      <c r="E16" s="27" t="s">
        <v>100</v>
      </c>
    </row>
    <row r="17" spans="1:5" x14ac:dyDescent="0.25">
      <c r="A17" s="16">
        <v>12</v>
      </c>
      <c r="B17" s="24" t="s">
        <v>111</v>
      </c>
      <c r="C17" s="24"/>
      <c r="D17" s="24"/>
      <c r="E17" s="27" t="s">
        <v>100</v>
      </c>
    </row>
    <row r="19" ht="22" customHeight="1" spans="1:5" x14ac:dyDescent="0.25">
      <c r="A19" s="3" t="s">
        <v>112</v>
      </c>
      <c r="B19" s="3"/>
      <c r="C19" s="3"/>
      <c r="D19" s="3"/>
      <c r="E19" s="3"/>
    </row>
    <row r="20" ht="22" customHeight="1" spans="1:5" x14ac:dyDescent="0.25">
      <c r="A20" s="13" t="s">
        <v>96</v>
      </c>
      <c r="B20" s="13" t="s">
        <v>113</v>
      </c>
      <c r="C20" s="13" t="s">
        <v>114</v>
      </c>
      <c r="D20" s="13"/>
      <c r="E20" s="13" t="s">
        <v>43</v>
      </c>
    </row>
    <row r="21" spans="1:5" x14ac:dyDescent="0.25">
      <c r="A21" s="16">
        <v>1</v>
      </c>
      <c r="B21" s="4" t="s">
        <v>115</v>
      </c>
      <c r="C21" s="5" t="s">
        <v>4</v>
      </c>
      <c r="D21" s="5"/>
      <c r="E21" s="19" t="s">
        <v>4</v>
      </c>
    </row>
    <row r="22" spans="1:5" x14ac:dyDescent="0.25">
      <c r="A22" s="16">
        <v>2</v>
      </c>
      <c r="B22" s="4" t="s">
        <v>116</v>
      </c>
      <c r="C22" s="5" t="s">
        <v>4</v>
      </c>
      <c r="D22" s="5"/>
      <c r="E22" s="19" t="s">
        <v>4</v>
      </c>
    </row>
    <row r="23" spans="1:5" x14ac:dyDescent="0.25">
      <c r="A23" s="16">
        <v>3</v>
      </c>
      <c r="B23" s="4" t="s">
        <v>117</v>
      </c>
      <c r="C23" s="5" t="s">
        <v>4</v>
      </c>
      <c r="D23" s="5"/>
      <c r="E23" s="19" t="s">
        <v>4</v>
      </c>
    </row>
    <row r="24" spans="1:5" x14ac:dyDescent="0.25">
      <c r="A24" s="16">
        <v>4</v>
      </c>
      <c r="B24" s="4" t="s">
        <v>118</v>
      </c>
      <c r="C24" s="5" t="s">
        <v>4</v>
      </c>
      <c r="D24" s="5"/>
      <c r="E24" s="19" t="s">
        <v>4</v>
      </c>
    </row>
    <row r="25" spans="1:5" x14ac:dyDescent="0.25">
      <c r="A25" s="16">
        <v>5</v>
      </c>
      <c r="B25" s="4" t="s">
        <v>119</v>
      </c>
      <c r="C25" s="5" t="s">
        <v>4</v>
      </c>
      <c r="D25" s="5"/>
      <c r="E25" s="19" t="s">
        <v>4</v>
      </c>
    </row>
    <row r="26" spans="1:5" x14ac:dyDescent="0.25">
      <c r="A26" s="16">
        <v>6</v>
      </c>
      <c r="B26" s="4" t="s">
        <v>120</v>
      </c>
      <c r="C26" s="5" t="s">
        <v>4</v>
      </c>
      <c r="D26" s="5"/>
      <c r="E26" s="19" t="s">
        <v>4</v>
      </c>
    </row>
    <row r="28" ht="22" customHeight="1" spans="1:5" x14ac:dyDescent="0.25">
      <c r="A28" s="3" t="s">
        <v>121</v>
      </c>
      <c r="B28" s="3"/>
      <c r="C28" s="3"/>
      <c r="D28" s="3"/>
      <c r="E28" s="3"/>
    </row>
    <row r="29" ht="72" customHeight="1" spans="1:5" x14ac:dyDescent="0.25">
      <c r="A29" s="28" t="s">
        <v>4</v>
      </c>
      <c r="B29" s="28"/>
      <c r="C29" s="28"/>
      <c r="D29" s="28"/>
      <c r="E29" s="28"/>
    </row>
    <row r="31" ht="22" customHeight="1" spans="1:5" x14ac:dyDescent="0.25">
      <c r="A31" s="3" t="s">
        <v>122</v>
      </c>
      <c r="B31" s="3"/>
      <c r="C31" s="3"/>
      <c r="D31" s="3"/>
      <c r="E31" s="3"/>
    </row>
    <row r="32" ht="22" customHeight="1" spans="1:5" x14ac:dyDescent="0.25">
      <c r="A32" s="13" t="s">
        <v>4</v>
      </c>
      <c r="B32" s="13" t="s">
        <v>80</v>
      </c>
      <c r="C32" s="13" t="s">
        <v>123</v>
      </c>
      <c r="D32" s="13" t="s">
        <v>124</v>
      </c>
      <c r="E32" s="13" t="s">
        <v>125</v>
      </c>
    </row>
    <row r="33" ht="26" customHeight="1" spans="1:5" x14ac:dyDescent="0.25">
      <c r="A33" s="16">
        <v>1</v>
      </c>
      <c r="B33" s="4" t="s">
        <v>126</v>
      </c>
      <c r="C33" s="5" t="s">
        <v>4</v>
      </c>
      <c r="D33" s="5" t="s">
        <v>4</v>
      </c>
      <c r="E33" s="5" t="s">
        <v>4</v>
      </c>
    </row>
    <row r="34" ht="26" customHeight="1" spans="1:5" x14ac:dyDescent="0.25">
      <c r="A34" s="16">
        <v>2</v>
      </c>
      <c r="B34" s="4" t="s">
        <v>127</v>
      </c>
      <c r="C34" s="5" t="s">
        <v>4</v>
      </c>
      <c r="D34" s="5" t="s">
        <v>4</v>
      </c>
      <c r="E34" s="5" t="s">
        <v>4</v>
      </c>
    </row>
    <row r="35" ht="26" customHeight="1" spans="1:5" x14ac:dyDescent="0.25">
      <c r="A35" s="16">
        <v>3</v>
      </c>
      <c r="B35" s="4" t="s">
        <v>98</v>
      </c>
      <c r="C35" s="5" t="s">
        <v>4</v>
      </c>
      <c r="D35" s="5" t="s">
        <v>4</v>
      </c>
      <c r="E35" s="5" t="s">
        <v>4</v>
      </c>
    </row>
    <row r="36" ht="26" customHeight="1" spans="1:5" x14ac:dyDescent="0.25">
      <c r="A36" s="16">
        <v>4</v>
      </c>
      <c r="B36" s="4" t="s">
        <v>128</v>
      </c>
      <c r="C36" s="5" t="s">
        <v>4</v>
      </c>
      <c r="D36" s="5" t="s">
        <v>4</v>
      </c>
      <c r="E36" s="5" t="s">
        <v>4</v>
      </c>
    </row>
  </sheetData>
  <mergeCells count="27">
    <mergeCell ref="A1:E1"/>
    <mergeCell ref="A2:E2"/>
    <mergeCell ref="A4:E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A19:E19"/>
    <mergeCell ref="C20:D20"/>
    <mergeCell ref="C21:D21"/>
    <mergeCell ref="C22:D22"/>
    <mergeCell ref="C23:D23"/>
    <mergeCell ref="C24:D24"/>
    <mergeCell ref="C25:D25"/>
    <mergeCell ref="C26:D26"/>
    <mergeCell ref="A28:E28"/>
    <mergeCell ref="A29:E29"/>
    <mergeCell ref="A31:E31"/>
  </mergeCells>
  <printOptions horizontalCentered="1"/>
  <pageMargins left="0.39" right="0.39" top="0.51" bottom="0.51" header="0.24" footer="0.24"/>
  <pageSetup paperSize="9" orientation="portrait" fitToWidth="1" fitToHeight="0"/>
  <headerFooter>
    <oddFooter>&amp;L&amp;"맑은 고딕"&amp;8증빙·검토의견&amp;R&amp;"맑은 고딕"&amp;8&amp;P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개요</vt:lpstr>
      <vt:lpstr>본별 항타기록</vt:lpstr>
      <vt:lpstr>수량·금액 정산</vt:lpstr>
      <vt:lpstr>관급자재</vt:lpstr>
      <vt:lpstr>증빙·검토의견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파일공사 정산 검토</dc:creator>
  <dc:title/>
  <dc:subject/>
  <dc:description/>
  <cp:keywords/>
  <cp:category/>
  <cp:lastModifiedBy>Unknown</cp:lastModifiedBy>
  <dcterms:created xsi:type="dcterms:W3CDTF">2026-09-26T05:48:05Z</dcterms:created>
  <dcterms:modified xsi:type="dcterms:W3CDTF">2026-09-26T05:48:05Z</dcterms:modified>
</cp:coreProperties>
</file>