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신안\학교시설복합화\협력팀자료\"/>
    </mc:Choice>
  </mc:AlternateContent>
  <xr:revisionPtr revIDLastSave="0" documentId="13_ncr:1_{20DEDA62-74D0-475A-89DA-402167F88F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사업비 구분(안)" sheetId="4" r:id="rId1"/>
    <sheet name="도초초 이설 소요예상액" sheetId="1" r:id="rId2"/>
    <sheet name="시설단가" sheetId="3" r:id="rId3"/>
  </sheets>
  <definedNames>
    <definedName name="_xlnm.Print_Area" localSheetId="1">'도초초 이설 소요예상액'!$A$1:$J$102</definedName>
    <definedName name="_xlnm.Print_Area" localSheetId="0">'사업비 구분(안)'!$A$1:$F$45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I62" i="1"/>
  <c r="I63" i="1"/>
  <c r="H64" i="1"/>
  <c r="I45" i="1"/>
  <c r="H39" i="1"/>
  <c r="H73" i="1"/>
  <c r="H69" i="1"/>
  <c r="H68" i="1"/>
  <c r="H51" i="1"/>
  <c r="H50" i="1"/>
  <c r="G46" i="1" l="1"/>
  <c r="G47" i="1" l="1"/>
  <c r="I46" i="1"/>
  <c r="G42" i="1"/>
  <c r="G41" i="1"/>
  <c r="G37" i="1"/>
  <c r="G38" i="1"/>
  <c r="G36" i="1"/>
  <c r="G43" i="1" l="1"/>
  <c r="C38" i="4" s="1"/>
  <c r="G39" i="1"/>
  <c r="D39" i="4"/>
  <c r="D35" i="4"/>
  <c r="E22" i="4"/>
  <c r="I95" i="1" s="1"/>
  <c r="H75" i="1"/>
  <c r="H59" i="1"/>
  <c r="H58" i="1"/>
  <c r="H56" i="1"/>
  <c r="H55" i="1"/>
  <c r="H53" i="1"/>
  <c r="H52" i="1"/>
  <c r="I37" i="1"/>
  <c r="I38" i="1"/>
  <c r="I36" i="1"/>
  <c r="H34" i="1"/>
  <c r="H20" i="1"/>
  <c r="H19" i="1"/>
  <c r="H8" i="1"/>
  <c r="H25" i="1" s="1"/>
  <c r="G40" i="1" l="1"/>
  <c r="I39" i="1"/>
  <c r="I40" i="1" s="1"/>
  <c r="G44" i="1"/>
  <c r="I43" i="1"/>
  <c r="C37" i="4"/>
  <c r="D37" i="4" s="1"/>
  <c r="H22" i="1"/>
  <c r="H23" i="1"/>
  <c r="H24" i="1"/>
  <c r="H26" i="1"/>
  <c r="H9" i="1"/>
  <c r="H10" i="1"/>
  <c r="H28" i="1"/>
  <c r="H12" i="1"/>
  <c r="H32" i="1"/>
  <c r="H27" i="1"/>
  <c r="H13" i="1"/>
  <c r="H16" i="1"/>
  <c r="H17" i="1"/>
  <c r="I98" i="1" l="1"/>
  <c r="I100" i="1"/>
  <c r="I96" i="1"/>
  <c r="C36" i="4"/>
  <c r="D38" i="4"/>
  <c r="E33" i="1"/>
  <c r="G29" i="1"/>
  <c r="E29" i="1"/>
  <c r="E21" i="1"/>
  <c r="G21" i="1"/>
  <c r="E18" i="1"/>
  <c r="G17" i="1"/>
  <c r="I17" i="1" s="1"/>
  <c r="G16" i="1"/>
  <c r="E35" i="1"/>
  <c r="E53" i="1" s="1"/>
  <c r="I53" i="1" s="1"/>
  <c r="G34" i="1"/>
  <c r="G35" i="1" s="1"/>
  <c r="C7" i="4" s="1"/>
  <c r="C8" i="4" s="1"/>
  <c r="E14" i="1"/>
  <c r="E11" i="1"/>
  <c r="G14" i="1"/>
  <c r="G11" i="1"/>
  <c r="I85" i="1"/>
  <c r="I82" i="1"/>
  <c r="I81" i="1"/>
  <c r="I80" i="1"/>
  <c r="I79" i="1"/>
  <c r="I75" i="1"/>
  <c r="I76" i="1" s="1"/>
  <c r="D41" i="4" s="1"/>
  <c r="I73" i="1"/>
  <c r="I72" i="1"/>
  <c r="I71" i="1"/>
  <c r="I70" i="1"/>
  <c r="I69" i="1"/>
  <c r="I68" i="1"/>
  <c r="I67" i="1"/>
  <c r="I58" i="1"/>
  <c r="I57" i="1"/>
  <c r="I56" i="1"/>
  <c r="I55" i="1"/>
  <c r="I54" i="1"/>
  <c r="I52" i="1"/>
  <c r="I34" i="1"/>
  <c r="I35" i="1" s="1"/>
  <c r="C14" i="4" s="1"/>
  <c r="C24" i="4" s="1"/>
  <c r="I47" i="1"/>
  <c r="I42" i="1"/>
  <c r="I41" i="1"/>
  <c r="I28" i="1"/>
  <c r="I27" i="1"/>
  <c r="I26" i="1"/>
  <c r="I25" i="1"/>
  <c r="I24" i="1"/>
  <c r="I23" i="1"/>
  <c r="I22" i="1"/>
  <c r="I20" i="1"/>
  <c r="I19" i="1"/>
  <c r="I13" i="1"/>
  <c r="I12" i="1"/>
  <c r="I10" i="1"/>
  <c r="I9" i="1"/>
  <c r="I8" i="1"/>
  <c r="I44" i="1" l="1"/>
  <c r="E51" i="1"/>
  <c r="I51" i="1" s="1"/>
  <c r="E49" i="1"/>
  <c r="D16" i="4"/>
  <c r="C42" i="4"/>
  <c r="D36" i="4"/>
  <c r="E30" i="1"/>
  <c r="I21" i="1"/>
  <c r="E15" i="1"/>
  <c r="I14" i="1"/>
  <c r="I11" i="1"/>
  <c r="I83" i="1"/>
  <c r="G18" i="1"/>
  <c r="G30" i="1" s="1"/>
  <c r="I29" i="1"/>
  <c r="I74" i="1"/>
  <c r="G15" i="1"/>
  <c r="G48" i="1"/>
  <c r="I16" i="1"/>
  <c r="I18" i="1" s="1"/>
  <c r="E64" i="1" l="1"/>
  <c r="I64" i="1" s="1"/>
  <c r="D7" i="4"/>
  <c r="D42" i="4"/>
  <c r="E35" i="4" s="1"/>
  <c r="C27" i="4" s="1"/>
  <c r="D27" i="4" s="1"/>
  <c r="I48" i="1"/>
  <c r="D14" i="4" s="1"/>
  <c r="I77" i="1"/>
  <c r="B16" i="4"/>
  <c r="E16" i="4" s="1"/>
  <c r="I15" i="1"/>
  <c r="I30" i="1"/>
  <c r="G31" i="1"/>
  <c r="G32" i="1" s="1"/>
  <c r="I32" i="1" s="1"/>
  <c r="I65" i="1" l="1"/>
  <c r="D15" i="4" s="1"/>
  <c r="I31" i="1"/>
  <c r="I33" i="1" s="1"/>
  <c r="I49" i="1" s="1"/>
  <c r="G33" i="1"/>
  <c r="E50" i="1" l="1"/>
  <c r="I50" i="1" s="1"/>
  <c r="G49" i="1"/>
  <c r="B7" i="4"/>
  <c r="B14" i="4"/>
  <c r="E60" i="1"/>
  <c r="I60" i="1" s="1"/>
  <c r="E59" i="1"/>
  <c r="I59" i="1" s="1"/>
  <c r="I61" i="1" l="1"/>
  <c r="I66" i="1" s="1"/>
  <c r="B9" i="4"/>
  <c r="D9" i="4"/>
  <c r="D8" i="4"/>
  <c r="E7" i="4"/>
  <c r="B8" i="4"/>
  <c r="E14" i="4"/>
  <c r="B15" i="4" l="1"/>
  <c r="I78" i="1"/>
  <c r="E15" i="4"/>
  <c r="E8" i="4"/>
  <c r="D19" i="4"/>
  <c r="B19" i="4"/>
  <c r="H84" i="1" l="1"/>
  <c r="G92" i="1"/>
  <c r="I92" i="1" s="1"/>
  <c r="G87" i="1"/>
  <c r="G88" i="1"/>
  <c r="I88" i="1" s="1"/>
  <c r="I89" i="1" s="1"/>
  <c r="G84" i="1"/>
  <c r="I87" i="1"/>
  <c r="E19" i="4"/>
  <c r="I84" i="1" l="1"/>
  <c r="G86" i="1" s="1"/>
  <c r="I86" i="1" s="1"/>
  <c r="D18" i="4"/>
  <c r="B18" i="4"/>
  <c r="I90" i="1" l="1"/>
  <c r="D17" i="4" s="1"/>
  <c r="D24" i="4" s="1"/>
  <c r="C29" i="4" s="1"/>
  <c r="E18" i="4"/>
  <c r="C28" i="4" l="1"/>
  <c r="D28" i="4" s="1"/>
  <c r="I91" i="1"/>
  <c r="I97" i="1" s="1"/>
  <c r="I101" i="1" s="1"/>
  <c r="I102" i="1" s="1"/>
  <c r="B17" i="4"/>
  <c r="E17" i="4" s="1"/>
  <c r="B23" i="4" l="1"/>
  <c r="B24" i="4" s="1"/>
  <c r="B29" i="4" s="1"/>
  <c r="D29" i="4" s="1"/>
  <c r="D30" i="4" s="1"/>
  <c r="C30" i="4"/>
  <c r="E23" i="4" l="1"/>
  <c r="E24" i="4" s="1"/>
  <c r="B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84" authorId="0" shapeId="0" xr:uid="{2377B4BE-3EA7-4673-8514-8009EB7FE3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직선보간: 20,000,000원 이하 4.10%, 30,000,000원 이하 4.03%</t>
        </r>
      </text>
    </comment>
  </commentList>
</comments>
</file>

<file path=xl/sharedStrings.xml><?xml version="1.0" encoding="utf-8"?>
<sst xmlns="http://schemas.openxmlformats.org/spreadsheetml/2006/main" count="591" uniqueCount="384">
  <si>
    <t>도초초 이설 소요예상액</t>
  </si>
  <si>
    <t xml:space="preserve">  ∙ 초등학교 7학급(62명, 특수 1학급 포함), 병설유치원 2학급</t>
  </si>
  <si>
    <t xml:space="preserve">  ∙ 2026년도 시설단가 적용 (도서할증 25% 반영)</t>
  </si>
  <si>
    <t xml:space="preserve">  ∙ 비품비, 이사비 등 제외</t>
  </si>
  <si>
    <t>(금액단위: 천원)</t>
  </si>
  <si>
    <t>구 분</t>
  </si>
  <si>
    <t>단위</t>
  </si>
  <si>
    <t>소요예상액</t>
  </si>
  <si>
    <t>실수</t>
  </si>
  <si>
    <t>단위면적</t>
  </si>
  <si>
    <t>면적(㎡)</t>
  </si>
  <si>
    <t>단가</t>
  </si>
  <si>
    <t>금액</t>
  </si>
  <si>
    <t>부지매입비</t>
  </si>
  <si>
    <t>-</t>
  </si>
  <si>
    <t>교실영역</t>
  </si>
  <si>
    <t>일반교실</t>
  </si>
  <si>
    <t>보통교실</t>
  </si>
  <si>
    <t>실</t>
  </si>
  <si>
    <t>유치원교실</t>
  </si>
  <si>
    <t>특수교실</t>
  </si>
  <si>
    <t>소계</t>
  </si>
  <si>
    <t>과학실</t>
  </si>
  <si>
    <t>교사연구실</t>
  </si>
  <si>
    <t>유·초</t>
  </si>
  <si>
    <t>교실영역 계(A)</t>
  </si>
  <si>
    <t>지원영역</t>
  </si>
  <si>
    <t>교직원휴게실</t>
  </si>
  <si>
    <t>남·여</t>
  </si>
  <si>
    <t>학생탈의/샤워실</t>
  </si>
  <si>
    <t>급식시설</t>
  </si>
  <si>
    <t>급식실(식당)</t>
  </si>
  <si>
    <t>급식실(조리실)</t>
  </si>
  <si>
    <t>관리·행정시설</t>
  </si>
  <si>
    <t>교장실</t>
  </si>
  <si>
    <t>교무실</t>
  </si>
  <si>
    <t>행정실</t>
  </si>
  <si>
    <t>문서(보관)실</t>
  </si>
  <si>
    <t>상담실(Wee)</t>
  </si>
  <si>
    <t>방송실</t>
  </si>
  <si>
    <t>보건실</t>
  </si>
  <si>
    <t>지원영역 계(B)</t>
  </si>
  <si>
    <t>교사동 집계</t>
  </si>
  <si>
    <t>교사동 순면적 계(C=A+B)</t>
  </si>
  <si>
    <t>공유면적(D)</t>
  </si>
  <si>
    <t>%</t>
  </si>
  <si>
    <t>60%</t>
  </si>
  <si>
    <t>교사동 연면적 계(E=C+D)</t>
  </si>
  <si>
    <t>부속시설</t>
  </si>
  <si>
    <t>사택</t>
  </si>
  <si>
    <t>연립사택</t>
  </si>
  <si>
    <t>세대</t>
  </si>
  <si>
    <t>부속시설 연면적 계(F)</t>
  </si>
  <si>
    <t>복합시설</t>
  </si>
  <si>
    <t>늘봄시설</t>
  </si>
  <si>
    <t>돌봄교실</t>
  </si>
  <si>
    <t>도서실</t>
  </si>
  <si>
    <t>자료실</t>
  </si>
  <si>
    <t>평생교육시설</t>
  </si>
  <si>
    <t>동아리실</t>
  </si>
  <si>
    <t>영어교실, 다목적실 등</t>
  </si>
  <si>
    <t>다목적강의실</t>
  </si>
  <si>
    <t>체육시설</t>
  </si>
  <si>
    <t>다목적강당</t>
  </si>
  <si>
    <t>기타시설(교사동)</t>
  </si>
  <si>
    <t>기초파일</t>
  </si>
  <si>
    <t>환기설비</t>
  </si>
  <si>
    <t>수전설비</t>
  </si>
  <si>
    <t>식</t>
  </si>
  <si>
    <t>냉난방</t>
  </si>
  <si>
    <t>엘리베이터</t>
  </si>
  <si>
    <t>개소</t>
  </si>
  <si>
    <t>교문</t>
  </si>
  <si>
    <t>조회대</t>
  </si>
  <si>
    <t>대</t>
  </si>
  <si>
    <t>국기게양대</t>
  </si>
  <si>
    <t>무선 AP</t>
  </si>
  <si>
    <t>신재생에너지</t>
  </si>
  <si>
    <t>㎡</t>
  </si>
  <si>
    <t>공간재구조화</t>
  </si>
  <si>
    <t>무대기계장치</t>
  </si>
  <si>
    <t>기타시설 계(K)</t>
  </si>
  <si>
    <t>토목공사</t>
  </si>
  <si>
    <t>토목</t>
  </si>
  <si>
    <t>부지조성비</t>
  </si>
  <si>
    <t>부지정지 포함(축소)</t>
  </si>
  <si>
    <t>배수시설</t>
  </si>
  <si>
    <t>m</t>
  </si>
  <si>
    <t>포장(보도,차도)</t>
  </si>
  <si>
    <t>대지면적의 20%</t>
  </si>
  <si>
    <t>조경</t>
  </si>
  <si>
    <t>폐기물처리비</t>
  </si>
  <si>
    <t>기존 운동장트랙 처리</t>
  </si>
  <si>
    <t>정화조</t>
  </si>
  <si>
    <t>담장</t>
  </si>
  <si>
    <t>적벽돌담(H=1.7m)</t>
  </si>
  <si>
    <t>축구장</t>
  </si>
  <si>
    <t>운동장</t>
  </si>
  <si>
    <t>천연잔디</t>
  </si>
  <si>
    <t>시설비 합계(M=J+K+L)</t>
  </si>
  <si>
    <t>수수료</t>
  </si>
  <si>
    <t>상수도인입비</t>
  </si>
  <si>
    <t>한전불입금</t>
  </si>
  <si>
    <t>인증수수료(예비,본인증)</t>
  </si>
  <si>
    <t>회</t>
  </si>
  <si>
    <t>실내공기질측정</t>
  </si>
  <si>
    <t>소계(N)</t>
  </si>
  <si>
    <t>용역비</t>
  </si>
  <si>
    <t>설계비</t>
  </si>
  <si>
    <t>인증비용</t>
  </si>
  <si>
    <t>1식</t>
  </si>
  <si>
    <t>사전기획</t>
  </si>
  <si>
    <t>건축설계비의 8%</t>
  </si>
  <si>
    <t>설계경제성(VE)검토</t>
  </si>
  <si>
    <t>시설비*0.12%*1.4</t>
  </si>
  <si>
    <t>건설사업관리용역</t>
  </si>
  <si>
    <t>7.62%</t>
  </si>
  <si>
    <t>감리비(전기,통신,소방)</t>
  </si>
  <si>
    <t>0.23%</t>
  </si>
  <si>
    <t>철거비</t>
  </si>
  <si>
    <t>이전비</t>
  </si>
  <si>
    <t>교재교구비</t>
  </si>
  <si>
    <t>총계</t>
  </si>
  <si>
    <t>시설비</t>
  </si>
  <si>
    <t>합  계</t>
  </si>
  <si>
    <t>소요면적</t>
    <phoneticPr fontId="9" type="noConversion"/>
  </si>
  <si>
    <t>비고</t>
    <phoneticPr fontId="9" type="noConversion"/>
  </si>
  <si>
    <t>휴게시설</t>
    <phoneticPr fontId="9" type="noConversion"/>
  </si>
  <si>
    <t>복합시설 소계(G)</t>
    <phoneticPr fontId="9" type="noConversion"/>
  </si>
  <si>
    <t>수수료+용역비</t>
    <phoneticPr fontId="9" type="noConversion"/>
  </si>
  <si>
    <t>소계(O)</t>
    <phoneticPr fontId="9" type="noConversion"/>
  </si>
  <si>
    <t>※ 적용기준: 신축, 증축 또는 개축 건축물은 [에너지절약기준] 및 [오수정화조(신축제외)] 포함 단가</t>
  </si>
  <si>
    <t>※ 본 단가는 육지단가이며, 도서의 경우 가지역 35%, 나지역 25%, 다지역 15%, 라지역 5% 가산(설계용역비 및 감리비 제외)</t>
  </si>
  <si>
    <t>학급</t>
  </si>
  <si>
    <t>36학급 초과, 유선망용(L2스위치), 무선망용(L2 보안스위치, L2PoE스위치, 무선AP)</t>
  </si>
  <si>
    <t>36학급 이하, 유선망용(L2스위치), 무선망용(L2 보안스위치, L2PoE스위치, 무선AP)</t>
  </si>
  <si>
    <t>30학급 이하, 유선망용(L2스위치), 무선망용(L2 보안스위치, L2PoE스위치, 무선AP)</t>
  </si>
  <si>
    <t>24학급 이하, 유선망용(L2스위치), 무선망용(L2 보안스위치, L2PoE스위치, 무선AP)</t>
  </si>
  <si>
    <t>18학급 이하, 유선망용(L2스위치), 무선망용(L2 보안스위치, L2PoE스위치, 무선AP)</t>
  </si>
  <si>
    <t>12학급 이하, 유선망용(L2스위치), 무선망용(L2 보안스위치, L2PoE스위치, 무선AP)</t>
  </si>
  <si>
    <t>6학급 이하, 유선망용(L2스위치), 무선망용(L2 보안스위치, L2PoE스위치, 무선AP)</t>
  </si>
  <si>
    <t>○  통신장비(유·무선)</t>
  </si>
  <si>
    <t>실</t>
    <phoneticPr fontId="9" type="noConversion"/>
  </si>
  <si>
    <t>증축교실 1실당</t>
  </si>
  <si>
    <t>○  무선AP</t>
  </si>
  <si>
    <t>■  통신장비</t>
  </si>
  <si>
    <t>개소</t>
    <phoneticPr fontId="9" type="noConversion"/>
  </si>
  <si>
    <t>지열(밀폐형 1kW당)</t>
  </si>
  <si>
    <t>㎡</t>
    <phoneticPr fontId="9" type="noConversion"/>
  </si>
  <si>
    <t>태양열(이중진공관 1㎡당)</t>
  </si>
  <si>
    <t>태양광(고정식, 연면적당)</t>
  </si>
  <si>
    <t>○  신재생에너지
   (신·증축 및 개축 부분,
   연면적 1천㎡ 이상)</t>
  </si>
  <si>
    <t>천연잔디(㎡당), 배수로 제외</t>
  </si>
  <si>
    <t>○  운동장 트랙</t>
  </si>
  <si>
    <t>마사토(㎡당), 배수로 제외</t>
  </si>
  <si>
    <t>인조잔디(㎡당), 배수로 제외</t>
  </si>
  <si>
    <t>○  운동장</t>
  </si>
  <si>
    <t>■  운동장</t>
  </si>
  <si>
    <t>1인당 12㎡기준(비품비 제외)</t>
  </si>
  <si>
    <t>○  기숙사증축(㎡당)</t>
  </si>
  <si>
    <t>1,000㎡기준, 파일포함(학생수 1,000명 이상)</t>
  </si>
  <si>
    <t>950㎡기준, 파일포함(학생수 1,000명 이하)</t>
  </si>
  <si>
    <t>850㎡기준, 파일포함(학생수 500명 이하)</t>
  </si>
  <si>
    <t>○  강당증축</t>
  </si>
  <si>
    <t>■  강당 및 생활관</t>
  </si>
  <si>
    <t>1층 20실 Φ400 20㎜, 실당 18개소</t>
  </si>
  <si>
    <t>○  신설파일</t>
  </si>
  <si>
    <t>중앙 집중식 냉난방, 토목 및 옥외시설 제외, 칠판·게시판·신발장 제외</t>
  </si>
  <si>
    <t>○  특수학교(㎡당)</t>
  </si>
  <si>
    <t>○  일반학교(㎡당)</t>
  </si>
  <si>
    <t>■  교실신축</t>
  </si>
  <si>
    <t>연면적 기준</t>
  </si>
  <si>
    <t>○  내진보강(㎡당)</t>
  </si>
  <si>
    <t>비난방 180㎡(복도 포함)</t>
  </si>
  <si>
    <t>비난방 90㎡(복도 포함)</t>
  </si>
  <si>
    <t>○  특별교실(과학실, 음악실,
   컴퓨터실 등 부대시설 제외)</t>
  </si>
  <si>
    <t>비난방, 복도 포함 (흑판, 게시판, 신발장 제외)</t>
  </si>
  <si>
    <t>○  일반교실(90㎡)</t>
  </si>
  <si>
    <t>■  교실증축</t>
  </si>
  <si>
    <t>4층용, 160㎡(개소당)</t>
  </si>
  <si>
    <t>3층용, 120㎡(개소당)</t>
  </si>
  <si>
    <t>2층용, 80㎡(개소당)</t>
  </si>
  <si>
    <t>1층용, 40㎡(개소당)</t>
  </si>
  <si>
    <t>○  계단실증축</t>
  </si>
  <si>
    <t>조리실</t>
  </si>
  <si>
    <t>식당</t>
  </si>
  <si>
    <t>○  급식실증축(㎡당)</t>
  </si>
  <si>
    <t>조적슬래브, 온돌난방, 33㎡기준</t>
  </si>
  <si>
    <t>○  숙직실(1동)</t>
  </si>
  <si>
    <t>45㎡기준 (난방, 설비, 기구 포함, 정화조 별도)</t>
  </si>
  <si>
    <t>○  화장실(1동)</t>
  </si>
  <si>
    <t>59㎡(조립)</t>
  </si>
  <si>
    <t>66㎡(조적슬래브)</t>
  </si>
  <si>
    <t>○  창고증축</t>
  </si>
  <si>
    <t>세대</t>
    <phoneticPr fontId="9" type="noConversion"/>
  </si>
  <si>
    <t>철콘, 온돌난방, 9세대용, 500㎡, 세대당 55㎡기준</t>
  </si>
  <si>
    <t>○  연립관사(1세대)</t>
  </si>
  <si>
    <t>동</t>
    <phoneticPr fontId="9" type="noConversion"/>
  </si>
  <si>
    <t>조적슬래브, 온돌난방, 58㎡</t>
  </si>
  <si>
    <t>조적슬래브, 온돌난방, 48㎡</t>
  </si>
  <si>
    <t>조적슬래브, 온돌난방, 42㎡</t>
  </si>
  <si>
    <t>조적슬래브, 온돌난방, 38㎡</t>
  </si>
  <si>
    <t>○  독립관사(1동)</t>
  </si>
  <si>
    <t>철콘, 55㎡기준</t>
  </si>
  <si>
    <t>○  현관증축(개소)</t>
  </si>
  <si>
    <t>■  증축</t>
  </si>
  <si>
    <t>스탠드자바라기준</t>
  </si>
  <si>
    <t>○  교문시설</t>
  </si>
  <si>
    <t>지붕미설치</t>
  </si>
  <si>
    <t>지붕설치</t>
  </si>
  <si>
    <t>○  조회대시설</t>
  </si>
  <si>
    <t>차량통행, 개소당</t>
  </si>
  <si>
    <t>m</t>
    <phoneticPr fontId="9" type="noConversion"/>
  </si>
  <si>
    <t>폭 1.5m, 1m당</t>
  </si>
  <si>
    <t>폭 2.0m, 1m당</t>
  </si>
  <si>
    <t>폭 2.4m, 1m당</t>
  </si>
  <si>
    <t>○  도복도(포장 포함)</t>
  </si>
  <si>
    <t>LED, 교실 9등, 복도 1등(배관, 배선 포함)</t>
  </si>
  <si>
    <t>○  전등교체</t>
  </si>
  <si>
    <t>변압기용량증설</t>
  </si>
  <si>
    <t>보통교실 기준(실당)</t>
  </si>
  <si>
    <t>○  승압시설</t>
  </si>
  <si>
    <t>300kVA 이상(36실 이상)</t>
  </si>
  <si>
    <t>300kVA 이하(21~35실)</t>
  </si>
  <si>
    <t>200kVA 이하(7~20실)</t>
  </si>
  <si>
    <t>○  수전설비</t>
  </si>
  <si>
    <t>1실[EHP(전기), GHP(가스)혼용, 철거포함, 전기시설 포함]</t>
  </si>
  <si>
    <t>1실[EHP(전기), GHP(가스)혼용, 철거포함, 전기시설 미포함]</t>
  </si>
  <si>
    <t>1실[EHP(전기), 철거포함, 전기시설 포함]</t>
  </si>
  <si>
    <t>1실[EHP(전기), 철거포함, 전기시설 미포함]</t>
  </si>
  <si>
    <t>○  냉·난방교체</t>
  </si>
  <si>
    <t>1실[EHP(전기), GHP(가스) 전기시설 포함]</t>
  </si>
  <si>
    <t>1실[EHP(전기), GHP(가스) 전기시설 미포함]</t>
  </si>
  <si>
    <t>1실[EHP(전기), 전기시설 포함]</t>
  </si>
  <si>
    <t>1실[EHP(전기), 전기시설 미포함]</t>
  </si>
  <si>
    <t>○  냉·난방신설</t>
  </si>
  <si>
    <t>옥상수조, 스테인리스(개소당)</t>
  </si>
  <si>
    <t>○  음용수, 저수조</t>
  </si>
  <si>
    <t>조경석(㎡기준)</t>
  </si>
  <si>
    <t>휀스(H=1.7m기준)</t>
  </si>
  <si>
    <t>적벽돌 담(H=1.7m기준)</t>
  </si>
  <si>
    <t>○  담장시설(m당)</t>
  </si>
  <si>
    <t>T : 20cm기준</t>
  </si>
  <si>
    <t>○  운동장성토(㎡당)</t>
  </si>
  <si>
    <t>H : 80m기준</t>
  </si>
  <si>
    <t>○  지하수개발</t>
  </si>
  <si>
    <t>옹벽 기초높이 1m 추가산출 포함</t>
  </si>
  <si>
    <t>○  옹벽시설(㎡당)</t>
  </si>
  <si>
    <t>고압블럭(차도)</t>
  </si>
  <si>
    <t>고압블럭(보도)</t>
  </si>
  <si>
    <t>T 12cm(아스콘)</t>
  </si>
  <si>
    <t>T 15cm(㎡당)</t>
  </si>
  <si>
    <t>○  우천로포장(콘크리트)</t>
  </si>
  <si>
    <t>40톤용</t>
  </si>
  <si>
    <t>30톤용</t>
  </si>
  <si>
    <t>20톤용</t>
  </si>
  <si>
    <t>10톤용</t>
  </si>
  <si>
    <t>5톤용</t>
  </si>
  <si>
    <t>○  오수정화조</t>
  </si>
  <si>
    <t>4단(배수로 포함)</t>
  </si>
  <si>
    <t>3단(배수로 포함)</t>
  </si>
  <si>
    <t>2단(배수로 포함)</t>
  </si>
  <si>
    <t>○  스탠드시설(m당)</t>
  </si>
  <si>
    <t>0.4 × 0.4m, 스틸그레이팅</t>
  </si>
  <si>
    <t>0.4 × 0.4m</t>
  </si>
  <si>
    <t>0.3 × 0.3m</t>
  </si>
  <si>
    <t>○  배수로시설, 콘크리트(m당)</t>
  </si>
  <si>
    <t>■  토목·설비</t>
  </si>
  <si>
    <t>일반층, 석면철거 및 전기시설 포함</t>
  </si>
  <si>
    <t>일반층, 석면철거 포함</t>
  </si>
  <si>
    <t>일반층</t>
  </si>
  <si>
    <t>마감층, 단열재 교체 포함</t>
  </si>
  <si>
    <t>○  천장보수(90㎡기준)</t>
  </si>
  <si>
    <t>1층 1개소 계단실, 고무타일 40㎡ 기준</t>
  </si>
  <si>
    <t>콘크리트바닥, 교실 이중 바닥재, 복도 PVC 타일</t>
  </si>
  <si>
    <t>콘크리트바닥, 교실 및 복도 PVC 타일</t>
  </si>
  <si>
    <t>콘크리트바닥, 교실 후로링, 복도 PVC 타일</t>
  </si>
  <si>
    <t>동바리기초, 교실 및 복도 PVC 타일</t>
  </si>
  <si>
    <t>동바리기초, 교실 및 복도 후로링</t>
  </si>
  <si>
    <t>○  교실바닥보수(90㎡기준)</t>
  </si>
  <si>
    <t>페인트외 타재료 마감(적벽돌, 복합패널 등)</t>
  </si>
  <si>
    <t>○  교실벽체보수(90㎡기준)</t>
  </si>
  <si>
    <t>○  급식실중수(㎡당)</t>
  </si>
  <si>
    <t>조리실(철거 제외)</t>
  </si>
  <si>
    <t>식당(철거 제외)</t>
  </si>
  <si>
    <t>○  급식실개축(㎡당)</t>
  </si>
  <si>
    <t>외부(방수 제외, 2회칠 기준)</t>
  </si>
  <si>
    <t>내부(2회칠 기준)</t>
  </si>
  <si>
    <t>○  교실도장(90㎡기준)</t>
  </si>
  <si>
    <t>교실전체창(출입문, 복도, 외부 이중창)</t>
  </si>
  <si>
    <t>외부창(이중창)</t>
  </si>
  <si>
    <t>교실출입문 2개소, 복도창 2개소</t>
  </si>
  <si>
    <t>[에너지 소비 효율 제품 적용]</t>
  </si>
  <si>
    <t>교실출입문 2개소</t>
  </si>
  <si>
    <t>○  창호보수(90㎡기준)</t>
  </si>
  <si>
    <t>33㎡기준</t>
  </si>
  <si>
    <t>○  숙직실중수</t>
  </si>
  <si>
    <t>○  창고중수</t>
  </si>
  <si>
    <t>벽체(실당90㎡기준)</t>
  </si>
  <si>
    <t>지붕(실당90㎡기준)</t>
  </si>
  <si>
    <t>○  교실누수보수</t>
  </si>
  <si>
    <t>45㎡기준</t>
  </si>
  <si>
    <t>○  사택중수</t>
  </si>
  <si>
    <t>45㎡(10칸)기준(배관, 위생기구 제외)</t>
  </si>
  <si>
    <t>○  화장실보수</t>
  </si>
  <si>
    <t>45㎡(10칸)기준</t>
  </si>
  <si>
    <t>○  화장실중수</t>
  </si>
  <si>
    <t>90㎡기준 [바닥, 창호(내·외부), 천장, 도장(내·외부) 포함]</t>
  </si>
  <si>
    <t>○  노후교실중수</t>
  </si>
  <si>
    <t>90㎡기준</t>
  </si>
  <si>
    <t>○  건물철거(석면)</t>
  </si>
  <si>
    <t>○  건물철거(일반)</t>
  </si>
  <si>
    <t>90㎡기준(철거포함), 석면철거 제외</t>
  </si>
  <si>
    <t>○  교실개축</t>
  </si>
  <si>
    <t>■  개축 및 보수</t>
  </si>
  <si>
    <t>비고</t>
  </si>
  <si>
    <t>환산</t>
    <phoneticPr fontId="9" type="noConversion"/>
  </si>
  <si>
    <t>기준면적</t>
    <phoneticPr fontId="9" type="noConversion"/>
  </si>
  <si>
    <t>규격</t>
  </si>
  <si>
    <t>품명</t>
  </si>
  <si>
    <t>(단위: 천원)</t>
  </si>
  <si>
    <t>신축, 도서할증 25% 적용</t>
    <phoneticPr fontId="9" type="noConversion"/>
  </si>
  <si>
    <t>300kVA이상</t>
    <phoneticPr fontId="9" type="noConversion"/>
  </si>
  <si>
    <t>식</t>
    <phoneticPr fontId="9" type="noConversion"/>
  </si>
  <si>
    <t>6학급이하</t>
    <phoneticPr fontId="9" type="noConversion"/>
  </si>
  <si>
    <t>토목공사 계(L)</t>
    <phoneticPr fontId="9" type="noConversion"/>
  </si>
  <si>
    <t>시설부대비(P)</t>
    <phoneticPr fontId="9" type="noConversion"/>
  </si>
  <si>
    <t>합계</t>
    <phoneticPr fontId="9" type="noConversion"/>
  </si>
  <si>
    <t>연면적</t>
    <phoneticPr fontId="9" type="noConversion"/>
  </si>
  <si>
    <t>건축면적</t>
    <phoneticPr fontId="9" type="noConversion"/>
  </si>
  <si>
    <t>이설</t>
    <phoneticPr fontId="9" type="noConversion"/>
  </si>
  <si>
    <t>복합시설</t>
    <phoneticPr fontId="9" type="noConversion"/>
  </si>
  <si>
    <t>계</t>
    <phoneticPr fontId="9" type="noConversion"/>
  </si>
  <si>
    <t>이설, 복합시설 구분</t>
    <phoneticPr fontId="9" type="noConversion"/>
  </si>
  <si>
    <t>건축공사비</t>
    <phoneticPr fontId="9" type="noConversion"/>
  </si>
  <si>
    <t>기타시설비</t>
    <phoneticPr fontId="9" type="noConversion"/>
  </si>
  <si>
    <t>토목공사비</t>
    <phoneticPr fontId="9" type="noConversion"/>
  </si>
  <si>
    <t>용역비</t>
    <phoneticPr fontId="9" type="noConversion"/>
  </si>
  <si>
    <t>부대비</t>
    <phoneticPr fontId="9" type="noConversion"/>
  </si>
  <si>
    <t>수수료</t>
    <phoneticPr fontId="9" type="noConversion"/>
  </si>
  <si>
    <t>철거비</t>
    <phoneticPr fontId="9" type="noConversion"/>
  </si>
  <si>
    <t>이전비</t>
    <phoneticPr fontId="9" type="noConversion"/>
  </si>
  <si>
    <t>교재교구비</t>
    <phoneticPr fontId="9" type="noConversion"/>
  </si>
  <si>
    <t>연립사택</t>
    <phoneticPr fontId="9" type="noConversion"/>
  </si>
  <si>
    <t>이설: 2층, 연립사택: 3층 복합시설: 3층</t>
    <phoneticPr fontId="9" type="noConversion"/>
  </si>
  <si>
    <t>비율</t>
    <phoneticPr fontId="9" type="noConversion"/>
  </si>
  <si>
    <t>재원구분</t>
    <phoneticPr fontId="9" type="noConversion"/>
  </si>
  <si>
    <t>교육부</t>
    <phoneticPr fontId="9" type="noConversion"/>
  </si>
  <si>
    <t>신안군</t>
    <phoneticPr fontId="9" type="noConversion"/>
  </si>
  <si>
    <t>도교육청</t>
    <phoneticPr fontId="9" type="noConversion"/>
  </si>
  <si>
    <t>복합시설 교육부 지원비 기준 단가(2026년 지침)</t>
    <phoneticPr fontId="9" type="noConversion"/>
  </si>
  <si>
    <t>시설용도</t>
    <phoneticPr fontId="9" type="noConversion"/>
  </si>
  <si>
    <t>지원비 기준단가</t>
    <phoneticPr fontId="9" type="noConversion"/>
  </si>
  <si>
    <t>면적</t>
    <phoneticPr fontId="9" type="noConversion"/>
  </si>
  <si>
    <t>금액</t>
    <phoneticPr fontId="9" type="noConversion"/>
  </si>
  <si>
    <t>(면적단위: M2)</t>
    <phoneticPr fontId="9" type="noConversion"/>
  </si>
  <si>
    <t>(금액단위: 천원, 면적단위: M2)</t>
    <phoneticPr fontId="9" type="noConversion"/>
  </si>
  <si>
    <t>수영장</t>
    <phoneticPr fontId="9" type="noConversion"/>
  </si>
  <si>
    <t>체육관</t>
    <phoneticPr fontId="9" type="noConversion"/>
  </si>
  <si>
    <t>도서관</t>
    <phoneticPr fontId="9" type="noConversion"/>
  </si>
  <si>
    <t>교육 및 기타시설</t>
    <phoneticPr fontId="9" type="noConversion"/>
  </si>
  <si>
    <t>(지하)주차장</t>
    <phoneticPr fontId="9" type="noConversion"/>
  </si>
  <si>
    <t>리모델링</t>
    <phoneticPr fontId="9" type="noConversion"/>
  </si>
  <si>
    <t>옥외공간</t>
    <phoneticPr fontId="9" type="noConversion"/>
  </si>
  <si>
    <t>용도별 기준 60%이내</t>
    <phoneticPr fontId="9" type="noConversion"/>
  </si>
  <si>
    <t>실소요액</t>
    <phoneticPr fontId="9" type="noConversion"/>
  </si>
  <si>
    <t>※ 시설용도별 지원비 산정 기준 단가 기준으로 사업비 총액에 지원비율을 적용하여 교부</t>
    <phoneticPr fontId="9" type="noConversion"/>
  </si>
  <si>
    <t>(총사업비 = 시설용도별 지원비 산정 기준 단가 × 용도별 면적)</t>
    <phoneticPr fontId="9" type="noConversion"/>
  </si>
  <si>
    <t>교육부 지원금액 산출</t>
    <phoneticPr fontId="9" type="noConversion"/>
  </si>
  <si>
    <t>이설+연립사택</t>
    <phoneticPr fontId="9" type="noConversion"/>
  </si>
  <si>
    <t>이설(30억), 복합시설(교육부 지원비 제외 50%)</t>
    <phoneticPr fontId="9" type="noConversion"/>
  </si>
  <si>
    <t>이설(30억 제외한 나머지 금액), 복합시설(교육부 지원비 제외 50%)</t>
    <phoneticPr fontId="9" type="noConversion"/>
  </si>
  <si>
    <t>지원비 산정 단가 기준 상 총사업비의 70%(인구감소지역, 150억 미만)</t>
    <phoneticPr fontId="9" type="noConversion"/>
  </si>
  <si>
    <t>7학급 448,516천원 / 병설유2학급 93,374천원</t>
    <phoneticPr fontId="9" type="noConversion"/>
  </si>
  <si>
    <t>예비비</t>
    <phoneticPr fontId="9" type="noConversion"/>
  </si>
  <si>
    <t>33,539,456*10%</t>
    <phoneticPr fontId="9" type="noConversion"/>
  </si>
  <si>
    <t xml:space="preserve"> </t>
    <phoneticPr fontId="9" type="noConversion"/>
  </si>
  <si>
    <t>건설사업관리 30%</t>
    <phoneticPr fontId="9" type="noConversion"/>
  </si>
  <si>
    <t>공용면적</t>
    <phoneticPr fontId="9" type="noConversion"/>
  </si>
  <si>
    <t>건축공사비 계(J=E+F+G)</t>
    <phoneticPr fontId="9" type="noConversion"/>
  </si>
  <si>
    <t>예비비 10%</t>
    <phoneticPr fontId="9" type="noConversion"/>
  </si>
  <si>
    <t xml:space="preserve">본관동 </t>
    <phoneticPr fontId="9" type="noConversion"/>
  </si>
  <si>
    <t>교육부 지원단가 적용</t>
    <phoneticPr fontId="9" type="noConversion"/>
  </si>
  <si>
    <t>기초파일, 냉난방 등 포함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</si>
</sst>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"/>
    <numFmt numFmtId="177" formatCode="#,##0.00_ "/>
    <numFmt numFmtId="178" formatCode="_-* #,##0.00_-;\-* #,##0.00_-;_-* &quot;-&quot;_-;_-@_-"/>
  </numFmts>
  <fonts count="33" x14ac:knownFonts="1">
    <font>
      <sz val="11"/>
      <color theme="1"/>
      <name val="맑은 고딕"/>
      <family val="2"/>
      <scheme val="minor"/>
    </font>
    <font>
      <b/>
      <sz val="13"/>
      <color rgb="FF202124"/>
      <name val="맑은 고딕"/>
      <family val="3"/>
      <charset val="129"/>
    </font>
    <font>
      <sz val="8"/>
      <color rgb="FF5F6368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202124"/>
      <name val="맑은 고딕"/>
      <family val="3"/>
      <charset val="129"/>
    </font>
    <font>
      <b/>
      <sz val="9"/>
      <color rgb="FF5F6368"/>
      <name val="맑은 고딕"/>
      <family val="3"/>
      <charset val="129"/>
    </font>
    <font>
      <b/>
      <sz val="9"/>
      <color rgb="FF202124"/>
      <name val="맑은 고딕"/>
      <family val="3"/>
      <charset val="129"/>
    </font>
    <font>
      <sz val="9"/>
      <color rgb="FF5F6368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202124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rgb="FF202124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8"/>
      <color rgb="FF5F636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i/>
      <sz val="8"/>
      <color rgb="FFC00000"/>
      <name val="맑은 고딕"/>
      <family val="3"/>
      <charset val="129"/>
    </font>
    <font>
      <sz val="9"/>
      <color rgb="FF1A1A1A"/>
      <name val="맑은 고딕"/>
      <family val="3"/>
      <charset val="129"/>
    </font>
    <font>
      <b/>
      <sz val="9"/>
      <color rgb="FF1F4E79"/>
      <name val="맑은 고딕"/>
      <family val="3"/>
      <charset val="129"/>
    </font>
    <font>
      <i/>
      <sz val="8"/>
      <color rgb="FF59595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7FB"/>
      </patternFill>
    </fill>
    <fill>
      <patternFill patternType="solid">
        <fgColor rgb="FFEAF4FF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FF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8EAED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thin">
        <color rgb="FFE8EAED"/>
      </bottom>
      <diagonal/>
    </border>
    <border>
      <left/>
      <right/>
      <top style="medium">
        <color rgb="FF808080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medium">
        <color rgb="FF808080"/>
      </bottom>
      <diagonal/>
    </border>
    <border>
      <left/>
      <right/>
      <top style="thin">
        <color rgb="FFE8EAED"/>
      </top>
      <bottom/>
      <diagonal/>
    </border>
    <border>
      <left/>
      <right/>
      <top style="thin">
        <color rgb="FFE8EAED"/>
      </top>
      <bottom style="thin">
        <color rgb="FFE8EAED"/>
      </bottom>
      <diagonal/>
    </border>
    <border>
      <left style="thin">
        <color rgb="FF1A73E8"/>
      </left>
      <right style="thin">
        <color theme="0"/>
      </right>
      <top style="thin">
        <color rgb="FF1A73E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1A73E8"/>
      </top>
      <bottom style="thin">
        <color theme="0"/>
      </bottom>
      <diagonal/>
    </border>
    <border>
      <left style="thin">
        <color theme="0"/>
      </left>
      <right style="thin">
        <color rgb="FF1A73E8"/>
      </right>
      <top style="thin">
        <color rgb="FF1A73E8"/>
      </top>
      <bottom style="thin">
        <color theme="0"/>
      </bottom>
      <diagonal/>
    </border>
    <border>
      <left style="thin">
        <color rgb="FF1A73E8"/>
      </left>
      <right style="thin">
        <color theme="0"/>
      </right>
      <top style="thin">
        <color theme="0"/>
      </top>
      <bottom style="medium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rgb="FF808080"/>
      </bottom>
      <diagonal/>
    </border>
    <border>
      <left style="thin">
        <color theme="0"/>
      </left>
      <right style="thin">
        <color rgb="FF1A73E8"/>
      </right>
      <top style="thin">
        <color theme="0"/>
      </top>
      <bottom style="medium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1A73E8"/>
      </left>
      <right style="thin">
        <color theme="0"/>
      </right>
      <top style="thin">
        <color rgb="FF1A73E8"/>
      </top>
      <bottom style="medium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rgb="FF1A73E8"/>
      </top>
      <bottom style="medium">
        <color theme="0" tint="-0.14996795556505021"/>
      </bottom>
      <diagonal/>
    </border>
    <border>
      <left style="thin">
        <color theme="0"/>
      </left>
      <right style="thin">
        <color rgb="FF1A73E8"/>
      </right>
      <top style="thin">
        <color rgb="FF1A73E8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 style="thin">
        <color theme="0" tint="-0.14990691854609822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 tint="-0.14990691854609822"/>
      </bottom>
      <diagonal/>
    </border>
    <border>
      <left/>
      <right/>
      <top/>
      <bottom style="medium">
        <color theme="0" tint="-0.14996795556505021"/>
      </bottom>
      <diagonal/>
    </border>
    <border>
      <left style="thin">
        <color theme="0"/>
      </left>
      <right style="thin">
        <color theme="0" tint="-4.9989318521683403E-2"/>
      </right>
      <top/>
      <bottom style="medium">
        <color theme="0" tint="-0.14996795556505021"/>
      </bottom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 style="thin">
        <color theme="0"/>
      </left>
      <right/>
      <top style="thin">
        <color rgb="FF1A73E8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rgb="FF1A73E8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 style="thin">
        <color theme="0" tint="-4.9989318521683403E-2"/>
      </top>
      <bottom style="medium">
        <color theme="0" tint="-0.14996795556505021"/>
      </bottom>
      <diagonal/>
    </border>
  </borders>
  <cellStyleXfs count="4">
    <xf numFmtId="0" fontId="0" fillId="0" borderId="0"/>
    <xf numFmtId="41" fontId="13" fillId="0" borderId="0" applyFont="0" applyFill="0" applyBorder="0" applyAlignment="0" applyProtection="0">
      <alignment vertical="center"/>
    </xf>
    <xf numFmtId="0" fontId="13" fillId="0" borderId="1"/>
    <xf numFmtId="9" fontId="13" fillId="0" borderId="0" applyFont="0" applyFill="0" applyBorder="0" applyAlignment="0" applyProtection="0">
      <alignment vertical="center"/>
    </xf>
  </cellStyleXfs>
  <cellXfs count="239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4" fontId="4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right" vertical="center"/>
    </xf>
    <xf numFmtId="4" fontId="5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3" fontId="6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1" fillId="5" borderId="7" xfId="0" applyFont="1" applyFill="1" applyBorder="1"/>
    <xf numFmtId="0" fontId="11" fillId="4" borderId="7" xfId="0" applyFont="1" applyFill="1" applyBorder="1"/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center" vertical="center"/>
    </xf>
    <xf numFmtId="3" fontId="4" fillId="5" borderId="9" xfId="0" applyNumberFormat="1" applyFont="1" applyFill="1" applyBorder="1" applyAlignment="1">
      <alignment horizontal="right" vertical="center"/>
    </xf>
    <xf numFmtId="0" fontId="4" fillId="5" borderId="9" xfId="0" applyFont="1" applyFill="1" applyBorder="1" applyAlignment="1">
      <alignment horizontal="right" vertical="center"/>
    </xf>
    <xf numFmtId="4" fontId="4" fillId="5" borderId="9" xfId="0" applyNumberFormat="1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right" vertical="center"/>
    </xf>
    <xf numFmtId="4" fontId="4" fillId="5" borderId="10" xfId="0" applyNumberFormat="1" applyFont="1" applyFill="1" applyBorder="1" applyAlignment="1">
      <alignment horizontal="right" vertical="center"/>
    </xf>
    <xf numFmtId="3" fontId="4" fillId="5" borderId="10" xfId="0" applyNumberFormat="1" applyFont="1" applyFill="1" applyBorder="1" applyAlignment="1">
      <alignment horizontal="right" vertical="center"/>
    </xf>
    <xf numFmtId="0" fontId="2" fillId="5" borderId="10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 vertical="center" wrapText="1"/>
    </xf>
    <xf numFmtId="0" fontId="6" fillId="5" borderId="11" xfId="0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right" vertical="center"/>
    </xf>
    <xf numFmtId="0" fontId="6" fillId="5" borderId="11" xfId="0" applyFont="1" applyFill="1" applyBorder="1" applyAlignment="1">
      <alignment horizontal="right" vertical="center"/>
    </xf>
    <xf numFmtId="4" fontId="6" fillId="5" borderId="11" xfId="0" applyNumberFormat="1" applyFont="1" applyFill="1" applyBorder="1" applyAlignment="1">
      <alignment horizontal="right" vertical="center"/>
    </xf>
    <xf numFmtId="0" fontId="2" fillId="5" borderId="11" xfId="0" applyFont="1" applyFill="1" applyBorder="1" applyAlignment="1">
      <alignment horizontal="left" vertical="center" wrapText="1"/>
    </xf>
    <xf numFmtId="0" fontId="0" fillId="4" borderId="7" xfId="0" applyFill="1" applyBorder="1"/>
    <xf numFmtId="177" fontId="12" fillId="4" borderId="7" xfId="0" applyNumberFormat="1" applyFont="1" applyFill="1" applyBorder="1" applyAlignment="1">
      <alignment horizontal="right"/>
    </xf>
    <xf numFmtId="3" fontId="6" fillId="4" borderId="3" xfId="0" applyNumberFormat="1" applyFont="1" applyFill="1" applyBorder="1" applyAlignment="1">
      <alignment horizontal="right" vertical="center"/>
    </xf>
    <xf numFmtId="0" fontId="2" fillId="4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3" fontId="6" fillId="5" borderId="3" xfId="0" applyNumberFormat="1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5" borderId="7" xfId="0" applyFill="1" applyBorder="1"/>
    <xf numFmtId="0" fontId="8" fillId="2" borderId="6" xfId="0" applyFont="1" applyFill="1" applyBorder="1" applyAlignment="1">
      <alignment vertical="center"/>
    </xf>
    <xf numFmtId="41" fontId="8" fillId="2" borderId="6" xfId="1" applyFont="1" applyFill="1" applyBorder="1" applyAlignment="1">
      <alignment vertical="center"/>
    </xf>
    <xf numFmtId="3" fontId="16" fillId="4" borderId="7" xfId="0" applyNumberFormat="1" applyFont="1" applyFill="1" applyBorder="1"/>
    <xf numFmtId="0" fontId="16" fillId="4" borderId="7" xfId="0" applyFont="1" applyFill="1" applyBorder="1"/>
    <xf numFmtId="177" fontId="16" fillId="4" borderId="7" xfId="0" applyNumberFormat="1" applyFont="1" applyFill="1" applyBorder="1"/>
    <xf numFmtId="0" fontId="7" fillId="4" borderId="3" xfId="0" applyFont="1" applyFill="1" applyBorder="1" applyAlignment="1">
      <alignment horizontal="left" vertical="center" wrapText="1"/>
    </xf>
    <xf numFmtId="3" fontId="4" fillId="4" borderId="3" xfId="0" applyNumberFormat="1" applyFont="1" applyFill="1" applyBorder="1" applyAlignment="1">
      <alignment horizontal="right" vertical="center"/>
    </xf>
    <xf numFmtId="0" fontId="0" fillId="0" borderId="13" xfId="0" applyBorder="1"/>
    <xf numFmtId="0" fontId="6" fillId="5" borderId="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right" vertical="center"/>
    </xf>
    <xf numFmtId="3" fontId="6" fillId="4" borderId="13" xfId="0" applyNumberFormat="1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right" vertical="center"/>
    </xf>
    <xf numFmtId="0" fontId="17" fillId="4" borderId="2" xfId="0" applyFont="1" applyFill="1" applyBorder="1" applyAlignment="1">
      <alignment horizontal="left" vertical="center" wrapText="1"/>
    </xf>
    <xf numFmtId="0" fontId="11" fillId="0" borderId="0" xfId="0" applyFont="1"/>
    <xf numFmtId="0" fontId="18" fillId="2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3" fillId="0" borderId="1" xfId="2"/>
    <xf numFmtId="0" fontId="21" fillId="7" borderId="20" xfId="2" applyFont="1" applyFill="1" applyBorder="1" applyAlignment="1">
      <alignment horizontal="left" vertical="center" wrapText="1"/>
    </xf>
    <xf numFmtId="0" fontId="22" fillId="8" borderId="20" xfId="2" applyFont="1" applyFill="1" applyBorder="1" applyAlignment="1">
      <alignment horizontal="center" vertical="center" wrapText="1"/>
    </xf>
    <xf numFmtId="3" fontId="21" fillId="7" borderId="20" xfId="2" applyNumberFormat="1" applyFont="1" applyFill="1" applyBorder="1" applyAlignment="1">
      <alignment horizontal="right" vertical="center"/>
    </xf>
    <xf numFmtId="0" fontId="21" fillId="3" borderId="20" xfId="2" applyFont="1" applyFill="1" applyBorder="1" applyAlignment="1">
      <alignment horizontal="left" vertical="center" wrapText="1"/>
    </xf>
    <xf numFmtId="3" fontId="21" fillId="3" borderId="20" xfId="2" applyNumberFormat="1" applyFont="1" applyFill="1" applyBorder="1" applyAlignment="1">
      <alignment horizontal="right" vertical="center"/>
    </xf>
    <xf numFmtId="0" fontId="8" fillId="9" borderId="21" xfId="2" applyFont="1" applyFill="1" applyBorder="1" applyAlignment="1">
      <alignment vertical="center" wrapText="1"/>
    </xf>
    <xf numFmtId="0" fontId="21" fillId="3" borderId="20" xfId="2" applyFont="1" applyFill="1" applyBorder="1" applyAlignment="1">
      <alignment horizontal="center" vertical="center" wrapText="1"/>
    </xf>
    <xf numFmtId="0" fontId="21" fillId="7" borderId="20" xfId="2" applyFont="1" applyFill="1" applyBorder="1" applyAlignment="1">
      <alignment horizontal="center" vertical="center" wrapText="1"/>
    </xf>
    <xf numFmtId="0" fontId="22" fillId="10" borderId="20" xfId="2" applyFont="1" applyFill="1" applyBorder="1" applyAlignment="1">
      <alignment horizontal="left" vertical="center" wrapText="1"/>
    </xf>
    <xf numFmtId="0" fontId="8" fillId="11" borderId="22" xfId="2" applyFont="1" applyFill="1" applyBorder="1" applyAlignment="1">
      <alignment horizontal="center" vertical="center" wrapText="1"/>
    </xf>
    <xf numFmtId="0" fontId="23" fillId="0" borderId="1" xfId="2" applyFont="1" applyAlignment="1">
      <alignment vertical="center"/>
    </xf>
    <xf numFmtId="3" fontId="4" fillId="12" borderId="2" xfId="0" applyNumberFormat="1" applyFont="1" applyFill="1" applyBorder="1" applyAlignment="1">
      <alignment horizontal="right" vertical="center"/>
    </xf>
    <xf numFmtId="9" fontId="4" fillId="3" borderId="2" xfId="0" applyNumberFormat="1" applyFont="1" applyFill="1" applyBorder="1" applyAlignment="1">
      <alignment horizontal="right" vertical="center"/>
    </xf>
    <xf numFmtId="41" fontId="8" fillId="2" borderId="6" xfId="0" applyNumberFormat="1" applyFont="1" applyFill="1" applyBorder="1" applyAlignment="1">
      <alignment vertical="center"/>
    </xf>
    <xf numFmtId="10" fontId="8" fillId="2" borderId="6" xfId="0" applyNumberFormat="1" applyFont="1" applyFill="1" applyBorder="1" applyAlignment="1">
      <alignment vertical="center"/>
    </xf>
    <xf numFmtId="0" fontId="24" fillId="2" borderId="6" xfId="0" applyFont="1" applyFill="1" applyBorder="1" applyAlignment="1">
      <alignment vertical="center"/>
    </xf>
    <xf numFmtId="0" fontId="24" fillId="2" borderId="6" xfId="0" applyFont="1" applyFill="1" applyBorder="1" applyAlignment="1">
      <alignment horizontal="right" vertical="center"/>
    </xf>
    <xf numFmtId="3" fontId="12" fillId="5" borderId="7" xfId="0" applyNumberFormat="1" applyFont="1" applyFill="1" applyBorder="1"/>
    <xf numFmtId="41" fontId="24" fillId="2" borderId="6" xfId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0" fillId="4" borderId="0" xfId="0" applyFill="1"/>
    <xf numFmtId="0" fontId="2" fillId="3" borderId="23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3" fontId="4" fillId="3" borderId="23" xfId="0" applyNumberFormat="1" applyFont="1" applyFill="1" applyBorder="1" applyAlignment="1">
      <alignment horizontal="right" vertical="center" wrapText="1"/>
    </xf>
    <xf numFmtId="3" fontId="4" fillId="3" borderId="23" xfId="0" applyNumberFormat="1" applyFont="1" applyFill="1" applyBorder="1" applyAlignment="1">
      <alignment horizontal="right" vertical="center"/>
    </xf>
    <xf numFmtId="3" fontId="4" fillId="3" borderId="10" xfId="0" applyNumberFormat="1" applyFont="1" applyFill="1" applyBorder="1" applyAlignment="1">
      <alignment horizontal="right" vertical="center" wrapText="1"/>
    </xf>
    <xf numFmtId="3" fontId="4" fillId="3" borderId="10" xfId="0" applyNumberFormat="1" applyFont="1" applyFill="1" applyBorder="1" applyAlignment="1">
      <alignment horizontal="right" vertical="center"/>
    </xf>
    <xf numFmtId="0" fontId="4" fillId="6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right"/>
    </xf>
    <xf numFmtId="3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right" vertical="center"/>
    </xf>
    <xf numFmtId="0" fontId="4" fillId="6" borderId="28" xfId="0" applyFont="1" applyFill="1" applyBorder="1" applyAlignment="1">
      <alignment horizontal="center" vertical="center"/>
    </xf>
    <xf numFmtId="41" fontId="4" fillId="3" borderId="28" xfId="1" applyFont="1" applyFill="1" applyBorder="1" applyAlignment="1">
      <alignment vertical="center" wrapText="1"/>
    </xf>
    <xf numFmtId="41" fontId="4" fillId="3" borderId="28" xfId="1" applyFont="1" applyFill="1" applyBorder="1" applyAlignment="1">
      <alignment vertical="center"/>
    </xf>
    <xf numFmtId="0" fontId="2" fillId="3" borderId="28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/>
    </xf>
    <xf numFmtId="41" fontId="16" fillId="0" borderId="29" xfId="1" applyFont="1" applyBorder="1" applyAlignment="1">
      <alignment vertical="center"/>
    </xf>
    <xf numFmtId="41" fontId="4" fillId="3" borderId="29" xfId="1" applyFont="1" applyFill="1" applyBorder="1" applyAlignment="1">
      <alignment vertical="center" wrapText="1"/>
    </xf>
    <xf numFmtId="41" fontId="4" fillId="3" borderId="29" xfId="1" applyFont="1" applyFill="1" applyBorder="1" applyAlignment="1">
      <alignment vertical="center"/>
    </xf>
    <xf numFmtId="0" fontId="2" fillId="3" borderId="29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/>
    </xf>
    <xf numFmtId="0" fontId="0" fillId="0" borderId="29" xfId="0" applyBorder="1"/>
    <xf numFmtId="41" fontId="16" fillId="0" borderId="29" xfId="1" applyFont="1" applyBorder="1" applyAlignment="1">
      <alignment horizontal="right" vertical="center"/>
    </xf>
    <xf numFmtId="41" fontId="16" fillId="0" borderId="29" xfId="1" applyFont="1" applyBorder="1" applyAlignment="1"/>
    <xf numFmtId="0" fontId="16" fillId="0" borderId="30" xfId="0" applyFont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41" fontId="16" fillId="4" borderId="31" xfId="1" applyFont="1" applyFill="1" applyBorder="1" applyAlignment="1"/>
    <xf numFmtId="0" fontId="0" fillId="4" borderId="31" xfId="0" applyFill="1" applyBorder="1"/>
    <xf numFmtId="41" fontId="19" fillId="4" borderId="31" xfId="1" applyFont="1" applyFill="1" applyBorder="1" applyAlignment="1"/>
    <xf numFmtId="0" fontId="12" fillId="0" borderId="0" xfId="0" applyFont="1"/>
    <xf numFmtId="41" fontId="16" fillId="0" borderId="30" xfId="1" applyFont="1" applyBorder="1" applyAlignment="1">
      <alignment vertical="center"/>
    </xf>
    <xf numFmtId="178" fontId="16" fillId="0" borderId="29" xfId="1" applyNumberFormat="1" applyFont="1" applyBorder="1" applyAlignment="1">
      <alignment vertical="center"/>
    </xf>
    <xf numFmtId="178" fontId="16" fillId="0" borderId="30" xfId="1" applyNumberFormat="1" applyFont="1" applyBorder="1" applyAlignment="1">
      <alignment vertical="center"/>
    </xf>
    <xf numFmtId="41" fontId="16" fillId="0" borderId="30" xfId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41" fontId="25" fillId="0" borderId="0" xfId="0" applyNumberFormat="1" applyFont="1" applyAlignment="1">
      <alignment vertical="center"/>
    </xf>
    <xf numFmtId="3" fontId="26" fillId="13" borderId="1" xfId="0" applyNumberFormat="1" applyFont="1" applyFill="1" applyBorder="1" applyAlignment="1">
      <alignment horizontal="right" vertical="center"/>
    </xf>
    <xf numFmtId="0" fontId="12" fillId="0" borderId="29" xfId="0" applyFont="1" applyBorder="1" applyAlignment="1">
      <alignment horizontal="center" vertical="center"/>
    </xf>
    <xf numFmtId="0" fontId="27" fillId="3" borderId="2" xfId="0" applyFont="1" applyFill="1" applyBorder="1" applyAlignment="1">
      <alignment horizontal="left" vertical="center" wrapText="1"/>
    </xf>
    <xf numFmtId="0" fontId="28" fillId="4" borderId="2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 wrapText="1"/>
    </xf>
    <xf numFmtId="41" fontId="27" fillId="0" borderId="28" xfId="1" applyFont="1" applyFill="1" applyBorder="1" applyAlignment="1">
      <alignment vertical="center" wrapText="1"/>
    </xf>
    <xf numFmtId="41" fontId="29" fillId="0" borderId="29" xfId="1" applyFont="1" applyFill="1" applyBorder="1" applyAlignment="1">
      <alignment vertical="center"/>
    </xf>
    <xf numFmtId="41" fontId="29" fillId="0" borderId="29" xfId="1" applyFont="1" applyFill="1" applyBorder="1" applyAlignment="1">
      <alignment horizontal="right" vertical="center"/>
    </xf>
    <xf numFmtId="41" fontId="29" fillId="0" borderId="29" xfId="1" applyFont="1" applyFill="1" applyBorder="1" applyAlignment="1"/>
    <xf numFmtId="41" fontId="29" fillId="0" borderId="30" xfId="1" applyFont="1" applyFill="1" applyBorder="1" applyAlignment="1"/>
    <xf numFmtId="41" fontId="30" fillId="4" borderId="31" xfId="1" applyFont="1" applyFill="1" applyBorder="1" applyAlignment="1"/>
    <xf numFmtId="41" fontId="27" fillId="0" borderId="29" xfId="1" applyFont="1" applyFill="1" applyBorder="1" applyAlignment="1">
      <alignment vertical="center" wrapText="1"/>
    </xf>
    <xf numFmtId="41" fontId="27" fillId="3" borderId="29" xfId="1" applyFont="1" applyFill="1" applyBorder="1" applyAlignment="1">
      <alignment vertical="center"/>
    </xf>
    <xf numFmtId="3" fontId="27" fillId="6" borderId="2" xfId="0" applyNumberFormat="1" applyFont="1" applyFill="1" applyBorder="1" applyAlignment="1">
      <alignment horizontal="right" vertical="center"/>
    </xf>
    <xf numFmtId="41" fontId="15" fillId="15" borderId="1" xfId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0" fontId="27" fillId="6" borderId="2" xfId="3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right" vertical="center"/>
    </xf>
    <xf numFmtId="4" fontId="4" fillId="3" borderId="4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 wrapText="1"/>
    </xf>
    <xf numFmtId="9" fontId="4" fillId="3" borderId="4" xfId="3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left" vertical="center"/>
    </xf>
    <xf numFmtId="0" fontId="11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4" xfId="0" applyBorder="1"/>
    <xf numFmtId="0" fontId="8" fillId="15" borderId="6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6" fillId="5" borderId="3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horizontal="left"/>
    </xf>
    <xf numFmtId="0" fontId="16" fillId="5" borderId="5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4" xfId="0" applyFill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0" fillId="0" borderId="18" xfId="0" applyBorder="1"/>
    <xf numFmtId="0" fontId="3" fillId="2" borderId="16" xfId="0" applyFont="1" applyFill="1" applyBorder="1" applyAlignment="1">
      <alignment horizontal="center" vertical="center"/>
    </xf>
    <xf numFmtId="0" fontId="0" fillId="0" borderId="19" xfId="0" applyBorder="1"/>
    <xf numFmtId="0" fontId="6" fillId="5" borderId="8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left"/>
    </xf>
    <xf numFmtId="0" fontId="0" fillId="0" borderId="15" xfId="0" applyBorder="1"/>
    <xf numFmtId="0" fontId="4" fillId="14" borderId="6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41" fontId="19" fillId="4" borderId="27" xfId="1" applyFont="1" applyFill="1" applyBorder="1" applyAlignment="1">
      <alignment horizontal="center" vertical="center"/>
    </xf>
    <xf numFmtId="41" fontId="19" fillId="4" borderId="1" xfId="1" applyFont="1" applyFill="1" applyBorder="1" applyAlignment="1">
      <alignment horizontal="center" vertical="center"/>
    </xf>
    <xf numFmtId="41" fontId="19" fillId="4" borderId="33" xfId="1" applyFont="1" applyFill="1" applyBorder="1" applyAlignment="1">
      <alignment horizontal="center" vertical="center"/>
    </xf>
    <xf numFmtId="41" fontId="4" fillId="3" borderId="28" xfId="1" applyFont="1" applyFill="1" applyBorder="1" applyAlignment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0" fillId="0" borderId="1" xfId="2" applyFont="1" applyAlignment="1">
      <alignment horizontal="left" vertical="center" wrapText="1"/>
    </xf>
    <xf numFmtId="0" fontId="13" fillId="0" borderId="1" xfId="2"/>
    <xf numFmtId="9" fontId="19" fillId="4" borderId="10" xfId="0" applyNumberFormat="1" applyFont="1" applyFill="1" applyBorder="1" applyAlignment="1">
      <alignment horizontal="center" vertical="center"/>
    </xf>
    <xf numFmtId="9" fontId="19" fillId="4" borderId="10" xfId="0" applyNumberFormat="1" applyFont="1" applyFill="1" applyBorder="1" applyAlignment="1">
      <alignment horizontal="center" vertical="center"/>
    </xf>
    <xf numFmtId="41" fontId="12" fillId="0" borderId="30" xfId="0" applyNumberFormat="1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3" fontId="0" fillId="0" borderId="0" xfId="0" applyNumberFormat="1"/>
    <xf numFmtId="41" fontId="0" fillId="0" borderId="0" xfId="1" applyFont="1" applyAlignment="1"/>
  </cellXfs>
  <cellStyles count="4">
    <cellStyle name="백분율" xfId="3" builtinId="5"/>
    <cellStyle name="쉼표 [0]" xfId="1" builtinId="6"/>
    <cellStyle name="표준" xfId="0" builtinId="0"/>
    <cellStyle name="표준 2" xfId="2" xr:uid="{77938B70-E7DA-45FF-B0F1-C4E1267FA3A1}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4AEF08-208A-4E28-B538-DC1B8B83342F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67521f13-46a2-4c8d-8a6c-c5bab127850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7010-448A-44DA-A4D7-5692C963F850}">
  <sheetPr>
    <pageSetUpPr fitToPage="1"/>
  </sheetPr>
  <dimension ref="A1:F44"/>
  <sheetViews>
    <sheetView showGridLines="0" view="pageBreakPreview" zoomScale="120" zoomScaleNormal="145" zoomScaleSheetLayoutView="120" workbookViewId="0">
      <pane ySplit="6" topLeftCell="A27" activePane="bottomLeft" state="frozen"/>
      <selection activeCell="F21" sqref="F21"/>
      <selection pane="bottomLeft" activeCell="F39" sqref="F39"/>
    </sheetView>
  </sheetViews>
  <sheetFormatPr defaultRowHeight="16.5" x14ac:dyDescent="0.3"/>
  <cols>
    <col min="1" max="1" width="12.25" customWidth="1"/>
    <col min="2" max="2" width="18" bestFit="1" customWidth="1"/>
    <col min="3" max="4" width="10.125" customWidth="1"/>
    <col min="5" max="5" width="21.375" bestFit="1" customWidth="1"/>
    <col min="6" max="6" width="37" customWidth="1"/>
  </cols>
  <sheetData>
    <row r="1" spans="1:6" ht="26.1" customHeight="1" x14ac:dyDescent="0.3">
      <c r="A1" s="199" t="s">
        <v>333</v>
      </c>
      <c r="B1" s="183"/>
      <c r="C1" s="183"/>
      <c r="D1" s="183"/>
      <c r="E1" s="183"/>
      <c r="F1" s="183"/>
    </row>
    <row r="2" spans="1:6" ht="14.1" customHeight="1" x14ac:dyDescent="0.3">
      <c r="A2" s="200"/>
      <c r="B2" s="183"/>
      <c r="C2" s="183"/>
      <c r="D2" s="183"/>
      <c r="E2" s="183"/>
    </row>
    <row r="3" spans="1:6" ht="14.1" customHeight="1" x14ac:dyDescent="0.3">
      <c r="A3" s="200"/>
      <c r="B3" s="183"/>
      <c r="C3" s="183"/>
      <c r="D3" s="183"/>
      <c r="E3" s="183"/>
    </row>
    <row r="4" spans="1:6" ht="14.1" customHeight="1" x14ac:dyDescent="0.3">
      <c r="A4" s="200"/>
      <c r="B4" s="183"/>
      <c r="C4" s="183"/>
      <c r="D4" s="183"/>
      <c r="E4" s="183"/>
      <c r="F4" s="79" t="s">
        <v>355</v>
      </c>
    </row>
    <row r="5" spans="1:6" ht="14.1" customHeight="1" x14ac:dyDescent="0.3">
      <c r="A5" s="225" t="s">
        <v>5</v>
      </c>
      <c r="B5" s="234" t="s">
        <v>330</v>
      </c>
      <c r="C5" s="235"/>
      <c r="D5" s="232" t="s">
        <v>331</v>
      </c>
      <c r="E5" s="225" t="s">
        <v>332</v>
      </c>
      <c r="F5" s="225" t="s">
        <v>126</v>
      </c>
    </row>
    <row r="6" spans="1:6" ht="20.100000000000001" customHeight="1" thickBot="1" x14ac:dyDescent="0.35">
      <c r="A6" s="231"/>
      <c r="B6" s="236" t="s">
        <v>381</v>
      </c>
      <c r="C6" s="236" t="s">
        <v>343</v>
      </c>
      <c r="D6" s="233"/>
      <c r="E6" s="231"/>
      <c r="F6" s="231"/>
    </row>
    <row r="7" spans="1:6" ht="18" customHeight="1" x14ac:dyDescent="0.3">
      <c r="A7" s="113" t="s">
        <v>328</v>
      </c>
      <c r="B7" s="109">
        <f>'도초초 이설 소요예상액'!G33</f>
        <v>2444.4</v>
      </c>
      <c r="C7" s="109">
        <f>'도초초 이설 소요예상액'!G35</f>
        <v>1100</v>
      </c>
      <c r="D7" s="109">
        <f>'도초초 이설 소요예상액'!G48</f>
        <v>2951.2</v>
      </c>
      <c r="E7" s="110">
        <f>B7+D7</f>
        <v>5395.6</v>
      </c>
      <c r="F7" s="106"/>
    </row>
    <row r="8" spans="1:6" ht="18" customHeight="1" x14ac:dyDescent="0.3">
      <c r="A8" s="107" t="s">
        <v>329</v>
      </c>
      <c r="B8" s="124">
        <f>B7/2</f>
        <v>1222.2</v>
      </c>
      <c r="C8" s="124">
        <f>C7/3</f>
        <v>366.66666666666669</v>
      </c>
      <c r="D8" s="111">
        <f>D7/3</f>
        <v>983.73333333333323</v>
      </c>
      <c r="E8" s="112">
        <f>B8+D8</f>
        <v>2205.9333333333334</v>
      </c>
      <c r="F8" s="108" t="s">
        <v>344</v>
      </c>
    </row>
    <row r="9" spans="1:6" ht="18" customHeight="1" x14ac:dyDescent="0.3">
      <c r="A9" s="121" t="s">
        <v>345</v>
      </c>
      <c r="B9" s="228">
        <f>(B7+C7)/(B7+C7+D7)</f>
        <v>0.5456616786747952</v>
      </c>
      <c r="C9" s="228"/>
      <c r="D9" s="229">
        <f>D7/(D7+C7+B7)</f>
        <v>0.45433832132520469</v>
      </c>
      <c r="E9" s="122"/>
      <c r="F9" s="123"/>
    </row>
    <row r="10" spans="1:6" ht="18" customHeight="1" x14ac:dyDescent="0.3">
      <c r="A10" s="56"/>
      <c r="B10" s="117"/>
      <c r="C10" s="117"/>
      <c r="D10" s="118"/>
      <c r="E10" s="119"/>
      <c r="F10" s="120"/>
    </row>
    <row r="11" spans="1:6" ht="18" customHeight="1" x14ac:dyDescent="0.3">
      <c r="A11" s="56"/>
      <c r="B11" s="117"/>
      <c r="C11" s="117"/>
      <c r="D11" s="118"/>
      <c r="E11" s="119"/>
      <c r="F11" s="120"/>
    </row>
    <row r="12" spans="1:6" x14ac:dyDescent="0.3">
      <c r="A12" s="200"/>
      <c r="B12" s="183"/>
      <c r="C12" s="183"/>
      <c r="D12" s="183"/>
      <c r="E12" s="183"/>
      <c r="F12" s="79" t="s">
        <v>355</v>
      </c>
    </row>
    <row r="13" spans="1:6" ht="17.25" thickBot="1" x14ac:dyDescent="0.35">
      <c r="A13" s="114" t="s">
        <v>5</v>
      </c>
      <c r="B13" s="115" t="s">
        <v>330</v>
      </c>
      <c r="C13" s="115" t="s">
        <v>343</v>
      </c>
      <c r="D13" s="115" t="s">
        <v>331</v>
      </c>
      <c r="E13" s="115" t="s">
        <v>332</v>
      </c>
      <c r="F13" s="116" t="s">
        <v>126</v>
      </c>
    </row>
    <row r="14" spans="1:6" x14ac:dyDescent="0.3">
      <c r="A14" s="125" t="s">
        <v>334</v>
      </c>
      <c r="B14" s="161">
        <f>'도초초 이설 소요예상액'!I33</f>
        <v>7134696</v>
      </c>
      <c r="C14" s="161">
        <f>'도초초 이설 소요예상액'!I35</f>
        <v>3928125</v>
      </c>
      <c r="D14" s="161">
        <f>'도초초 이설 소요예상액'!I48</f>
        <v>11405714</v>
      </c>
      <c r="E14" s="127">
        <f>B14+C14+D14</f>
        <v>22468535</v>
      </c>
      <c r="F14" s="128"/>
    </row>
    <row r="15" spans="1:6" x14ac:dyDescent="0.3">
      <c r="A15" s="129" t="s">
        <v>335</v>
      </c>
      <c r="B15" s="162">
        <f>'도초초 이설 소요예상액'!I61</f>
        <v>2166501.125</v>
      </c>
      <c r="C15" s="162"/>
      <c r="D15" s="167">
        <f>'도초초 이설 소요예상액'!I65</f>
        <v>727527</v>
      </c>
      <c r="E15" s="168">
        <f>B15+D15</f>
        <v>2894028.125</v>
      </c>
      <c r="F15" s="133"/>
    </row>
    <row r="16" spans="1:6" x14ac:dyDescent="0.3">
      <c r="A16" s="134" t="s">
        <v>336</v>
      </c>
      <c r="B16" s="162">
        <f>'도초초 이설 소요예상액'!I74</f>
        <v>2643544.1</v>
      </c>
      <c r="C16" s="162"/>
      <c r="D16" s="162">
        <f>'도초초 이설 소요예상액'!I76</f>
        <v>462500</v>
      </c>
      <c r="E16" s="130">
        <f>B16+C16+D16</f>
        <v>3106044.1</v>
      </c>
      <c r="F16" s="135"/>
    </row>
    <row r="17" spans="1:6" x14ac:dyDescent="0.3">
      <c r="A17" s="134" t="s">
        <v>337</v>
      </c>
      <c r="B17" s="162">
        <f>'도초초 이설 소요예상액'!I90*B9</f>
        <v>2244568.5574163371</v>
      </c>
      <c r="C17" s="162"/>
      <c r="D17" s="162">
        <f>'도초초 이설 소요예상액'!I90*D9</f>
        <v>1868911.7274142574</v>
      </c>
      <c r="E17" s="130">
        <f>B17+D17</f>
        <v>4113480.2848305944</v>
      </c>
      <c r="F17" s="135"/>
    </row>
    <row r="18" spans="1:6" x14ac:dyDescent="0.3">
      <c r="A18" s="134" t="s">
        <v>338</v>
      </c>
      <c r="B18" s="163">
        <f>'도초초 이설 소요예상액'!I92*B9</f>
        <v>35728.724418231883</v>
      </c>
      <c r="C18" s="163"/>
      <c r="D18" s="163">
        <f>'도초초 이설 소요예상액'!I92*D9</f>
        <v>29749.072199268117</v>
      </c>
      <c r="E18" s="136">
        <f>B18+D18</f>
        <v>65477.796617500004</v>
      </c>
      <c r="F18" s="135"/>
    </row>
    <row r="19" spans="1:6" x14ac:dyDescent="0.3">
      <c r="A19" s="134" t="s">
        <v>339</v>
      </c>
      <c r="B19" s="163">
        <f>'도초초 이설 소요예상액'!I83*B9</f>
        <v>65479.401440975424</v>
      </c>
      <c r="C19" s="163"/>
      <c r="D19" s="163">
        <f>'도초초 이설 소요예상액'!I83*D9</f>
        <v>54520.598559024562</v>
      </c>
      <c r="E19" s="136">
        <f>B19+D19</f>
        <v>119999.99999999999</v>
      </c>
      <c r="F19" s="135"/>
    </row>
    <row r="20" spans="1:6" x14ac:dyDescent="0.3">
      <c r="A20" s="134" t="s">
        <v>340</v>
      </c>
      <c r="B20" s="164"/>
      <c r="C20" s="164"/>
      <c r="D20" s="164"/>
      <c r="E20" s="137"/>
      <c r="F20" s="135"/>
    </row>
    <row r="21" spans="1:6" x14ac:dyDescent="0.3">
      <c r="A21" s="134" t="s">
        <v>341</v>
      </c>
      <c r="B21" s="164"/>
      <c r="C21" s="164"/>
      <c r="D21" s="164"/>
      <c r="E21" s="137"/>
      <c r="F21" s="135"/>
    </row>
    <row r="22" spans="1:6" x14ac:dyDescent="0.3">
      <c r="A22" s="134" t="s">
        <v>342</v>
      </c>
      <c r="B22" s="164">
        <v>541890</v>
      </c>
      <c r="C22" s="164"/>
      <c r="D22" s="164">
        <v>230000</v>
      </c>
      <c r="E22" s="137">
        <f>B22+D22</f>
        <v>771890</v>
      </c>
      <c r="F22" s="151" t="s">
        <v>373</v>
      </c>
    </row>
    <row r="23" spans="1:6" x14ac:dyDescent="0.3">
      <c r="A23" s="138" t="s">
        <v>374</v>
      </c>
      <c r="B23" s="165">
        <f>('도초초 이설 소요예상액'!I97+'도초초 이설 소요예상액'!I100)*10%</f>
        <v>3353945.5306448098</v>
      </c>
      <c r="C23" s="165"/>
      <c r="D23" s="165"/>
      <c r="E23" s="137">
        <f>B23+D23</f>
        <v>3353945.5306448098</v>
      </c>
      <c r="F23" s="230" t="s">
        <v>380</v>
      </c>
    </row>
    <row r="24" spans="1:6" x14ac:dyDescent="0.3">
      <c r="A24" s="139" t="s">
        <v>327</v>
      </c>
      <c r="B24" s="140">
        <f>SUM(B14:B23)</f>
        <v>18186353.438920356</v>
      </c>
      <c r="C24" s="140">
        <f t="shared" ref="C24:D24" si="0">SUM(C14:C23)</f>
        <v>3928125</v>
      </c>
      <c r="D24" s="140">
        <f t="shared" si="0"/>
        <v>14778922.39817255</v>
      </c>
      <c r="E24" s="142">
        <f>SUM(E14:E23)</f>
        <v>36893400.837092906</v>
      </c>
      <c r="F24" s="141"/>
    </row>
    <row r="25" spans="1:6" x14ac:dyDescent="0.3">
      <c r="E25" s="79" t="s">
        <v>355</v>
      </c>
    </row>
    <row r="26" spans="1:6" ht="17.25" thickBot="1" x14ac:dyDescent="0.35">
      <c r="A26" s="114" t="s">
        <v>346</v>
      </c>
      <c r="B26" s="115" t="s">
        <v>369</v>
      </c>
      <c r="C26" s="115" t="s">
        <v>331</v>
      </c>
      <c r="D26" s="115" t="s">
        <v>332</v>
      </c>
      <c r="E26" s="224" t="s">
        <v>126</v>
      </c>
      <c r="F26" s="225"/>
    </row>
    <row r="27" spans="1:6" x14ac:dyDescent="0.3">
      <c r="A27" s="125" t="s">
        <v>347</v>
      </c>
      <c r="B27" s="126"/>
      <c r="C27" s="126">
        <f>E35</f>
        <v>9743541.254999999</v>
      </c>
      <c r="D27" s="126">
        <f>B27+C27</f>
        <v>9743541.254999999</v>
      </c>
      <c r="E27" s="223" t="s">
        <v>372</v>
      </c>
      <c r="F27" s="223"/>
    </row>
    <row r="28" spans="1:6" x14ac:dyDescent="0.3">
      <c r="A28" s="129" t="s">
        <v>348</v>
      </c>
      <c r="B28" s="130">
        <v>3000000</v>
      </c>
      <c r="C28" s="130">
        <f>(D24-C27)*50%</f>
        <v>2517690.5715862755</v>
      </c>
      <c r="D28" s="131">
        <f>B28+C28</f>
        <v>5517690.5715862755</v>
      </c>
      <c r="E28" s="132" t="s">
        <v>370</v>
      </c>
      <c r="F28" s="132"/>
    </row>
    <row r="29" spans="1:6" x14ac:dyDescent="0.3">
      <c r="A29" s="134" t="s">
        <v>349</v>
      </c>
      <c r="B29" s="130">
        <f>B24-B28+C24</f>
        <v>19114478.438920356</v>
      </c>
      <c r="C29" s="130">
        <f>(D24-C27)*50%</f>
        <v>2517690.5715862755</v>
      </c>
      <c r="D29" s="130">
        <f>B29+C29</f>
        <v>21632169.01050663</v>
      </c>
      <c r="E29" s="130" t="s">
        <v>371</v>
      </c>
      <c r="F29" s="130"/>
    </row>
    <row r="30" spans="1:6" x14ac:dyDescent="0.3">
      <c r="A30" s="139" t="s">
        <v>327</v>
      </c>
      <c r="B30" s="140">
        <f>SUM(B27:B29)</f>
        <v>22114478.438920356</v>
      </c>
      <c r="C30" s="140">
        <f>SUM(C27:C29)</f>
        <v>14778922.39817255</v>
      </c>
      <c r="D30" s="140">
        <f>SUM(D27:D29)</f>
        <v>36893400.837092906</v>
      </c>
      <c r="E30" s="166"/>
      <c r="F30" s="142"/>
    </row>
    <row r="32" spans="1:6" x14ac:dyDescent="0.3">
      <c r="A32" s="143" t="s">
        <v>350</v>
      </c>
    </row>
    <row r="33" spans="1:6" x14ac:dyDescent="0.3">
      <c r="A33" s="143"/>
      <c r="E33" s="79" t="s">
        <v>356</v>
      </c>
    </row>
    <row r="34" spans="1:6" ht="17.25" thickBot="1" x14ac:dyDescent="0.35">
      <c r="A34" s="114" t="s">
        <v>351</v>
      </c>
      <c r="B34" s="115" t="s">
        <v>352</v>
      </c>
      <c r="C34" s="115" t="s">
        <v>353</v>
      </c>
      <c r="D34" s="115" t="s">
        <v>354</v>
      </c>
      <c r="E34" s="115" t="s">
        <v>368</v>
      </c>
    </row>
    <row r="35" spans="1:6" x14ac:dyDescent="0.3">
      <c r="A35" s="125" t="s">
        <v>357</v>
      </c>
      <c r="B35" s="126">
        <v>6076</v>
      </c>
      <c r="C35" s="126"/>
      <c r="D35" s="126">
        <f>B35*C35</f>
        <v>0</v>
      </c>
      <c r="E35" s="220">
        <f>D42*70%</f>
        <v>9743541.254999999</v>
      </c>
    </row>
    <row r="36" spans="1:6" x14ac:dyDescent="0.3">
      <c r="A36" s="129" t="s">
        <v>358</v>
      </c>
      <c r="B36" s="130">
        <v>4987</v>
      </c>
      <c r="C36" s="145">
        <f>'도초초 이설 소요예상액'!G47</f>
        <v>1360</v>
      </c>
      <c r="D36" s="131">
        <f>B36*C36</f>
        <v>6782320</v>
      </c>
      <c r="E36" s="221"/>
    </row>
    <row r="37" spans="1:6" x14ac:dyDescent="0.3">
      <c r="A37" s="134" t="s">
        <v>359</v>
      </c>
      <c r="B37" s="130">
        <v>4457</v>
      </c>
      <c r="C37" s="145">
        <f>'도초초 이설 소요예상액'!G37+'도초초 이설 소요예상액'!G38+'도초초 이설 소요예상액'!G39</f>
        <v>544.95000000000005</v>
      </c>
      <c r="D37" s="131">
        <f t="shared" ref="D37:D39" si="1">B37*C37</f>
        <v>2428842.1500000004</v>
      </c>
      <c r="E37" s="221"/>
    </row>
    <row r="38" spans="1:6" x14ac:dyDescent="0.3">
      <c r="A38" s="138" t="s">
        <v>360</v>
      </c>
      <c r="B38" s="144">
        <v>4058</v>
      </c>
      <c r="C38" s="146">
        <f>'도초초 이설 소요예상액'!G36+'도초초 이설 소요예상액'!G41+'도초초 이설 소요예상액'!G42+'도초초 이설 소요예상액'!G43</f>
        <v>1046.25</v>
      </c>
      <c r="D38" s="131">
        <f t="shared" si="1"/>
        <v>4245682.5</v>
      </c>
      <c r="E38" s="221"/>
    </row>
    <row r="39" spans="1:6" x14ac:dyDescent="0.3">
      <c r="A39" s="138" t="s">
        <v>361</v>
      </c>
      <c r="B39" s="144">
        <v>3883</v>
      </c>
      <c r="C39" s="146"/>
      <c r="D39" s="131">
        <f t="shared" si="1"/>
        <v>0</v>
      </c>
      <c r="E39" s="221"/>
    </row>
    <row r="40" spans="1:6" x14ac:dyDescent="0.3">
      <c r="A40" s="138" t="s">
        <v>362</v>
      </c>
      <c r="B40" s="147" t="s">
        <v>364</v>
      </c>
      <c r="C40" s="146"/>
      <c r="D40" s="131"/>
      <c r="E40" s="221"/>
    </row>
    <row r="41" spans="1:6" x14ac:dyDescent="0.3">
      <c r="A41" s="138" t="s">
        <v>363</v>
      </c>
      <c r="B41" s="147" t="s">
        <v>365</v>
      </c>
      <c r="C41" s="144"/>
      <c r="D41" s="131">
        <f>'도초초 이설 소요예상액'!I76</f>
        <v>462500</v>
      </c>
      <c r="E41" s="221"/>
    </row>
    <row r="42" spans="1:6" x14ac:dyDescent="0.3">
      <c r="A42" s="139" t="s">
        <v>327</v>
      </c>
      <c r="B42" s="140"/>
      <c r="C42" s="140">
        <f>SUM(C35:C41)</f>
        <v>2951.2</v>
      </c>
      <c r="D42" s="140">
        <f>SUM(D35:D41)</f>
        <v>13919344.65</v>
      </c>
      <c r="E42" s="222"/>
    </row>
    <row r="43" spans="1:6" x14ac:dyDescent="0.3">
      <c r="A43" s="143" t="s">
        <v>366</v>
      </c>
      <c r="B43" s="148"/>
      <c r="C43" s="148"/>
      <c r="D43" s="149"/>
      <c r="E43" s="149"/>
      <c r="F43" s="75"/>
    </row>
    <row r="44" spans="1:6" x14ac:dyDescent="0.3">
      <c r="A44" s="143" t="s">
        <v>367</v>
      </c>
      <c r="B44" s="148"/>
      <c r="C44" s="148"/>
      <c r="D44" s="149"/>
      <c r="E44" s="149"/>
      <c r="F44" s="75"/>
    </row>
  </sheetData>
  <mergeCells count="14">
    <mergeCell ref="E35:E42"/>
    <mergeCell ref="A12:E12"/>
    <mergeCell ref="E27:F27"/>
    <mergeCell ref="E26:F26"/>
    <mergeCell ref="A1:F1"/>
    <mergeCell ref="A2:E2"/>
    <mergeCell ref="A3:E3"/>
    <mergeCell ref="A4:E4"/>
    <mergeCell ref="B9:C9"/>
    <mergeCell ref="B5:C5"/>
    <mergeCell ref="A5:A6"/>
    <mergeCell ref="D5:D6"/>
    <mergeCell ref="E5:E6"/>
    <mergeCell ref="F5:F6"/>
  </mergeCells>
  <phoneticPr fontId="9" type="noConversion"/>
  <printOptions horizontalCentered="1"/>
  <pageMargins left="5.5555555555555558E-3" right="5.5555555555555558E-3" top="5.5555555555555558E-3" bottom="5.5555555555555558E-3" header="2.7777777777777779E-3" footer="2.7777777777777779E-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showGridLines="0" tabSelected="1" zoomScale="115" zoomScaleNormal="115" workbookViewId="0">
      <pane ySplit="6" topLeftCell="A7" activePane="bottomLeft" state="frozen"/>
      <selection activeCell="F21" sqref="F21"/>
      <selection pane="bottomLeft" activeCell="L14" sqref="L14"/>
    </sheetView>
  </sheetViews>
  <sheetFormatPr defaultRowHeight="16.5" x14ac:dyDescent="0.3"/>
  <cols>
    <col min="1" max="1" width="15" customWidth="1"/>
    <col min="2" max="2" width="21.625" bestFit="1" customWidth="1"/>
    <col min="3" max="3" width="18.75" bestFit="1" customWidth="1"/>
    <col min="4" max="4" width="5" customWidth="1"/>
    <col min="5" max="5" width="9" customWidth="1"/>
    <col min="6" max="6" width="10" customWidth="1"/>
    <col min="7" max="7" width="11.625" bestFit="1" customWidth="1"/>
    <col min="8" max="8" width="13" customWidth="1"/>
    <col min="9" max="9" width="14" customWidth="1"/>
    <col min="10" max="10" width="22" customWidth="1"/>
  </cols>
  <sheetData>
    <row r="1" spans="1:10" ht="26.1" customHeight="1" x14ac:dyDescent="0.3">
      <c r="A1" s="199" t="s">
        <v>0</v>
      </c>
      <c r="B1" s="183"/>
      <c r="C1" s="183"/>
      <c r="D1" s="183"/>
      <c r="E1" s="183"/>
      <c r="F1" s="183"/>
      <c r="G1" s="183"/>
      <c r="H1" s="183"/>
      <c r="I1" s="183"/>
      <c r="J1" s="183"/>
    </row>
    <row r="2" spans="1:10" ht="14.1" customHeight="1" x14ac:dyDescent="0.3">
      <c r="A2" s="200" t="s">
        <v>1</v>
      </c>
      <c r="B2" s="183"/>
      <c r="C2" s="183"/>
      <c r="D2" s="183"/>
      <c r="E2" s="183"/>
      <c r="F2" s="183"/>
      <c r="G2" s="183"/>
      <c r="H2" s="183"/>
      <c r="I2" s="183"/>
    </row>
    <row r="3" spans="1:10" ht="14.1" customHeight="1" x14ac:dyDescent="0.3">
      <c r="A3" s="200" t="s">
        <v>2</v>
      </c>
      <c r="B3" s="183"/>
      <c r="C3" s="183"/>
      <c r="D3" s="183"/>
      <c r="E3" s="183"/>
      <c r="F3" s="183"/>
      <c r="G3" s="183"/>
      <c r="H3" s="183"/>
      <c r="I3" s="183"/>
    </row>
    <row r="4" spans="1:10" ht="14.1" customHeight="1" x14ac:dyDescent="0.3">
      <c r="A4" s="200" t="s">
        <v>3</v>
      </c>
      <c r="B4" s="183"/>
      <c r="C4" s="183"/>
      <c r="D4" s="183"/>
      <c r="E4" s="183"/>
      <c r="F4" s="183"/>
      <c r="G4" s="183"/>
      <c r="H4" s="183"/>
      <c r="I4" s="183"/>
      <c r="J4" s="79" t="s">
        <v>4</v>
      </c>
    </row>
    <row r="5" spans="1:10" ht="20.100000000000001" customHeight="1" x14ac:dyDescent="0.3">
      <c r="A5" s="204" t="s">
        <v>5</v>
      </c>
      <c r="B5" s="205"/>
      <c r="C5" s="205"/>
      <c r="D5" s="205" t="s">
        <v>6</v>
      </c>
      <c r="E5" s="205" t="s">
        <v>125</v>
      </c>
      <c r="F5" s="216"/>
      <c r="G5" s="216"/>
      <c r="H5" s="205" t="s">
        <v>7</v>
      </c>
      <c r="I5" s="216"/>
      <c r="J5" s="212" t="s">
        <v>126</v>
      </c>
    </row>
    <row r="6" spans="1:10" ht="18" customHeight="1" thickBot="1" x14ac:dyDescent="0.35">
      <c r="A6" s="206"/>
      <c r="B6" s="207"/>
      <c r="C6" s="207"/>
      <c r="D6" s="211"/>
      <c r="E6" s="78" t="s">
        <v>8</v>
      </c>
      <c r="F6" s="78" t="s">
        <v>9</v>
      </c>
      <c r="G6" s="78" t="s">
        <v>10</v>
      </c>
      <c r="H6" s="78" t="s">
        <v>11</v>
      </c>
      <c r="I6" s="78" t="s">
        <v>12</v>
      </c>
      <c r="J6" s="213"/>
    </row>
    <row r="7" spans="1:10" ht="18" customHeight="1" thickBot="1" x14ac:dyDescent="0.35">
      <c r="A7" s="77" t="s">
        <v>13</v>
      </c>
      <c r="B7" s="24"/>
      <c r="C7" s="24"/>
      <c r="D7" s="24"/>
      <c r="E7" s="24"/>
      <c r="F7" s="24"/>
      <c r="G7" s="24"/>
      <c r="H7" s="24"/>
      <c r="I7" s="24"/>
      <c r="J7" s="24"/>
    </row>
    <row r="8" spans="1:10" ht="18" customHeight="1" x14ac:dyDescent="0.3">
      <c r="A8" s="217" t="s">
        <v>15</v>
      </c>
      <c r="B8" s="182" t="s">
        <v>16</v>
      </c>
      <c r="C8" s="2" t="s">
        <v>17</v>
      </c>
      <c r="D8" s="3" t="s">
        <v>18</v>
      </c>
      <c r="E8" s="6">
        <v>6</v>
      </c>
      <c r="F8" s="7">
        <v>60.75</v>
      </c>
      <c r="G8" s="7">
        <v>364.5</v>
      </c>
      <c r="H8" s="6">
        <f>시설단가!E104*1.25</f>
        <v>2808.75</v>
      </c>
      <c r="I8" s="6">
        <f>G8*H8</f>
        <v>1023789.375</v>
      </c>
      <c r="J8" s="171" t="s">
        <v>321</v>
      </c>
    </row>
    <row r="9" spans="1:10" ht="18" customHeight="1" x14ac:dyDescent="0.3">
      <c r="A9" s="218"/>
      <c r="B9" s="183"/>
      <c r="C9" s="2" t="s">
        <v>19</v>
      </c>
      <c r="D9" s="3" t="s">
        <v>18</v>
      </c>
      <c r="E9" s="6">
        <v>2</v>
      </c>
      <c r="F9" s="7">
        <v>60.75</v>
      </c>
      <c r="G9" s="7">
        <v>121.5</v>
      </c>
      <c r="H9" s="6">
        <f>H8</f>
        <v>2808.75</v>
      </c>
      <c r="I9" s="6">
        <f>G9*H9</f>
        <v>341263.125</v>
      </c>
      <c r="J9" s="171"/>
    </row>
    <row r="10" spans="1:10" ht="18" customHeight="1" x14ac:dyDescent="0.3">
      <c r="A10" s="218"/>
      <c r="B10" s="183"/>
      <c r="C10" s="2" t="s">
        <v>20</v>
      </c>
      <c r="D10" s="3" t="s">
        <v>18</v>
      </c>
      <c r="E10" s="6">
        <v>1</v>
      </c>
      <c r="F10" s="7">
        <v>60.75</v>
      </c>
      <c r="G10" s="7">
        <v>60.75</v>
      </c>
      <c r="H10" s="6">
        <f>H8</f>
        <v>2808.75</v>
      </c>
      <c r="I10" s="6">
        <f>G10*H10</f>
        <v>170631.5625</v>
      </c>
      <c r="J10" s="171"/>
    </row>
    <row r="11" spans="1:10" ht="18" customHeight="1" x14ac:dyDescent="0.3">
      <c r="A11" s="218"/>
      <c r="B11" s="184"/>
      <c r="C11" s="16" t="s">
        <v>21</v>
      </c>
      <c r="D11" s="17"/>
      <c r="E11" s="18">
        <f>SUM(E8:E10)</f>
        <v>9</v>
      </c>
      <c r="F11" s="19">
        <v>182.25</v>
      </c>
      <c r="G11" s="19">
        <f>SUM(G8:G10)</f>
        <v>546.75</v>
      </c>
      <c r="H11" s="20"/>
      <c r="I11" s="21">
        <f>SUM(I8:I10)</f>
        <v>1535684.0625</v>
      </c>
      <c r="J11" s="172"/>
    </row>
    <row r="12" spans="1:10" ht="18" customHeight="1" x14ac:dyDescent="0.3">
      <c r="A12" s="218"/>
      <c r="B12" s="182" t="s">
        <v>376</v>
      </c>
      <c r="C12" s="2" t="s">
        <v>22</v>
      </c>
      <c r="D12" s="3" t="s">
        <v>18</v>
      </c>
      <c r="E12" s="6">
        <v>1</v>
      </c>
      <c r="F12" s="7">
        <v>135</v>
      </c>
      <c r="G12" s="7">
        <v>135</v>
      </c>
      <c r="H12" s="6">
        <f>H8</f>
        <v>2808.75</v>
      </c>
      <c r="I12" s="6">
        <f>G12*H12</f>
        <v>379181.25</v>
      </c>
      <c r="J12" s="171"/>
    </row>
    <row r="13" spans="1:10" ht="18" customHeight="1" x14ac:dyDescent="0.3">
      <c r="A13" s="218"/>
      <c r="B13" s="183"/>
      <c r="C13" s="2" t="s">
        <v>23</v>
      </c>
      <c r="D13" s="3" t="s">
        <v>18</v>
      </c>
      <c r="E13" s="6">
        <v>2</v>
      </c>
      <c r="F13" s="7">
        <v>60.75</v>
      </c>
      <c r="G13" s="7">
        <v>121.5</v>
      </c>
      <c r="H13" s="6">
        <f>H8</f>
        <v>2808.75</v>
      </c>
      <c r="I13" s="6">
        <f>G13*H13</f>
        <v>341263.125</v>
      </c>
      <c r="J13" s="171" t="s">
        <v>24</v>
      </c>
    </row>
    <row r="14" spans="1:10" ht="18" customHeight="1" thickBot="1" x14ac:dyDescent="0.35">
      <c r="A14" s="218"/>
      <c r="B14" s="184"/>
      <c r="C14" s="16" t="s">
        <v>21</v>
      </c>
      <c r="D14" s="17"/>
      <c r="E14" s="18">
        <f>SUM(E12:E13)</f>
        <v>3</v>
      </c>
      <c r="F14" s="20"/>
      <c r="G14" s="19">
        <f>SUM(G12:G13)</f>
        <v>256.5</v>
      </c>
      <c r="H14" s="20"/>
      <c r="I14" s="21">
        <f>SUM(I12:I13)</f>
        <v>720444.375</v>
      </c>
      <c r="J14" s="172"/>
    </row>
    <row r="15" spans="1:10" ht="18" customHeight="1" thickBot="1" x14ac:dyDescent="0.35">
      <c r="A15" s="219"/>
      <c r="B15" s="54" t="s">
        <v>25</v>
      </c>
      <c r="C15" s="25"/>
      <c r="D15" s="25"/>
      <c r="E15" s="60">
        <f>E11+E14</f>
        <v>12</v>
      </c>
      <c r="F15" s="61"/>
      <c r="G15" s="62">
        <f>G11+G14</f>
        <v>803.25</v>
      </c>
      <c r="H15" s="61"/>
      <c r="I15" s="49">
        <f>I11+I14</f>
        <v>2256128.4375</v>
      </c>
      <c r="J15" s="63"/>
    </row>
    <row r="16" spans="1:10" ht="18" customHeight="1" x14ac:dyDescent="0.3">
      <c r="A16" s="217" t="s">
        <v>26</v>
      </c>
      <c r="B16" s="187" t="s">
        <v>127</v>
      </c>
      <c r="C16" s="2" t="s">
        <v>27</v>
      </c>
      <c r="D16" s="3" t="s">
        <v>18</v>
      </c>
      <c r="E16" s="6">
        <v>2</v>
      </c>
      <c r="F16" s="7">
        <v>30</v>
      </c>
      <c r="G16" s="7">
        <f>E16*F16</f>
        <v>60</v>
      </c>
      <c r="H16" s="6">
        <f>H8</f>
        <v>2808.75</v>
      </c>
      <c r="I16" s="6">
        <f>G16*H16</f>
        <v>168525</v>
      </c>
      <c r="J16" s="5" t="s">
        <v>28</v>
      </c>
    </row>
    <row r="17" spans="1:10" ht="18" customHeight="1" x14ac:dyDescent="0.3">
      <c r="A17" s="218"/>
      <c r="B17" s="188"/>
      <c r="C17" s="2" t="s">
        <v>29</v>
      </c>
      <c r="D17" s="3" t="s">
        <v>18</v>
      </c>
      <c r="E17" s="6">
        <v>2</v>
      </c>
      <c r="F17" s="7">
        <v>30</v>
      </c>
      <c r="G17" s="7">
        <f>E17*F17</f>
        <v>60</v>
      </c>
      <c r="H17" s="6">
        <f>H8</f>
        <v>2808.75</v>
      </c>
      <c r="I17" s="6">
        <f>G17*H17</f>
        <v>168525</v>
      </c>
      <c r="J17" s="5" t="s">
        <v>28</v>
      </c>
    </row>
    <row r="18" spans="1:10" ht="18" customHeight="1" x14ac:dyDescent="0.3">
      <c r="A18" s="218"/>
      <c r="B18" s="186"/>
      <c r="C18" s="16" t="s">
        <v>21</v>
      </c>
      <c r="D18" s="17"/>
      <c r="E18" s="18">
        <f>SUM(E16:E17)</f>
        <v>4</v>
      </c>
      <c r="F18" s="20"/>
      <c r="G18" s="18">
        <f>SUM(G16:G17)</f>
        <v>120</v>
      </c>
      <c r="H18" s="20"/>
      <c r="I18" s="21">
        <f>SUM(I16:I17)</f>
        <v>337050</v>
      </c>
      <c r="J18" s="22"/>
    </row>
    <row r="19" spans="1:10" ht="18" customHeight="1" x14ac:dyDescent="0.3">
      <c r="A19" s="218"/>
      <c r="B19" s="182" t="s">
        <v>30</v>
      </c>
      <c r="C19" s="2" t="s">
        <v>31</v>
      </c>
      <c r="D19" s="3" t="s">
        <v>18</v>
      </c>
      <c r="E19" s="6">
        <v>1</v>
      </c>
      <c r="F19" s="7">
        <v>120</v>
      </c>
      <c r="G19" s="7">
        <v>120</v>
      </c>
      <c r="H19" s="6">
        <f>시설단가!E22*1.25</f>
        <v>3112.5</v>
      </c>
      <c r="I19" s="6">
        <f>G19*H19</f>
        <v>373500</v>
      </c>
      <c r="J19" s="5"/>
    </row>
    <row r="20" spans="1:10" ht="18" customHeight="1" x14ac:dyDescent="0.3">
      <c r="A20" s="218"/>
      <c r="B20" s="183"/>
      <c r="C20" s="2" t="s">
        <v>32</v>
      </c>
      <c r="D20" s="3" t="s">
        <v>18</v>
      </c>
      <c r="E20" s="6">
        <v>1</v>
      </c>
      <c r="F20" s="7">
        <v>90</v>
      </c>
      <c r="G20" s="7">
        <v>90</v>
      </c>
      <c r="H20" s="6">
        <f>시설단가!E23*1.25</f>
        <v>5392.5</v>
      </c>
      <c r="I20" s="6">
        <f>G20*H20</f>
        <v>485325</v>
      </c>
      <c r="J20" s="5"/>
    </row>
    <row r="21" spans="1:10" ht="18" customHeight="1" x14ac:dyDescent="0.3">
      <c r="A21" s="218"/>
      <c r="B21" s="184"/>
      <c r="C21" s="16" t="s">
        <v>21</v>
      </c>
      <c r="D21" s="17"/>
      <c r="E21" s="18">
        <f>SUM(E19:E20)</f>
        <v>2</v>
      </c>
      <c r="F21" s="20"/>
      <c r="G21" s="18">
        <f>SUM(G19:G20)</f>
        <v>210</v>
      </c>
      <c r="H21" s="20"/>
      <c r="I21" s="21">
        <f>SUM(I19:I20)</f>
        <v>858825</v>
      </c>
      <c r="J21" s="22"/>
    </row>
    <row r="22" spans="1:10" ht="18" customHeight="1" x14ac:dyDescent="0.3">
      <c r="A22" s="218"/>
      <c r="B22" s="182" t="s">
        <v>33</v>
      </c>
      <c r="C22" s="2" t="s">
        <v>34</v>
      </c>
      <c r="D22" s="3" t="s">
        <v>18</v>
      </c>
      <c r="E22" s="6">
        <v>1</v>
      </c>
      <c r="F22" s="7">
        <v>60.75</v>
      </c>
      <c r="G22" s="7">
        <v>60.75</v>
      </c>
      <c r="H22" s="6">
        <f>H8</f>
        <v>2808.75</v>
      </c>
      <c r="I22" s="6">
        <f t="shared" ref="I22:I28" si="0">G22*H22</f>
        <v>170631.5625</v>
      </c>
      <c r="J22" s="5"/>
    </row>
    <row r="23" spans="1:10" ht="18" customHeight="1" x14ac:dyDescent="0.3">
      <c r="A23" s="218"/>
      <c r="B23" s="183"/>
      <c r="C23" s="2" t="s">
        <v>35</v>
      </c>
      <c r="D23" s="3" t="s">
        <v>18</v>
      </c>
      <c r="E23" s="6">
        <v>1</v>
      </c>
      <c r="F23" s="7">
        <v>60.75</v>
      </c>
      <c r="G23" s="7">
        <v>60.75</v>
      </c>
      <c r="H23" s="6">
        <f>H8</f>
        <v>2808.75</v>
      </c>
      <c r="I23" s="6">
        <f t="shared" si="0"/>
        <v>170631.5625</v>
      </c>
      <c r="J23" s="5"/>
    </row>
    <row r="24" spans="1:10" ht="18" customHeight="1" x14ac:dyDescent="0.3">
      <c r="A24" s="218"/>
      <c r="B24" s="183"/>
      <c r="C24" s="2" t="s">
        <v>36</v>
      </c>
      <c r="D24" s="3" t="s">
        <v>18</v>
      </c>
      <c r="E24" s="6">
        <v>1</v>
      </c>
      <c r="F24" s="7">
        <v>60.75</v>
      </c>
      <c r="G24" s="7">
        <v>60.75</v>
      </c>
      <c r="H24" s="6">
        <f>H8</f>
        <v>2808.75</v>
      </c>
      <c r="I24" s="6">
        <f t="shared" si="0"/>
        <v>170631.5625</v>
      </c>
      <c r="J24" s="5"/>
    </row>
    <row r="25" spans="1:10" ht="18" customHeight="1" x14ac:dyDescent="0.3">
      <c r="A25" s="218"/>
      <c r="B25" s="183"/>
      <c r="C25" s="2" t="s">
        <v>37</v>
      </c>
      <c r="D25" s="3" t="s">
        <v>18</v>
      </c>
      <c r="E25" s="6">
        <v>1</v>
      </c>
      <c r="F25" s="7">
        <v>60.75</v>
      </c>
      <c r="G25" s="7">
        <v>60.75</v>
      </c>
      <c r="H25" s="6">
        <f>H8</f>
        <v>2808.75</v>
      </c>
      <c r="I25" s="6">
        <f t="shared" si="0"/>
        <v>170631.5625</v>
      </c>
      <c r="J25" s="5"/>
    </row>
    <row r="26" spans="1:10" ht="18" customHeight="1" x14ac:dyDescent="0.3">
      <c r="A26" s="218"/>
      <c r="B26" s="183"/>
      <c r="C26" s="2" t="s">
        <v>38</v>
      </c>
      <c r="D26" s="3" t="s">
        <v>18</v>
      </c>
      <c r="E26" s="6">
        <v>1</v>
      </c>
      <c r="F26" s="7">
        <v>60.75</v>
      </c>
      <c r="G26" s="7">
        <v>60.75</v>
      </c>
      <c r="H26" s="6">
        <f>H8</f>
        <v>2808.75</v>
      </c>
      <c r="I26" s="6">
        <f t="shared" si="0"/>
        <v>170631.5625</v>
      </c>
      <c r="J26" s="5"/>
    </row>
    <row r="27" spans="1:10" ht="18" customHeight="1" x14ac:dyDescent="0.3">
      <c r="A27" s="218"/>
      <c r="B27" s="183"/>
      <c r="C27" s="2" t="s">
        <v>39</v>
      </c>
      <c r="D27" s="3" t="s">
        <v>18</v>
      </c>
      <c r="E27" s="6">
        <v>1</v>
      </c>
      <c r="F27" s="7">
        <v>30</v>
      </c>
      <c r="G27" s="7">
        <v>30</v>
      </c>
      <c r="H27" s="6">
        <f>H8</f>
        <v>2808.75</v>
      </c>
      <c r="I27" s="6">
        <f t="shared" si="0"/>
        <v>84262.5</v>
      </c>
      <c r="J27" s="5"/>
    </row>
    <row r="28" spans="1:10" ht="18" customHeight="1" x14ac:dyDescent="0.3">
      <c r="A28" s="218"/>
      <c r="B28" s="183"/>
      <c r="C28" s="2" t="s">
        <v>40</v>
      </c>
      <c r="D28" s="3" t="s">
        <v>18</v>
      </c>
      <c r="E28" s="6">
        <v>1</v>
      </c>
      <c r="F28" s="7">
        <v>60.75</v>
      </c>
      <c r="G28" s="7">
        <v>60.75</v>
      </c>
      <c r="H28" s="6">
        <f>H8</f>
        <v>2808.75</v>
      </c>
      <c r="I28" s="6">
        <f t="shared" si="0"/>
        <v>170631.5625</v>
      </c>
      <c r="J28" s="5"/>
    </row>
    <row r="29" spans="1:10" ht="18" customHeight="1" thickBot="1" x14ac:dyDescent="0.35">
      <c r="A29" s="218"/>
      <c r="B29" s="184"/>
      <c r="C29" s="16" t="s">
        <v>21</v>
      </c>
      <c r="D29" s="17"/>
      <c r="E29" s="18">
        <f>SUM(E22:E28)</f>
        <v>7</v>
      </c>
      <c r="F29" s="20"/>
      <c r="G29" s="18">
        <f>SUM(G22:G28)</f>
        <v>394.5</v>
      </c>
      <c r="H29" s="20"/>
      <c r="I29" s="21">
        <f>SUM(I22:I28)</f>
        <v>1108051.875</v>
      </c>
      <c r="J29" s="22"/>
    </row>
    <row r="30" spans="1:10" ht="18" customHeight="1" thickBot="1" x14ac:dyDescent="0.35">
      <c r="A30" s="219"/>
      <c r="B30" s="55" t="s">
        <v>41</v>
      </c>
      <c r="C30" s="61"/>
      <c r="D30" s="61"/>
      <c r="E30" s="64">
        <f>E18+E21+E29</f>
        <v>13</v>
      </c>
      <c r="F30" s="61"/>
      <c r="G30" s="64">
        <f>G18+G21+G29</f>
        <v>724.5</v>
      </c>
      <c r="H30" s="61"/>
      <c r="I30" s="49">
        <f>I18+I21+I29</f>
        <v>2303926.875</v>
      </c>
      <c r="J30" s="63"/>
    </row>
    <row r="31" spans="1:10" ht="18" customHeight="1" thickBot="1" x14ac:dyDescent="0.35">
      <c r="A31" s="193" t="s">
        <v>42</v>
      </c>
      <c r="B31" s="26" t="s">
        <v>43</v>
      </c>
      <c r="C31" s="27"/>
      <c r="D31" s="28"/>
      <c r="E31" s="29">
        <v>23</v>
      </c>
      <c r="F31" s="30"/>
      <c r="G31" s="29">
        <f>G15+G30</f>
        <v>1527.75</v>
      </c>
      <c r="H31" s="30"/>
      <c r="I31" s="29">
        <f>I15+I30</f>
        <v>4560055.3125</v>
      </c>
      <c r="J31" s="32"/>
    </row>
    <row r="32" spans="1:10" ht="18" customHeight="1" x14ac:dyDescent="0.3">
      <c r="A32" s="194"/>
      <c r="B32" s="33" t="s">
        <v>44</v>
      </c>
      <c r="C32" s="34"/>
      <c r="D32" s="35" t="s">
        <v>45</v>
      </c>
      <c r="E32" s="36"/>
      <c r="F32" s="36" t="s">
        <v>46</v>
      </c>
      <c r="G32" s="37">
        <f>G31*F32</f>
        <v>916.65</v>
      </c>
      <c r="H32" s="38">
        <f>H8</f>
        <v>2808.75</v>
      </c>
      <c r="I32" s="38">
        <f>G32*H32</f>
        <v>2574640.6875</v>
      </c>
      <c r="J32" s="39"/>
    </row>
    <row r="33" spans="1:10" ht="18" customHeight="1" thickBot="1" x14ac:dyDescent="0.35">
      <c r="A33" s="195"/>
      <c r="B33" s="40" t="s">
        <v>47</v>
      </c>
      <c r="C33" s="41"/>
      <c r="D33" s="42"/>
      <c r="E33" s="43">
        <f>E31</f>
        <v>23</v>
      </c>
      <c r="F33" s="44"/>
      <c r="G33" s="45">
        <f>G31+G32</f>
        <v>2444.4</v>
      </c>
      <c r="H33" s="44"/>
      <c r="I33" s="43">
        <f>I31+I32</f>
        <v>7134696</v>
      </c>
      <c r="J33" s="46"/>
    </row>
    <row r="34" spans="1:10" ht="18" customHeight="1" x14ac:dyDescent="0.3">
      <c r="A34" s="214" t="s">
        <v>48</v>
      </c>
      <c r="B34" s="26" t="s">
        <v>49</v>
      </c>
      <c r="C34" s="27" t="s">
        <v>50</v>
      </c>
      <c r="D34" s="28" t="s">
        <v>51</v>
      </c>
      <c r="E34" s="29">
        <v>20</v>
      </c>
      <c r="F34" s="31">
        <v>55</v>
      </c>
      <c r="G34" s="31">
        <f>E34*F34</f>
        <v>1100</v>
      </c>
      <c r="H34" s="29">
        <f>시설단가!E87*1.25</f>
        <v>196406.25</v>
      </c>
      <c r="I34" s="29">
        <f>E34*H34</f>
        <v>3928125</v>
      </c>
      <c r="J34" s="32"/>
    </row>
    <row r="35" spans="1:10" ht="18" customHeight="1" thickBot="1" x14ac:dyDescent="0.35">
      <c r="A35" s="215"/>
      <c r="B35" s="40" t="s">
        <v>52</v>
      </c>
      <c r="C35" s="41"/>
      <c r="D35" s="42"/>
      <c r="E35" s="43">
        <f>E34</f>
        <v>20</v>
      </c>
      <c r="F35" s="44"/>
      <c r="G35" s="45">
        <f>G34</f>
        <v>1100</v>
      </c>
      <c r="H35" s="44"/>
      <c r="I35" s="43">
        <f>I34</f>
        <v>3928125</v>
      </c>
      <c r="J35" s="46"/>
    </row>
    <row r="36" spans="1:10" ht="18" customHeight="1" x14ac:dyDescent="0.3">
      <c r="A36" s="203" t="s">
        <v>53</v>
      </c>
      <c r="B36" s="182" t="s">
        <v>54</v>
      </c>
      <c r="C36" s="2" t="s">
        <v>55</v>
      </c>
      <c r="D36" s="3" t="s">
        <v>18</v>
      </c>
      <c r="E36" s="6">
        <v>3</v>
      </c>
      <c r="F36" s="7">
        <v>60.75</v>
      </c>
      <c r="G36" s="7">
        <f>E36*F36</f>
        <v>182.25</v>
      </c>
      <c r="H36" s="6">
        <v>3382</v>
      </c>
      <c r="I36" s="6">
        <f>ROUNDDOWN(G36*H36,0)</f>
        <v>616369</v>
      </c>
      <c r="J36" s="171" t="s">
        <v>382</v>
      </c>
    </row>
    <row r="37" spans="1:10" ht="18" customHeight="1" x14ac:dyDescent="0.3">
      <c r="A37" s="201"/>
      <c r="B37" s="183"/>
      <c r="C37" s="2" t="s">
        <v>56</v>
      </c>
      <c r="D37" s="3" t="s">
        <v>18</v>
      </c>
      <c r="E37" s="6">
        <v>3</v>
      </c>
      <c r="F37" s="7">
        <v>60.75</v>
      </c>
      <c r="G37" s="7">
        <f t="shared" ref="G37:G38" si="1">E37*F37</f>
        <v>182.25</v>
      </c>
      <c r="H37" s="6">
        <v>3714</v>
      </c>
      <c r="I37" s="6">
        <f t="shared" ref="I37:I39" si="2">ROUNDDOWN(G37*H37,0)</f>
        <v>676876</v>
      </c>
      <c r="J37" s="171" t="s">
        <v>383</v>
      </c>
    </row>
    <row r="38" spans="1:10" ht="18" customHeight="1" x14ac:dyDescent="0.3">
      <c r="A38" s="201"/>
      <c r="B38" s="183"/>
      <c r="C38" s="2" t="s">
        <v>57</v>
      </c>
      <c r="D38" s="3" t="s">
        <v>18</v>
      </c>
      <c r="E38" s="6">
        <v>3</v>
      </c>
      <c r="F38" s="7">
        <v>30</v>
      </c>
      <c r="G38" s="7">
        <f t="shared" si="1"/>
        <v>90</v>
      </c>
      <c r="H38" s="6">
        <v>3382</v>
      </c>
      <c r="I38" s="6">
        <f t="shared" si="2"/>
        <v>304380</v>
      </c>
      <c r="J38" s="171"/>
    </row>
    <row r="39" spans="1:10" ht="18" customHeight="1" x14ac:dyDescent="0.3">
      <c r="A39" s="201"/>
      <c r="B39" s="183"/>
      <c r="C39" s="174" t="s">
        <v>378</v>
      </c>
      <c r="D39" s="175" t="s">
        <v>323</v>
      </c>
      <c r="E39" s="176">
        <v>1</v>
      </c>
      <c r="F39" s="179">
        <v>0.6</v>
      </c>
      <c r="G39" s="177">
        <f>SUM(G36:G38)*F39</f>
        <v>272.7</v>
      </c>
      <c r="H39" s="176">
        <f>H36</f>
        <v>3382</v>
      </c>
      <c r="I39" s="6">
        <f t="shared" si="2"/>
        <v>922271</v>
      </c>
      <c r="J39" s="178"/>
    </row>
    <row r="40" spans="1:10" ht="18" customHeight="1" x14ac:dyDescent="0.3">
      <c r="A40" s="201"/>
      <c r="B40" s="184"/>
      <c r="C40" s="16" t="s">
        <v>21</v>
      </c>
      <c r="D40" s="17"/>
      <c r="E40" s="18">
        <v>10</v>
      </c>
      <c r="F40" s="20"/>
      <c r="G40" s="19">
        <f>SUM(G36:G39)</f>
        <v>727.2</v>
      </c>
      <c r="H40" s="20"/>
      <c r="I40" s="21">
        <f>SUM(I36:I39)</f>
        <v>2519896</v>
      </c>
      <c r="J40" s="172"/>
    </row>
    <row r="41" spans="1:10" ht="18" customHeight="1" x14ac:dyDescent="0.3">
      <c r="A41" s="201"/>
      <c r="B41" s="182" t="s">
        <v>58</v>
      </c>
      <c r="C41" s="2" t="s">
        <v>59</v>
      </c>
      <c r="D41" s="3" t="s">
        <v>18</v>
      </c>
      <c r="E41" s="6">
        <v>3</v>
      </c>
      <c r="F41" s="7">
        <v>90</v>
      </c>
      <c r="G41" s="7">
        <f>E41*F41</f>
        <v>270</v>
      </c>
      <c r="H41" s="6">
        <v>3382</v>
      </c>
      <c r="I41" s="6">
        <f>G41*H41</f>
        <v>913140</v>
      </c>
      <c r="J41" s="171" t="s">
        <v>60</v>
      </c>
    </row>
    <row r="42" spans="1:10" ht="18" customHeight="1" x14ac:dyDescent="0.3">
      <c r="A42" s="201"/>
      <c r="B42" s="183"/>
      <c r="C42" s="2" t="s">
        <v>61</v>
      </c>
      <c r="D42" s="3" t="s">
        <v>18</v>
      </c>
      <c r="E42" s="6">
        <v>1</v>
      </c>
      <c r="F42" s="7">
        <v>270</v>
      </c>
      <c r="G42" s="7">
        <f>E42*F42</f>
        <v>270</v>
      </c>
      <c r="H42" s="6">
        <v>3382</v>
      </c>
      <c r="I42" s="6">
        <f>G42*H42</f>
        <v>913140</v>
      </c>
      <c r="J42" s="171"/>
    </row>
    <row r="43" spans="1:10" ht="18" customHeight="1" x14ac:dyDescent="0.3">
      <c r="A43" s="201"/>
      <c r="B43" s="183"/>
      <c r="C43" s="174" t="s">
        <v>378</v>
      </c>
      <c r="D43" s="175" t="s">
        <v>323</v>
      </c>
      <c r="E43" s="176"/>
      <c r="F43" s="179">
        <v>0.6</v>
      </c>
      <c r="G43" s="177">
        <f>SUM(G41:G42)*F43</f>
        <v>324</v>
      </c>
      <c r="H43" s="6">
        <v>3382</v>
      </c>
      <c r="I43" s="6">
        <f>G43*H43</f>
        <v>1095768</v>
      </c>
      <c r="J43" s="178"/>
    </row>
    <row r="44" spans="1:10" ht="18" customHeight="1" x14ac:dyDescent="0.3">
      <c r="A44" s="201"/>
      <c r="B44" s="184"/>
      <c r="C44" s="16" t="s">
        <v>21</v>
      </c>
      <c r="D44" s="17"/>
      <c r="E44" s="18">
        <v>5</v>
      </c>
      <c r="F44" s="20"/>
      <c r="G44" s="19">
        <f>SUM(G41:G43)</f>
        <v>864</v>
      </c>
      <c r="H44" s="20"/>
      <c r="I44" s="21">
        <f>SUM(I41:I43)</f>
        <v>2922048</v>
      </c>
      <c r="J44" s="172"/>
    </row>
    <row r="45" spans="1:10" ht="18" customHeight="1" x14ac:dyDescent="0.3">
      <c r="A45" s="201"/>
      <c r="B45" s="182" t="s">
        <v>62</v>
      </c>
      <c r="C45" s="2" t="s">
        <v>63</v>
      </c>
      <c r="D45" s="3" t="s">
        <v>18</v>
      </c>
      <c r="E45" s="6">
        <v>1</v>
      </c>
      <c r="F45" s="7">
        <v>850</v>
      </c>
      <c r="G45" s="7">
        <v>850</v>
      </c>
      <c r="H45" s="6">
        <v>4987</v>
      </c>
      <c r="I45" s="6">
        <f>G45*H45</f>
        <v>4238950</v>
      </c>
      <c r="J45" s="171"/>
    </row>
    <row r="46" spans="1:10" ht="18" customHeight="1" x14ac:dyDescent="0.3">
      <c r="A46" s="201"/>
      <c r="B46" s="186"/>
      <c r="C46" s="174" t="s">
        <v>378</v>
      </c>
      <c r="D46" s="175" t="s">
        <v>323</v>
      </c>
      <c r="E46" s="176"/>
      <c r="F46" s="179">
        <v>0.6</v>
      </c>
      <c r="G46" s="177">
        <f>SUM(G45)*F46</f>
        <v>510</v>
      </c>
      <c r="H46" s="6">
        <f>H43</f>
        <v>3382</v>
      </c>
      <c r="I46" s="6">
        <f>G46*H46</f>
        <v>1724820</v>
      </c>
      <c r="J46" s="178"/>
    </row>
    <row r="47" spans="1:10" ht="18" customHeight="1" thickBot="1" x14ac:dyDescent="0.35">
      <c r="A47" s="201"/>
      <c r="B47" s="184"/>
      <c r="C47" s="16" t="s">
        <v>21</v>
      </c>
      <c r="D47" s="17"/>
      <c r="E47" s="18">
        <v>1</v>
      </c>
      <c r="F47" s="20"/>
      <c r="G47" s="19">
        <f>SUM(G45:G46)</f>
        <v>1360</v>
      </c>
      <c r="H47" s="20"/>
      <c r="I47" s="21">
        <f>SUM(I45:I46)</f>
        <v>5963770</v>
      </c>
      <c r="J47" s="172"/>
    </row>
    <row r="48" spans="1:10" ht="18" customHeight="1" thickBot="1" x14ac:dyDescent="0.35">
      <c r="A48" s="202"/>
      <c r="B48" s="55" t="s">
        <v>128</v>
      </c>
      <c r="C48" s="47"/>
      <c r="D48" s="47"/>
      <c r="E48" s="47"/>
      <c r="F48" s="47"/>
      <c r="G48" s="48">
        <f>G40+G44+G47</f>
        <v>2951.2</v>
      </c>
      <c r="H48" s="47"/>
      <c r="I48" s="49">
        <f>I40+I44+I47</f>
        <v>11405714</v>
      </c>
      <c r="J48" s="50"/>
    </row>
    <row r="49" spans="1:10" ht="18" customHeight="1" thickBot="1" x14ac:dyDescent="0.35">
      <c r="A49" s="77" t="s">
        <v>379</v>
      </c>
      <c r="B49" s="57"/>
      <c r="C49" s="57"/>
      <c r="D49" s="57"/>
      <c r="E49" s="98">
        <f>E33+E35</f>
        <v>43</v>
      </c>
      <c r="F49" s="57"/>
      <c r="G49" s="52">
        <f>G33+G35+G48</f>
        <v>6495.6</v>
      </c>
      <c r="H49" s="57"/>
      <c r="I49" s="52">
        <f>I33+I35+I48</f>
        <v>22468535</v>
      </c>
      <c r="J49" s="53"/>
    </row>
    <row r="50" spans="1:10" ht="18" customHeight="1" x14ac:dyDescent="0.3">
      <c r="A50" s="208" t="s">
        <v>64</v>
      </c>
      <c r="B50" s="187"/>
      <c r="C50" s="2" t="s">
        <v>65</v>
      </c>
      <c r="D50" s="3" t="s">
        <v>18</v>
      </c>
      <c r="E50" s="6">
        <f>ROUNDDOWN((G33+G35)/3/90,0)</f>
        <v>13</v>
      </c>
      <c r="F50" s="4"/>
      <c r="G50" s="4"/>
      <c r="H50" s="6">
        <f>시설단가!E106/20*1.25</f>
        <v>33064.875</v>
      </c>
      <c r="I50" s="6">
        <f t="shared" ref="I50:I60" si="3">E50*H50</f>
        <v>429843.375</v>
      </c>
      <c r="J50" s="5"/>
    </row>
    <row r="51" spans="1:10" ht="18" customHeight="1" x14ac:dyDescent="0.3">
      <c r="A51" s="209"/>
      <c r="B51" s="188"/>
      <c r="C51" s="2" t="s">
        <v>66</v>
      </c>
      <c r="D51" s="3" t="s">
        <v>18</v>
      </c>
      <c r="E51" s="6">
        <f>E33</f>
        <v>23</v>
      </c>
      <c r="F51" s="4"/>
      <c r="G51" s="4"/>
      <c r="H51" s="6">
        <f>4500*1.25</f>
        <v>5625</v>
      </c>
      <c r="I51" s="6">
        <f t="shared" si="3"/>
        <v>129375</v>
      </c>
      <c r="J51" s="5"/>
    </row>
    <row r="52" spans="1:10" ht="18" customHeight="1" x14ac:dyDescent="0.3">
      <c r="A52" s="209"/>
      <c r="B52" s="188"/>
      <c r="C52" s="2" t="s">
        <v>67</v>
      </c>
      <c r="D52" s="3" t="s">
        <v>68</v>
      </c>
      <c r="E52" s="6">
        <v>1</v>
      </c>
      <c r="F52" s="4"/>
      <c r="G52" s="4"/>
      <c r="H52" s="6">
        <f>시설단가!E70*1.25</f>
        <v>169203.75</v>
      </c>
      <c r="I52" s="6">
        <f t="shared" si="3"/>
        <v>169203.75</v>
      </c>
      <c r="J52" s="5" t="s">
        <v>322</v>
      </c>
    </row>
    <row r="53" spans="1:10" ht="18" customHeight="1" x14ac:dyDescent="0.3">
      <c r="A53" s="209"/>
      <c r="B53" s="188"/>
      <c r="C53" s="2" t="s">
        <v>69</v>
      </c>
      <c r="D53" s="3" t="s">
        <v>18</v>
      </c>
      <c r="E53" s="6">
        <f>E35</f>
        <v>20</v>
      </c>
      <c r="F53" s="4"/>
      <c r="G53" s="4"/>
      <c r="H53" s="6">
        <f>시설단가!E61*1.25</f>
        <v>8866.25</v>
      </c>
      <c r="I53" s="92">
        <f t="shared" si="3"/>
        <v>177325</v>
      </c>
      <c r="J53" s="5"/>
    </row>
    <row r="54" spans="1:10" ht="18" customHeight="1" x14ac:dyDescent="0.3">
      <c r="A54" s="209"/>
      <c r="B54" s="188"/>
      <c r="C54" s="2" t="s">
        <v>70</v>
      </c>
      <c r="D54" s="3" t="s">
        <v>71</v>
      </c>
      <c r="E54" s="6">
        <v>1</v>
      </c>
      <c r="F54" s="4"/>
      <c r="G54" s="4"/>
      <c r="H54" s="6">
        <v>100000</v>
      </c>
      <c r="I54" s="6">
        <f t="shared" si="3"/>
        <v>100000</v>
      </c>
      <c r="J54" s="5"/>
    </row>
    <row r="55" spans="1:10" ht="18" customHeight="1" x14ac:dyDescent="0.3">
      <c r="A55" s="209"/>
      <c r="B55" s="188"/>
      <c r="C55" s="2" t="s">
        <v>72</v>
      </c>
      <c r="D55" s="3" t="s">
        <v>71</v>
      </c>
      <c r="E55" s="6">
        <v>1</v>
      </c>
      <c r="F55" s="4"/>
      <c r="G55" s="4"/>
      <c r="H55" s="6">
        <f>시설단가!E80*1.25</f>
        <v>34815</v>
      </c>
      <c r="I55" s="6">
        <f t="shared" si="3"/>
        <v>34815</v>
      </c>
      <c r="J55" s="5"/>
    </row>
    <row r="56" spans="1:10" ht="18" customHeight="1" x14ac:dyDescent="0.3">
      <c r="A56" s="209"/>
      <c r="B56" s="188"/>
      <c r="C56" s="2" t="s">
        <v>73</v>
      </c>
      <c r="D56" s="3" t="s">
        <v>74</v>
      </c>
      <c r="E56" s="6">
        <v>1</v>
      </c>
      <c r="F56" s="4"/>
      <c r="G56" s="4"/>
      <c r="H56" s="6">
        <f>시설단가!E78*1.25</f>
        <v>82267.5</v>
      </c>
      <c r="I56" s="6">
        <f t="shared" si="3"/>
        <v>82267.5</v>
      </c>
      <c r="J56" s="5"/>
    </row>
    <row r="57" spans="1:10" ht="18" customHeight="1" x14ac:dyDescent="0.3">
      <c r="A57" s="209"/>
      <c r="B57" s="188"/>
      <c r="C57" s="2" t="s">
        <v>75</v>
      </c>
      <c r="D57" s="3" t="s">
        <v>74</v>
      </c>
      <c r="E57" s="6">
        <v>1</v>
      </c>
      <c r="F57" s="4"/>
      <c r="G57" s="4"/>
      <c r="H57" s="6">
        <v>10000</v>
      </c>
      <c r="I57" s="6">
        <f t="shared" si="3"/>
        <v>10000</v>
      </c>
      <c r="J57" s="5"/>
    </row>
    <row r="58" spans="1:10" ht="18" customHeight="1" x14ac:dyDescent="0.3">
      <c r="A58" s="209"/>
      <c r="B58" s="188"/>
      <c r="C58" s="2" t="s">
        <v>76</v>
      </c>
      <c r="D58" s="3" t="s">
        <v>323</v>
      </c>
      <c r="E58" s="6">
        <v>1</v>
      </c>
      <c r="F58" s="4"/>
      <c r="G58" s="4"/>
      <c r="H58" s="6">
        <f>시설단가!E122*1.25</f>
        <v>33450</v>
      </c>
      <c r="I58" s="92">
        <f t="shared" si="3"/>
        <v>33450</v>
      </c>
      <c r="J58" s="5" t="s">
        <v>324</v>
      </c>
    </row>
    <row r="59" spans="1:10" ht="18" customHeight="1" x14ac:dyDescent="0.3">
      <c r="A59" s="209"/>
      <c r="B59" s="188"/>
      <c r="C59" s="2" t="s">
        <v>77</v>
      </c>
      <c r="D59" s="3" t="s">
        <v>78</v>
      </c>
      <c r="E59" s="9">
        <f>G33+G35</f>
        <v>3544.4</v>
      </c>
      <c r="F59" s="4"/>
      <c r="G59" s="4"/>
      <c r="H59" s="6">
        <f>시설단가!E117*1.25</f>
        <v>178.75</v>
      </c>
      <c r="I59" s="6">
        <f t="shared" si="3"/>
        <v>633561.5</v>
      </c>
      <c r="J59" s="5"/>
    </row>
    <row r="60" spans="1:10" ht="18" customHeight="1" x14ac:dyDescent="0.3">
      <c r="A60" s="209"/>
      <c r="B60" s="188"/>
      <c r="C60" s="2" t="s">
        <v>79</v>
      </c>
      <c r="D60" s="3" t="s">
        <v>78</v>
      </c>
      <c r="E60" s="9">
        <f>G33</f>
        <v>2444.4</v>
      </c>
      <c r="F60" s="4"/>
      <c r="G60" s="4"/>
      <c r="H60" s="6">
        <v>150</v>
      </c>
      <c r="I60" s="6">
        <f t="shared" si="3"/>
        <v>366660</v>
      </c>
      <c r="J60" s="5"/>
    </row>
    <row r="61" spans="1:10" ht="18" customHeight="1" x14ac:dyDescent="0.3">
      <c r="A61" s="210"/>
      <c r="B61" s="186"/>
      <c r="C61" s="16" t="s">
        <v>21</v>
      </c>
      <c r="D61" s="17"/>
      <c r="E61" s="20"/>
      <c r="F61" s="20"/>
      <c r="G61" s="20"/>
      <c r="H61" s="20"/>
      <c r="I61" s="21">
        <f>SUM(I50:I60)</f>
        <v>2166501.125</v>
      </c>
      <c r="J61" s="22"/>
    </row>
    <row r="62" spans="1:10" ht="18" customHeight="1" x14ac:dyDescent="0.3">
      <c r="A62" s="201"/>
      <c r="B62" s="188"/>
      <c r="C62" s="2" t="s">
        <v>70</v>
      </c>
      <c r="D62" s="3" t="s">
        <v>71</v>
      </c>
      <c r="E62" s="6">
        <v>1</v>
      </c>
      <c r="F62" s="4"/>
      <c r="G62" s="4"/>
      <c r="H62" s="6">
        <v>100000</v>
      </c>
      <c r="I62" s="6">
        <f t="shared" ref="I62:I64" si="4">E62*H62</f>
        <v>100000</v>
      </c>
      <c r="J62" s="5"/>
    </row>
    <row r="63" spans="1:10" ht="18" customHeight="1" x14ac:dyDescent="0.3">
      <c r="A63" s="201"/>
      <c r="B63" s="188"/>
      <c r="C63" s="2" t="s">
        <v>80</v>
      </c>
      <c r="D63" s="3" t="s">
        <v>74</v>
      </c>
      <c r="E63" s="6">
        <v>1</v>
      </c>
      <c r="F63" s="4"/>
      <c r="G63" s="4"/>
      <c r="H63" s="6">
        <v>100000</v>
      </c>
      <c r="I63" s="6">
        <f t="shared" si="4"/>
        <v>100000</v>
      </c>
      <c r="J63" s="5"/>
    </row>
    <row r="64" spans="1:10" ht="18" customHeight="1" x14ac:dyDescent="0.3">
      <c r="A64" s="201"/>
      <c r="B64" s="188"/>
      <c r="C64" s="2" t="s">
        <v>77</v>
      </c>
      <c r="D64" s="3" t="s">
        <v>78</v>
      </c>
      <c r="E64" s="9">
        <f>G48</f>
        <v>2951.2</v>
      </c>
      <c r="F64" s="4"/>
      <c r="G64" s="4"/>
      <c r="H64" s="6">
        <f>시설단가!E117*1.25</f>
        <v>178.75</v>
      </c>
      <c r="I64" s="6">
        <f t="shared" si="4"/>
        <v>527527</v>
      </c>
      <c r="J64" s="5"/>
    </row>
    <row r="65" spans="1:10" ht="18" customHeight="1" thickBot="1" x14ac:dyDescent="0.35">
      <c r="A65" s="202"/>
      <c r="B65" s="190"/>
      <c r="C65" s="16" t="s">
        <v>21</v>
      </c>
      <c r="D65" s="17"/>
      <c r="E65" s="20"/>
      <c r="F65" s="20"/>
      <c r="G65" s="20"/>
      <c r="H65" s="20"/>
      <c r="I65" s="21">
        <f>SUM(I62:I64)</f>
        <v>727527</v>
      </c>
      <c r="J65" s="22"/>
    </row>
    <row r="66" spans="1:10" ht="18" customHeight="1" thickBot="1" x14ac:dyDescent="0.35">
      <c r="A66" s="66" t="s">
        <v>81</v>
      </c>
      <c r="B66" s="51"/>
      <c r="C66" s="51"/>
      <c r="D66" s="51"/>
      <c r="E66" s="51"/>
      <c r="F66" s="51"/>
      <c r="G66" s="51"/>
      <c r="H66" s="51"/>
      <c r="I66" s="52">
        <f>I61+I65</f>
        <v>2894028.125</v>
      </c>
      <c r="J66" s="53"/>
    </row>
    <row r="67" spans="1:10" ht="18" customHeight="1" x14ac:dyDescent="0.3">
      <c r="A67" s="182" t="s">
        <v>82</v>
      </c>
      <c r="B67" s="182" t="s">
        <v>83</v>
      </c>
      <c r="C67" s="2" t="s">
        <v>84</v>
      </c>
      <c r="D67" s="3" t="s">
        <v>78</v>
      </c>
      <c r="E67" s="9">
        <v>20000</v>
      </c>
      <c r="F67" s="4"/>
      <c r="G67" s="4"/>
      <c r="H67" s="6">
        <v>30</v>
      </c>
      <c r="I67" s="6">
        <f t="shared" ref="I67:I73" si="5">E67*H67</f>
        <v>600000</v>
      </c>
      <c r="J67" s="5" t="s">
        <v>85</v>
      </c>
    </row>
    <row r="68" spans="1:10" ht="18" customHeight="1" x14ac:dyDescent="0.3">
      <c r="A68" s="183"/>
      <c r="B68" s="183"/>
      <c r="C68" s="2" t="s">
        <v>86</v>
      </c>
      <c r="D68" s="3" t="s">
        <v>87</v>
      </c>
      <c r="E68" s="9">
        <v>375.07</v>
      </c>
      <c r="F68" s="4"/>
      <c r="G68" s="4"/>
      <c r="H68" s="6">
        <f>시설단가!E40*1.25</f>
        <v>630</v>
      </c>
      <c r="I68" s="6">
        <f t="shared" si="5"/>
        <v>236294.1</v>
      </c>
      <c r="J68" s="5"/>
    </row>
    <row r="69" spans="1:10" ht="18" customHeight="1" x14ac:dyDescent="0.3">
      <c r="A69" s="183"/>
      <c r="B69" s="183"/>
      <c r="C69" s="2" t="s">
        <v>88</v>
      </c>
      <c r="D69" s="3" t="s">
        <v>78</v>
      </c>
      <c r="E69" s="9">
        <v>3000</v>
      </c>
      <c r="F69" s="4"/>
      <c r="G69" s="4"/>
      <c r="H69" s="6">
        <f>시설단가!E52*1.25</f>
        <v>157.5</v>
      </c>
      <c r="I69" s="6">
        <f t="shared" si="5"/>
        <v>472500</v>
      </c>
      <c r="J69" s="5" t="s">
        <v>89</v>
      </c>
    </row>
    <row r="70" spans="1:10" ht="18" customHeight="1" x14ac:dyDescent="0.3">
      <c r="A70" s="183"/>
      <c r="B70" s="183"/>
      <c r="C70" s="2" t="s">
        <v>90</v>
      </c>
      <c r="D70" s="3" t="s">
        <v>78</v>
      </c>
      <c r="E70" s="9">
        <v>3000</v>
      </c>
      <c r="F70" s="4"/>
      <c r="G70" s="4"/>
      <c r="H70" s="6">
        <v>125</v>
      </c>
      <c r="I70" s="6">
        <f t="shared" si="5"/>
        <v>375000</v>
      </c>
      <c r="J70" s="5" t="s">
        <v>89</v>
      </c>
    </row>
    <row r="71" spans="1:10" ht="18" customHeight="1" x14ac:dyDescent="0.3">
      <c r="A71" s="183"/>
      <c r="B71" s="183"/>
      <c r="C71" s="2" t="s">
        <v>91</v>
      </c>
      <c r="D71" s="3" t="s">
        <v>68</v>
      </c>
      <c r="E71" s="9">
        <v>1</v>
      </c>
      <c r="F71" s="4"/>
      <c r="G71" s="4"/>
      <c r="H71" s="6">
        <v>400000</v>
      </c>
      <c r="I71" s="6">
        <f t="shared" si="5"/>
        <v>400000</v>
      </c>
      <c r="J71" s="5" t="s">
        <v>92</v>
      </c>
    </row>
    <row r="72" spans="1:10" ht="18" customHeight="1" x14ac:dyDescent="0.3">
      <c r="A72" s="183"/>
      <c r="B72" s="183"/>
      <c r="C72" s="2" t="s">
        <v>93</v>
      </c>
      <c r="D72" s="3" t="s">
        <v>68</v>
      </c>
      <c r="E72" s="9">
        <v>1</v>
      </c>
      <c r="F72" s="4"/>
      <c r="G72" s="4"/>
      <c r="H72" s="6">
        <v>150000</v>
      </c>
      <c r="I72" s="6">
        <f t="shared" si="5"/>
        <v>150000</v>
      </c>
      <c r="J72" s="5"/>
    </row>
    <row r="73" spans="1:10" ht="18" customHeight="1" x14ac:dyDescent="0.3">
      <c r="A73" s="183"/>
      <c r="B73" s="183"/>
      <c r="C73" s="2" t="s">
        <v>94</v>
      </c>
      <c r="D73" s="3" t="s">
        <v>87</v>
      </c>
      <c r="E73" s="9">
        <v>550</v>
      </c>
      <c r="F73" s="4"/>
      <c r="G73" s="4"/>
      <c r="H73" s="6">
        <f>시설단가!E56*1.25</f>
        <v>745</v>
      </c>
      <c r="I73" s="6">
        <f t="shared" si="5"/>
        <v>409750</v>
      </c>
      <c r="J73" s="5" t="s">
        <v>95</v>
      </c>
    </row>
    <row r="74" spans="1:10" ht="18" customHeight="1" x14ac:dyDescent="0.3">
      <c r="A74" s="183"/>
      <c r="B74" s="184"/>
      <c r="C74" s="16" t="s">
        <v>21</v>
      </c>
      <c r="D74" s="17"/>
      <c r="E74" s="20"/>
      <c r="F74" s="20"/>
      <c r="G74" s="20"/>
      <c r="H74" s="20"/>
      <c r="I74" s="21">
        <f>SUM(I67:I73)</f>
        <v>2643544.1</v>
      </c>
      <c r="J74" s="22"/>
    </row>
    <row r="75" spans="1:10" ht="18" customHeight="1" x14ac:dyDescent="0.3">
      <c r="A75" s="183"/>
      <c r="B75" s="191" t="s">
        <v>96</v>
      </c>
      <c r="C75" s="2" t="s">
        <v>97</v>
      </c>
      <c r="D75" s="3" t="s">
        <v>78</v>
      </c>
      <c r="E75" s="9">
        <v>2000</v>
      </c>
      <c r="F75" s="4"/>
      <c r="G75" s="4"/>
      <c r="H75" s="6">
        <f>시설단가!E113*1.25</f>
        <v>231.25</v>
      </c>
      <c r="I75" s="6">
        <f>E75*H75</f>
        <v>462500</v>
      </c>
      <c r="J75" s="5" t="s">
        <v>98</v>
      </c>
    </row>
    <row r="76" spans="1:10" ht="18" customHeight="1" thickBot="1" x14ac:dyDescent="0.35">
      <c r="A76" s="184"/>
      <c r="B76" s="192"/>
      <c r="C76" s="16" t="s">
        <v>21</v>
      </c>
      <c r="D76" s="17"/>
      <c r="E76" s="20"/>
      <c r="F76" s="20"/>
      <c r="G76" s="20"/>
      <c r="H76" s="20"/>
      <c r="I76" s="21">
        <f>I75</f>
        <v>462500</v>
      </c>
      <c r="J76" s="22"/>
    </row>
    <row r="77" spans="1:10" ht="18" customHeight="1" thickBot="1" x14ac:dyDescent="0.35">
      <c r="A77" s="66" t="s">
        <v>325</v>
      </c>
      <c r="B77" s="51"/>
      <c r="C77" s="51"/>
      <c r="D77" s="51"/>
      <c r="E77" s="51"/>
      <c r="F77" s="51"/>
      <c r="G77" s="51"/>
      <c r="H77" s="51"/>
      <c r="I77" s="52">
        <f>I74+I76</f>
        <v>3106044.1</v>
      </c>
      <c r="J77" s="53"/>
    </row>
    <row r="78" spans="1:10" ht="18" customHeight="1" x14ac:dyDescent="0.3">
      <c r="A78" s="185" t="s">
        <v>99</v>
      </c>
      <c r="B78" s="185"/>
      <c r="C78" s="185"/>
      <c r="D78" s="185"/>
      <c r="E78" s="185"/>
      <c r="F78" s="185"/>
      <c r="G78" s="185"/>
      <c r="H78" s="185"/>
      <c r="I78" s="170">
        <f>I49+I66+I77</f>
        <v>28468607.225000001</v>
      </c>
      <c r="J78" s="10"/>
    </row>
    <row r="79" spans="1:10" ht="18" customHeight="1" x14ac:dyDescent="0.3">
      <c r="A79" s="182" t="s">
        <v>100</v>
      </c>
      <c r="B79" s="1"/>
      <c r="C79" s="2" t="s">
        <v>101</v>
      </c>
      <c r="D79" s="3" t="s">
        <v>68</v>
      </c>
      <c r="E79" s="9">
        <v>1</v>
      </c>
      <c r="F79" s="4"/>
      <c r="G79" s="4"/>
      <c r="H79" s="6">
        <v>20000</v>
      </c>
      <c r="I79" s="6">
        <f>E79*H79</f>
        <v>20000</v>
      </c>
      <c r="J79" s="5"/>
    </row>
    <row r="80" spans="1:10" ht="18" customHeight="1" x14ac:dyDescent="0.3">
      <c r="A80" s="183"/>
      <c r="B80" s="1"/>
      <c r="C80" s="2" t="s">
        <v>102</v>
      </c>
      <c r="D80" s="3" t="s">
        <v>68</v>
      </c>
      <c r="E80" s="9">
        <v>1</v>
      </c>
      <c r="F80" s="4"/>
      <c r="G80" s="4"/>
      <c r="H80" s="6">
        <v>30000</v>
      </c>
      <c r="I80" s="6">
        <f>E80*H80</f>
        <v>30000</v>
      </c>
      <c r="J80" s="5"/>
    </row>
    <row r="81" spans="1:10" ht="18" customHeight="1" x14ac:dyDescent="0.3">
      <c r="A81" s="183"/>
      <c r="B81" s="1"/>
      <c r="C81" s="2" t="s">
        <v>103</v>
      </c>
      <c r="D81" s="3" t="s">
        <v>104</v>
      </c>
      <c r="E81" s="9">
        <v>2</v>
      </c>
      <c r="F81" s="4"/>
      <c r="G81" s="4"/>
      <c r="H81" s="6">
        <v>30000</v>
      </c>
      <c r="I81" s="6">
        <f>E81*H81</f>
        <v>60000</v>
      </c>
      <c r="J81" s="5"/>
    </row>
    <row r="82" spans="1:10" ht="18" customHeight="1" x14ac:dyDescent="0.3">
      <c r="A82" s="183"/>
      <c r="B82" s="8"/>
      <c r="C82" s="2" t="s">
        <v>105</v>
      </c>
      <c r="D82" s="3" t="s">
        <v>68</v>
      </c>
      <c r="E82" s="9">
        <v>1</v>
      </c>
      <c r="F82" s="4"/>
      <c r="G82" s="4"/>
      <c r="H82" s="6">
        <v>10000</v>
      </c>
      <c r="I82" s="6">
        <f>E82*H82</f>
        <v>10000</v>
      </c>
      <c r="J82" s="5"/>
    </row>
    <row r="83" spans="1:10" ht="18" customHeight="1" x14ac:dyDescent="0.3">
      <c r="A83" s="184"/>
      <c r="B83" s="65"/>
      <c r="C83" s="67" t="s">
        <v>106</v>
      </c>
      <c r="D83" s="68"/>
      <c r="E83" s="69"/>
      <c r="F83" s="69"/>
      <c r="G83" s="69"/>
      <c r="H83" s="69"/>
      <c r="I83" s="70">
        <f>SUM(I79:I82)</f>
        <v>120000</v>
      </c>
      <c r="J83" s="71"/>
    </row>
    <row r="84" spans="1:10" ht="18" customHeight="1" x14ac:dyDescent="0.3">
      <c r="A84" s="189" t="s">
        <v>107</v>
      </c>
      <c r="B84" s="1"/>
      <c r="C84" s="152" t="s">
        <v>108</v>
      </c>
      <c r="D84" s="3" t="s">
        <v>68</v>
      </c>
      <c r="E84" s="4"/>
      <c r="F84" s="4"/>
      <c r="G84" s="169">
        <f>I78</f>
        <v>28468607.225000001</v>
      </c>
      <c r="H84" s="173">
        <f>4.1%+(I78-20000000)/(30000000-20000000)*(4.03%-4.1%)</f>
        <v>4.0407197494250001E-2</v>
      </c>
      <c r="I84" s="6">
        <f>G84*H84</f>
        <v>1150336.6345268076</v>
      </c>
      <c r="J84" s="5"/>
    </row>
    <row r="85" spans="1:10" ht="18" customHeight="1" x14ac:dyDescent="0.3">
      <c r="A85" s="188"/>
      <c r="B85" s="1"/>
      <c r="C85" s="152" t="s">
        <v>109</v>
      </c>
      <c r="D85" s="3" t="s">
        <v>68</v>
      </c>
      <c r="E85" s="4"/>
      <c r="F85" s="4"/>
      <c r="G85" s="169">
        <v>40000</v>
      </c>
      <c r="H85" s="4" t="s">
        <v>110</v>
      </c>
      <c r="I85" s="6">
        <f>G85</f>
        <v>40000</v>
      </c>
      <c r="J85" s="5"/>
    </row>
    <row r="86" spans="1:10" ht="18" customHeight="1" x14ac:dyDescent="0.3">
      <c r="A86" s="188"/>
      <c r="B86" s="1"/>
      <c r="C86" s="152" t="s">
        <v>111</v>
      </c>
      <c r="D86" s="3" t="s">
        <v>68</v>
      </c>
      <c r="E86" s="4"/>
      <c r="F86" s="4"/>
      <c r="G86" s="169">
        <f>I84*60%*H86</f>
        <v>55216.158457286758</v>
      </c>
      <c r="H86" s="93">
        <v>0.08</v>
      </c>
      <c r="I86" s="6">
        <f>G86</f>
        <v>55216.158457286758</v>
      </c>
      <c r="J86" s="5" t="s">
        <v>112</v>
      </c>
    </row>
    <row r="87" spans="1:10" ht="18" customHeight="1" x14ac:dyDescent="0.3">
      <c r="A87" s="188"/>
      <c r="B87" s="1"/>
      <c r="C87" s="152" t="s">
        <v>113</v>
      </c>
      <c r="D87" s="3" t="s">
        <v>68</v>
      </c>
      <c r="E87" s="4"/>
      <c r="F87" s="4"/>
      <c r="G87" s="169">
        <f>I78</f>
        <v>28468607.225000001</v>
      </c>
      <c r="H87" s="4" t="s">
        <v>110</v>
      </c>
      <c r="I87" s="6">
        <f>I78*0.0012*1.4</f>
        <v>47827.260137999991</v>
      </c>
      <c r="J87" s="5" t="s">
        <v>114</v>
      </c>
    </row>
    <row r="88" spans="1:10" ht="18" customHeight="1" x14ac:dyDescent="0.3">
      <c r="A88" s="188"/>
      <c r="B88" s="1"/>
      <c r="C88" s="152" t="s">
        <v>115</v>
      </c>
      <c r="D88" s="3" t="s">
        <v>68</v>
      </c>
      <c r="E88" s="4"/>
      <c r="F88" s="4"/>
      <c r="G88" s="169">
        <f>I78</f>
        <v>28468607.225000001</v>
      </c>
      <c r="H88" s="4" t="s">
        <v>116</v>
      </c>
      <c r="I88" s="6">
        <f>G88*H88</f>
        <v>2169307.8705450003</v>
      </c>
      <c r="J88" s="5"/>
    </row>
    <row r="89" spans="1:10" ht="18" customHeight="1" x14ac:dyDescent="0.3">
      <c r="A89" s="188"/>
      <c r="B89" s="23"/>
      <c r="C89" s="152" t="s">
        <v>117</v>
      </c>
      <c r="D89" s="3" t="s">
        <v>68</v>
      </c>
      <c r="E89" s="4"/>
      <c r="F89" s="4"/>
      <c r="G89" s="6"/>
      <c r="H89" s="93">
        <v>0.3</v>
      </c>
      <c r="I89" s="6">
        <f>I88*30%</f>
        <v>650792.36116350011</v>
      </c>
      <c r="J89" s="5" t="s">
        <v>377</v>
      </c>
    </row>
    <row r="90" spans="1:10" ht="18" customHeight="1" thickBot="1" x14ac:dyDescent="0.35">
      <c r="A90" s="188"/>
      <c r="B90" s="1"/>
      <c r="C90" s="153" t="s">
        <v>130</v>
      </c>
      <c r="D90" s="72" t="s">
        <v>68</v>
      </c>
      <c r="E90" s="73"/>
      <c r="F90" s="73"/>
      <c r="G90" s="21"/>
      <c r="H90" s="73"/>
      <c r="I90" s="21">
        <f>SUM(I84:I89)</f>
        <v>4113480.2848305949</v>
      </c>
      <c r="J90" s="74"/>
    </row>
    <row r="91" spans="1:10" ht="18" customHeight="1" thickBot="1" x14ac:dyDescent="0.35">
      <c r="A91" s="58" t="s">
        <v>129</v>
      </c>
      <c r="B91" s="58"/>
      <c r="C91" s="58" t="s">
        <v>327</v>
      </c>
      <c r="D91" s="58"/>
      <c r="E91" s="58"/>
      <c r="F91" s="58"/>
      <c r="G91" s="94"/>
      <c r="H91" s="95"/>
      <c r="I91" s="59">
        <f>I83+I90</f>
        <v>4233480.2848305944</v>
      </c>
      <c r="J91" s="58"/>
    </row>
    <row r="92" spans="1:10" ht="18" customHeight="1" x14ac:dyDescent="0.3">
      <c r="A92" s="96" t="s">
        <v>326</v>
      </c>
      <c r="B92" s="96"/>
      <c r="C92" s="96"/>
      <c r="D92" s="96"/>
      <c r="E92" s="96"/>
      <c r="F92" s="96"/>
      <c r="G92" s="99">
        <f>I78</f>
        <v>28468607.225000001</v>
      </c>
      <c r="H92" s="97" t="s">
        <v>118</v>
      </c>
      <c r="I92" s="59">
        <f>G92*H92</f>
        <v>65477.796617500004</v>
      </c>
      <c r="J92" s="58"/>
    </row>
    <row r="93" spans="1:10" ht="18" customHeight="1" x14ac:dyDescent="0.3">
      <c r="A93" s="11" t="s">
        <v>119</v>
      </c>
      <c r="B93" s="11"/>
      <c r="C93" s="12"/>
      <c r="D93" s="13"/>
      <c r="E93" s="14"/>
      <c r="F93" s="14"/>
      <c r="G93" s="14"/>
      <c r="H93" s="14"/>
      <c r="I93" s="14" t="s">
        <v>14</v>
      </c>
      <c r="J93" s="5"/>
    </row>
    <row r="94" spans="1:10" ht="18" customHeight="1" x14ac:dyDescent="0.3">
      <c r="A94" s="11" t="s">
        <v>120</v>
      </c>
      <c r="B94" s="11"/>
      <c r="C94" s="12"/>
      <c r="D94" s="13"/>
      <c r="E94" s="14"/>
      <c r="F94" s="14"/>
      <c r="G94" s="14"/>
      <c r="H94" s="14"/>
      <c r="I94" s="14" t="s">
        <v>14</v>
      </c>
      <c r="J94" s="5"/>
    </row>
    <row r="95" spans="1:10" ht="18" customHeight="1" x14ac:dyDescent="0.3">
      <c r="A95" s="11" t="s">
        <v>121</v>
      </c>
      <c r="B95" s="11"/>
      <c r="C95" s="12"/>
      <c r="D95" s="13"/>
      <c r="E95" s="14"/>
      <c r="F95" s="14"/>
      <c r="G95" s="14"/>
      <c r="H95" s="14"/>
      <c r="I95" s="15">
        <f>'사업비 구분(안)'!E22</f>
        <v>771890</v>
      </c>
      <c r="J95" s="5"/>
    </row>
    <row r="96" spans="1:10" ht="18" customHeight="1" x14ac:dyDescent="0.3">
      <c r="A96" s="196" t="s">
        <v>122</v>
      </c>
      <c r="B96" s="100" t="s">
        <v>13</v>
      </c>
      <c r="C96" s="101"/>
      <c r="D96" s="102"/>
      <c r="E96" s="103"/>
      <c r="F96" s="103"/>
      <c r="G96" s="103"/>
      <c r="H96" s="103"/>
      <c r="I96" s="104">
        <f>I7</f>
        <v>0</v>
      </c>
      <c r="J96" s="22"/>
    </row>
    <row r="97" spans="1:10" ht="18" customHeight="1" x14ac:dyDescent="0.3">
      <c r="A97" s="197"/>
      <c r="B97" s="100" t="s">
        <v>123</v>
      </c>
      <c r="C97" s="101"/>
      <c r="D97" s="102"/>
      <c r="E97" s="103"/>
      <c r="F97" s="103"/>
      <c r="G97" s="103"/>
      <c r="H97" s="103"/>
      <c r="I97" s="104">
        <f>I78+I91+I92</f>
        <v>32767565.306448095</v>
      </c>
      <c r="J97" s="22"/>
    </row>
    <row r="98" spans="1:10" ht="18" customHeight="1" x14ac:dyDescent="0.3">
      <c r="A98" s="197"/>
      <c r="B98" s="100" t="s">
        <v>119</v>
      </c>
      <c r="C98" s="101"/>
      <c r="D98" s="102"/>
      <c r="E98" s="103"/>
      <c r="F98" s="103"/>
      <c r="G98" s="103"/>
      <c r="H98" s="103"/>
      <c r="I98" s="103" t="str">
        <f>I93</f>
        <v>-</v>
      </c>
      <c r="J98" s="105"/>
    </row>
    <row r="99" spans="1:10" ht="18" customHeight="1" x14ac:dyDescent="0.3">
      <c r="A99" s="197"/>
      <c r="B99" s="100" t="s">
        <v>120</v>
      </c>
      <c r="C99" s="101"/>
      <c r="D99" s="102"/>
      <c r="E99" s="103"/>
      <c r="F99" s="103"/>
      <c r="G99" s="103"/>
      <c r="H99" s="103"/>
      <c r="I99" s="103" t="s">
        <v>14</v>
      </c>
      <c r="J99" s="22"/>
    </row>
    <row r="100" spans="1:10" ht="18" customHeight="1" x14ac:dyDescent="0.3">
      <c r="A100" s="198"/>
      <c r="B100" s="100" t="s">
        <v>121</v>
      </c>
      <c r="C100" s="101"/>
      <c r="D100" s="102"/>
      <c r="E100" s="103"/>
      <c r="F100" s="103"/>
      <c r="G100" s="103"/>
      <c r="H100" s="103"/>
      <c r="I100" s="104">
        <f>I95</f>
        <v>771890</v>
      </c>
      <c r="J100" s="22"/>
    </row>
    <row r="101" spans="1:10" ht="18" customHeight="1" x14ac:dyDescent="0.3">
      <c r="A101" s="154"/>
      <c r="B101" s="155" t="s">
        <v>374</v>
      </c>
      <c r="C101" s="156"/>
      <c r="D101" s="157"/>
      <c r="E101" s="158"/>
      <c r="F101" s="158"/>
      <c r="G101" s="158"/>
      <c r="H101" s="158"/>
      <c r="I101" s="159">
        <f>(I97+I100)*10%</f>
        <v>3353945.5306448098</v>
      </c>
      <c r="J101" s="160" t="s">
        <v>375</v>
      </c>
    </row>
    <row r="102" spans="1:10" ht="18" customHeight="1" x14ac:dyDescent="0.3">
      <c r="A102" s="180" t="s">
        <v>124</v>
      </c>
      <c r="B102" s="181"/>
      <c r="C102" s="181"/>
      <c r="D102" s="181"/>
      <c r="E102" s="181"/>
      <c r="F102" s="181"/>
      <c r="G102" s="181"/>
      <c r="H102" s="181"/>
      <c r="I102" s="150">
        <f>SUM(I96:I101)</f>
        <v>36893400.837092906</v>
      </c>
      <c r="J102" s="76"/>
    </row>
    <row r="104" spans="1:10" x14ac:dyDescent="0.3">
      <c r="I104" s="238"/>
    </row>
    <row r="106" spans="1:10" x14ac:dyDescent="0.3">
      <c r="I106" s="237"/>
    </row>
  </sheetData>
  <mergeCells count="34">
    <mergeCell ref="J5:J6"/>
    <mergeCell ref="A34:A35"/>
    <mergeCell ref="E5:G5"/>
    <mergeCell ref="H5:I5"/>
    <mergeCell ref="B19:B21"/>
    <mergeCell ref="A8:A15"/>
    <mergeCell ref="A16:A30"/>
    <mergeCell ref="A1:J1"/>
    <mergeCell ref="B12:B14"/>
    <mergeCell ref="A79:A83"/>
    <mergeCell ref="A2:I2"/>
    <mergeCell ref="A62:A65"/>
    <mergeCell ref="B67:B74"/>
    <mergeCell ref="A67:A76"/>
    <mergeCell ref="B16:B18"/>
    <mergeCell ref="A36:A48"/>
    <mergeCell ref="A5:C6"/>
    <mergeCell ref="A3:I3"/>
    <mergeCell ref="B8:B11"/>
    <mergeCell ref="A4:I4"/>
    <mergeCell ref="A50:A61"/>
    <mergeCell ref="D5:D6"/>
    <mergeCell ref="B36:B40"/>
    <mergeCell ref="A102:H102"/>
    <mergeCell ref="B22:B29"/>
    <mergeCell ref="A78:H78"/>
    <mergeCell ref="B45:B47"/>
    <mergeCell ref="B41:B44"/>
    <mergeCell ref="B50:B61"/>
    <mergeCell ref="B62:B65"/>
    <mergeCell ref="A84:A90"/>
    <mergeCell ref="B75:B76"/>
    <mergeCell ref="A31:A33"/>
    <mergeCell ref="A96:A100"/>
  </mergeCells>
  <phoneticPr fontId="9" type="noConversion"/>
  <printOptions horizontalCentered="1"/>
  <pageMargins left="5.5555555555555558E-3" right="5.5555555555555558E-3" top="5.5555555555555558E-3" bottom="5.5555555555555558E-3" header="2.7777777777777779E-3" footer="2.7777777777777779E-3"/>
  <pageSetup paperSize="8" scale="75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0353-F838-40D9-8F22-DDD232DA7B3E}">
  <sheetPr>
    <pageSetUpPr fitToPage="1"/>
  </sheetPr>
  <dimension ref="A1:G131"/>
  <sheetViews>
    <sheetView topLeftCell="A93" workbookViewId="0">
      <selection activeCell="I109" sqref="I109"/>
    </sheetView>
  </sheetViews>
  <sheetFormatPr defaultRowHeight="16.5" x14ac:dyDescent="0.3"/>
  <cols>
    <col min="1" max="1" width="28" style="80" customWidth="1"/>
    <col min="2" max="2" width="51.625" style="80" bestFit="1" customWidth="1"/>
    <col min="3" max="4" width="10" style="80" customWidth="1"/>
    <col min="5" max="5" width="14" style="80" customWidth="1"/>
    <col min="6" max="6" width="10" style="80" customWidth="1"/>
    <col min="7" max="7" width="12" style="80" customWidth="1"/>
    <col min="8" max="16384" width="9" style="80"/>
  </cols>
  <sheetData>
    <row r="1" spans="1:7" ht="15.95" customHeight="1" thickBot="1" x14ac:dyDescent="0.35">
      <c r="A1" s="91" t="s">
        <v>320</v>
      </c>
    </row>
    <row r="2" spans="1:7" ht="21.95" customHeight="1" thickBot="1" x14ac:dyDescent="0.35">
      <c r="A2" s="90" t="s">
        <v>319</v>
      </c>
      <c r="B2" s="90" t="s">
        <v>318</v>
      </c>
      <c r="C2" s="90" t="s">
        <v>6</v>
      </c>
      <c r="D2" s="90" t="s">
        <v>317</v>
      </c>
      <c r="E2" s="90" t="s">
        <v>11</v>
      </c>
      <c r="F2" s="90" t="s">
        <v>316</v>
      </c>
      <c r="G2" s="90" t="s">
        <v>315</v>
      </c>
    </row>
    <row r="3" spans="1:7" ht="20.100000000000001" customHeight="1" x14ac:dyDescent="0.3">
      <c r="A3" s="86" t="s">
        <v>314</v>
      </c>
    </row>
    <row r="4" spans="1:7" ht="18" customHeight="1" x14ac:dyDescent="0.3">
      <c r="A4" s="81" t="s">
        <v>313</v>
      </c>
      <c r="B4" s="81" t="s">
        <v>312</v>
      </c>
      <c r="C4" s="82" t="s">
        <v>78</v>
      </c>
      <c r="D4" s="82"/>
      <c r="E4" s="83">
        <v>183189</v>
      </c>
      <c r="F4" s="82"/>
      <c r="G4" s="81"/>
    </row>
    <row r="5" spans="1:7" ht="18" customHeight="1" x14ac:dyDescent="0.3">
      <c r="A5" s="84" t="s">
        <v>311</v>
      </c>
      <c r="B5" s="84" t="s">
        <v>309</v>
      </c>
      <c r="C5" s="82" t="s">
        <v>78</v>
      </c>
      <c r="D5" s="82"/>
      <c r="E5" s="85">
        <v>15846</v>
      </c>
      <c r="F5" s="82"/>
      <c r="G5" s="84"/>
    </row>
    <row r="6" spans="1:7" ht="18" customHeight="1" x14ac:dyDescent="0.3">
      <c r="A6" s="81" t="s">
        <v>310</v>
      </c>
      <c r="B6" s="81" t="s">
        <v>309</v>
      </c>
      <c r="C6" s="82" t="s">
        <v>78</v>
      </c>
      <c r="D6" s="82"/>
      <c r="E6" s="83">
        <v>9176</v>
      </c>
      <c r="F6" s="82"/>
      <c r="G6" s="81"/>
    </row>
    <row r="7" spans="1:7" ht="18" customHeight="1" x14ac:dyDescent="0.3">
      <c r="A7" s="84" t="s">
        <v>308</v>
      </c>
      <c r="B7" s="84" t="s">
        <v>307</v>
      </c>
      <c r="C7" s="82" t="s">
        <v>78</v>
      </c>
      <c r="D7" s="82"/>
      <c r="E7" s="85">
        <v>57665</v>
      </c>
      <c r="F7" s="82"/>
      <c r="G7" s="84"/>
    </row>
    <row r="8" spans="1:7" ht="18" customHeight="1" x14ac:dyDescent="0.3">
      <c r="A8" s="81" t="s">
        <v>306</v>
      </c>
      <c r="B8" s="81" t="s">
        <v>305</v>
      </c>
      <c r="C8" s="82" t="s">
        <v>78</v>
      </c>
      <c r="D8" s="82"/>
      <c r="E8" s="83">
        <v>96282</v>
      </c>
      <c r="F8" s="82"/>
      <c r="G8" s="81"/>
    </row>
    <row r="9" spans="1:7" ht="18" customHeight="1" x14ac:dyDescent="0.3">
      <c r="A9" s="84" t="s">
        <v>304</v>
      </c>
      <c r="B9" s="84" t="s">
        <v>303</v>
      </c>
      <c r="C9" s="82" t="s">
        <v>78</v>
      </c>
      <c r="D9" s="82"/>
      <c r="E9" s="85">
        <v>62327</v>
      </c>
      <c r="F9" s="82"/>
      <c r="G9" s="84"/>
    </row>
    <row r="10" spans="1:7" ht="18" customHeight="1" x14ac:dyDescent="0.3">
      <c r="A10" s="81" t="s">
        <v>302</v>
      </c>
      <c r="B10" s="81" t="s">
        <v>301</v>
      </c>
      <c r="C10" s="82" t="s">
        <v>78</v>
      </c>
      <c r="D10" s="82"/>
      <c r="E10" s="83">
        <v>44444</v>
      </c>
      <c r="F10" s="82"/>
      <c r="G10" s="81"/>
    </row>
    <row r="11" spans="1:7" ht="18" customHeight="1" x14ac:dyDescent="0.3">
      <c r="A11" s="84"/>
      <c r="B11" s="84" t="s">
        <v>295</v>
      </c>
      <c r="C11" s="82" t="s">
        <v>78</v>
      </c>
      <c r="D11" s="82"/>
      <c r="E11" s="85">
        <v>28617</v>
      </c>
      <c r="F11" s="82"/>
      <c r="G11" s="84"/>
    </row>
    <row r="12" spans="1:7" ht="18" customHeight="1" x14ac:dyDescent="0.3">
      <c r="A12" s="81" t="s">
        <v>300</v>
      </c>
      <c r="B12" s="81" t="s">
        <v>299</v>
      </c>
      <c r="C12" s="82" t="s">
        <v>78</v>
      </c>
      <c r="D12" s="82"/>
      <c r="E12" s="83">
        <v>13928</v>
      </c>
      <c r="F12" s="82"/>
      <c r="G12" s="81"/>
    </row>
    <row r="13" spans="1:7" ht="18" customHeight="1" x14ac:dyDescent="0.3">
      <c r="A13" s="84"/>
      <c r="B13" s="84" t="s">
        <v>298</v>
      </c>
      <c r="C13" s="82" t="s">
        <v>78</v>
      </c>
      <c r="D13" s="82"/>
      <c r="E13" s="85">
        <v>1990</v>
      </c>
      <c r="F13" s="82"/>
      <c r="G13" s="84"/>
    </row>
    <row r="14" spans="1:7" ht="18" customHeight="1" x14ac:dyDescent="0.3">
      <c r="A14" s="81" t="s">
        <v>297</v>
      </c>
      <c r="B14" s="81" t="s">
        <v>295</v>
      </c>
      <c r="C14" s="82" t="s">
        <v>78</v>
      </c>
      <c r="D14" s="82"/>
      <c r="E14" s="83">
        <v>9552</v>
      </c>
      <c r="F14" s="82"/>
      <c r="G14" s="81"/>
    </row>
    <row r="15" spans="1:7" ht="18" customHeight="1" x14ac:dyDescent="0.3">
      <c r="A15" s="84" t="s">
        <v>296</v>
      </c>
      <c r="B15" s="84" t="s">
        <v>295</v>
      </c>
      <c r="C15" s="82" t="s">
        <v>78</v>
      </c>
      <c r="D15" s="82"/>
      <c r="E15" s="85">
        <v>19923</v>
      </c>
      <c r="F15" s="82"/>
      <c r="G15" s="84"/>
    </row>
    <row r="16" spans="1:7" ht="18" customHeight="1" x14ac:dyDescent="0.3">
      <c r="A16" s="81" t="s">
        <v>294</v>
      </c>
      <c r="B16" s="81" t="s">
        <v>293</v>
      </c>
      <c r="C16" s="82" t="s">
        <v>78</v>
      </c>
      <c r="D16" s="82"/>
      <c r="E16" s="83">
        <v>4919</v>
      </c>
      <c r="F16" s="82"/>
      <c r="G16" s="81"/>
    </row>
    <row r="17" spans="1:7" ht="18" customHeight="1" x14ac:dyDescent="0.3">
      <c r="A17" s="89" t="s">
        <v>292</v>
      </c>
      <c r="B17" s="84" t="s">
        <v>291</v>
      </c>
      <c r="C17" s="82" t="s">
        <v>78</v>
      </c>
      <c r="D17" s="82"/>
      <c r="E17" s="85">
        <v>8591</v>
      </c>
      <c r="F17" s="82"/>
      <c r="G17" s="84"/>
    </row>
    <row r="18" spans="1:7" ht="18" customHeight="1" x14ac:dyDescent="0.3">
      <c r="A18" s="81"/>
      <c r="B18" s="81" t="s">
        <v>290</v>
      </c>
      <c r="C18" s="82" t="s">
        <v>78</v>
      </c>
      <c r="D18" s="88"/>
      <c r="E18" s="83">
        <v>25838</v>
      </c>
      <c r="F18" s="88"/>
      <c r="G18" s="81"/>
    </row>
    <row r="19" spans="1:7" ht="18" customHeight="1" x14ac:dyDescent="0.3">
      <c r="A19" s="84"/>
      <c r="B19" s="84" t="s">
        <v>289</v>
      </c>
      <c r="C19" s="82" t="s">
        <v>78</v>
      </c>
      <c r="D19" s="87"/>
      <c r="E19" s="85">
        <v>32928</v>
      </c>
      <c r="F19" s="87"/>
      <c r="G19" s="84"/>
    </row>
    <row r="20" spans="1:7" ht="18" customHeight="1" x14ac:dyDescent="0.3">
      <c r="A20" s="81" t="s">
        <v>288</v>
      </c>
      <c r="B20" s="81" t="s">
        <v>287</v>
      </c>
      <c r="C20" s="82" t="s">
        <v>78</v>
      </c>
      <c r="D20" s="88"/>
      <c r="E20" s="83">
        <v>1839</v>
      </c>
      <c r="F20" s="88"/>
      <c r="G20" s="81"/>
    </row>
    <row r="21" spans="1:7" ht="18" customHeight="1" x14ac:dyDescent="0.3">
      <c r="A21" s="84"/>
      <c r="B21" s="84" t="s">
        <v>286</v>
      </c>
      <c r="C21" s="82" t="s">
        <v>78</v>
      </c>
      <c r="D21" s="87"/>
      <c r="E21" s="85">
        <v>1687</v>
      </c>
      <c r="F21" s="87"/>
      <c r="G21" s="84"/>
    </row>
    <row r="22" spans="1:7" ht="18" customHeight="1" x14ac:dyDescent="0.3">
      <c r="A22" s="81" t="s">
        <v>285</v>
      </c>
      <c r="B22" s="81" t="s">
        <v>284</v>
      </c>
      <c r="C22" s="82" t="s">
        <v>78</v>
      </c>
      <c r="D22" s="88"/>
      <c r="E22" s="83">
        <v>2490</v>
      </c>
      <c r="F22" s="88"/>
      <c r="G22" s="81"/>
    </row>
    <row r="23" spans="1:7" ht="18" customHeight="1" x14ac:dyDescent="0.3">
      <c r="A23" s="84"/>
      <c r="B23" s="84" t="s">
        <v>283</v>
      </c>
      <c r="C23" s="82" t="s">
        <v>78</v>
      </c>
      <c r="D23" s="87"/>
      <c r="E23" s="85">
        <v>4314</v>
      </c>
      <c r="F23" s="87"/>
      <c r="G23" s="84"/>
    </row>
    <row r="24" spans="1:7" ht="18" customHeight="1" x14ac:dyDescent="0.3">
      <c r="A24" s="81" t="s">
        <v>282</v>
      </c>
      <c r="B24" s="81" t="s">
        <v>185</v>
      </c>
      <c r="C24" s="82" t="s">
        <v>78</v>
      </c>
      <c r="D24" s="88"/>
      <c r="E24" s="83">
        <v>677</v>
      </c>
      <c r="F24" s="88"/>
      <c r="G24" s="81"/>
    </row>
    <row r="25" spans="1:7" ht="18" customHeight="1" x14ac:dyDescent="0.3">
      <c r="A25" s="84"/>
      <c r="B25" s="84" t="s">
        <v>184</v>
      </c>
      <c r="C25" s="82" t="s">
        <v>78</v>
      </c>
      <c r="D25" s="87"/>
      <c r="E25" s="85">
        <v>1529</v>
      </c>
      <c r="F25" s="87"/>
      <c r="G25" s="84"/>
    </row>
    <row r="26" spans="1:7" ht="18" customHeight="1" x14ac:dyDescent="0.3">
      <c r="A26" s="81" t="s">
        <v>281</v>
      </c>
      <c r="B26" s="81" t="s">
        <v>280</v>
      </c>
      <c r="C26" s="82" t="s">
        <v>78</v>
      </c>
      <c r="D26" s="88"/>
      <c r="E26" s="83">
        <v>24616</v>
      </c>
      <c r="F26" s="88"/>
      <c r="G26" s="81"/>
    </row>
    <row r="27" spans="1:7" ht="18" customHeight="1" x14ac:dyDescent="0.3">
      <c r="A27" s="84" t="s">
        <v>279</v>
      </c>
      <c r="B27" s="84" t="s">
        <v>278</v>
      </c>
      <c r="C27" s="82" t="s">
        <v>78</v>
      </c>
      <c r="D27" s="87"/>
      <c r="E27" s="85">
        <v>22895</v>
      </c>
      <c r="F27" s="87"/>
      <c r="G27" s="84"/>
    </row>
    <row r="28" spans="1:7" ht="18" customHeight="1" x14ac:dyDescent="0.3">
      <c r="A28" s="81"/>
      <c r="B28" s="81" t="s">
        <v>277</v>
      </c>
      <c r="C28" s="82" t="s">
        <v>78</v>
      </c>
      <c r="D28" s="88"/>
      <c r="E28" s="83">
        <v>17085</v>
      </c>
      <c r="F28" s="88"/>
      <c r="G28" s="81"/>
    </row>
    <row r="29" spans="1:7" ht="18" customHeight="1" x14ac:dyDescent="0.3">
      <c r="A29" s="84"/>
      <c r="B29" s="84" t="s">
        <v>276</v>
      </c>
      <c r="C29" s="82" t="s">
        <v>78</v>
      </c>
      <c r="D29" s="87"/>
      <c r="E29" s="85">
        <v>15590</v>
      </c>
      <c r="F29" s="87"/>
      <c r="G29" s="84"/>
    </row>
    <row r="30" spans="1:7" ht="18" customHeight="1" x14ac:dyDescent="0.3">
      <c r="A30" s="81"/>
      <c r="B30" s="81" t="s">
        <v>275</v>
      </c>
      <c r="C30" s="82" t="s">
        <v>78</v>
      </c>
      <c r="D30" s="88"/>
      <c r="E30" s="83">
        <v>13412</v>
      </c>
      <c r="F30" s="88"/>
      <c r="G30" s="81"/>
    </row>
    <row r="31" spans="1:7" ht="18" customHeight="1" x14ac:dyDescent="0.3">
      <c r="A31" s="84"/>
      <c r="B31" s="84" t="s">
        <v>274</v>
      </c>
      <c r="C31" s="82" t="s">
        <v>78</v>
      </c>
      <c r="D31" s="87"/>
      <c r="E31" s="85">
        <v>23232</v>
      </c>
      <c r="F31" s="87"/>
      <c r="G31" s="84"/>
    </row>
    <row r="32" spans="1:7" ht="18" customHeight="1" x14ac:dyDescent="0.3">
      <c r="A32" s="81"/>
      <c r="B32" s="81" t="s">
        <v>273</v>
      </c>
      <c r="C32" s="82" t="s">
        <v>78</v>
      </c>
      <c r="D32" s="82"/>
      <c r="E32" s="83">
        <v>5255</v>
      </c>
      <c r="F32" s="82"/>
      <c r="G32" s="81"/>
    </row>
    <row r="33" spans="1:7" ht="18" customHeight="1" x14ac:dyDescent="0.3">
      <c r="A33" s="84" t="s">
        <v>272</v>
      </c>
      <c r="B33" s="84" t="s">
        <v>271</v>
      </c>
      <c r="C33" s="82" t="s">
        <v>78</v>
      </c>
      <c r="D33" s="87"/>
      <c r="E33" s="85">
        <v>12821</v>
      </c>
      <c r="F33" s="87"/>
      <c r="G33" s="84"/>
    </row>
    <row r="34" spans="1:7" ht="18" customHeight="1" x14ac:dyDescent="0.3">
      <c r="A34" s="81"/>
      <c r="B34" s="81" t="s">
        <v>270</v>
      </c>
      <c r="C34" s="82" t="s">
        <v>78</v>
      </c>
      <c r="D34" s="88"/>
      <c r="E34" s="83">
        <v>8658</v>
      </c>
      <c r="F34" s="88"/>
      <c r="G34" s="81"/>
    </row>
    <row r="35" spans="1:7" ht="18" customHeight="1" x14ac:dyDescent="0.3">
      <c r="A35" s="84"/>
      <c r="B35" s="84" t="s">
        <v>269</v>
      </c>
      <c r="C35" s="82" t="s">
        <v>78</v>
      </c>
      <c r="D35" s="87"/>
      <c r="E35" s="85">
        <v>16613</v>
      </c>
      <c r="F35" s="87"/>
      <c r="G35" s="84"/>
    </row>
    <row r="36" spans="1:7" ht="18" customHeight="1" x14ac:dyDescent="0.3">
      <c r="A36" s="81"/>
      <c r="B36" s="81" t="s">
        <v>268</v>
      </c>
      <c r="C36" s="82" t="s">
        <v>78</v>
      </c>
      <c r="D36" s="88"/>
      <c r="E36" s="83">
        <v>21574</v>
      </c>
      <c r="F36" s="88"/>
      <c r="G36" s="81"/>
    </row>
    <row r="37" spans="1:7" ht="20.100000000000001" customHeight="1" x14ac:dyDescent="0.3">
      <c r="A37" s="86" t="s">
        <v>267</v>
      </c>
    </row>
    <row r="38" spans="1:7" ht="18" customHeight="1" x14ac:dyDescent="0.3">
      <c r="A38" s="81" t="s">
        <v>266</v>
      </c>
      <c r="B38" s="81" t="s">
        <v>265</v>
      </c>
      <c r="C38" s="82" t="s">
        <v>87</v>
      </c>
      <c r="D38" s="82"/>
      <c r="E38" s="83">
        <v>315</v>
      </c>
      <c r="F38" s="82"/>
      <c r="G38" s="81"/>
    </row>
    <row r="39" spans="1:7" ht="18" customHeight="1" x14ac:dyDescent="0.3">
      <c r="A39" s="84"/>
      <c r="B39" s="84" t="s">
        <v>264</v>
      </c>
      <c r="C39" s="82" t="s">
        <v>87</v>
      </c>
      <c r="D39" s="82"/>
      <c r="E39" s="85">
        <v>367</v>
      </c>
      <c r="F39" s="82"/>
      <c r="G39" s="84"/>
    </row>
    <row r="40" spans="1:7" ht="18" customHeight="1" x14ac:dyDescent="0.3">
      <c r="A40" s="81"/>
      <c r="B40" s="81" t="s">
        <v>263</v>
      </c>
      <c r="C40" s="82" t="s">
        <v>87</v>
      </c>
      <c r="D40" s="82"/>
      <c r="E40" s="83">
        <v>504</v>
      </c>
      <c r="F40" s="82"/>
      <c r="G40" s="81"/>
    </row>
    <row r="41" spans="1:7" ht="18" customHeight="1" x14ac:dyDescent="0.3">
      <c r="A41" s="84" t="s">
        <v>262</v>
      </c>
      <c r="B41" s="84" t="s">
        <v>261</v>
      </c>
      <c r="C41" s="82" t="s">
        <v>87</v>
      </c>
      <c r="D41" s="87"/>
      <c r="E41" s="85">
        <v>695</v>
      </c>
      <c r="F41" s="87"/>
      <c r="G41" s="84"/>
    </row>
    <row r="42" spans="1:7" ht="18" customHeight="1" x14ac:dyDescent="0.3">
      <c r="A42" s="81"/>
      <c r="B42" s="81" t="s">
        <v>260</v>
      </c>
      <c r="C42" s="82" t="s">
        <v>87</v>
      </c>
      <c r="D42" s="88"/>
      <c r="E42" s="83">
        <v>827</v>
      </c>
      <c r="F42" s="88"/>
      <c r="G42" s="81"/>
    </row>
    <row r="43" spans="1:7" ht="18" customHeight="1" x14ac:dyDescent="0.3">
      <c r="A43" s="84"/>
      <c r="B43" s="84" t="s">
        <v>259</v>
      </c>
      <c r="C43" s="82" t="s">
        <v>87</v>
      </c>
      <c r="D43" s="87"/>
      <c r="E43" s="85">
        <v>936</v>
      </c>
      <c r="F43" s="87"/>
      <c r="G43" s="84"/>
    </row>
    <row r="44" spans="1:7" ht="18" customHeight="1" x14ac:dyDescent="0.3">
      <c r="A44" s="81" t="s">
        <v>258</v>
      </c>
      <c r="B44" s="81" t="s">
        <v>257</v>
      </c>
      <c r="C44" s="82" t="s">
        <v>146</v>
      </c>
      <c r="D44" s="82"/>
      <c r="E44" s="83">
        <v>33348</v>
      </c>
      <c r="F44" s="82"/>
      <c r="G44" s="81"/>
    </row>
    <row r="45" spans="1:7" ht="18" customHeight="1" x14ac:dyDescent="0.3">
      <c r="A45" s="84"/>
      <c r="B45" s="84" t="s">
        <v>256</v>
      </c>
      <c r="C45" s="82" t="s">
        <v>146</v>
      </c>
      <c r="D45" s="82"/>
      <c r="E45" s="85">
        <v>46003</v>
      </c>
      <c r="F45" s="82"/>
      <c r="G45" s="84"/>
    </row>
    <row r="46" spans="1:7" ht="18" customHeight="1" x14ac:dyDescent="0.3">
      <c r="A46" s="81"/>
      <c r="B46" s="81" t="s">
        <v>255</v>
      </c>
      <c r="C46" s="82" t="s">
        <v>146</v>
      </c>
      <c r="D46" s="82"/>
      <c r="E46" s="83">
        <v>89030</v>
      </c>
      <c r="F46" s="82"/>
      <c r="G46" s="81"/>
    </row>
    <row r="47" spans="1:7" ht="18" customHeight="1" x14ac:dyDescent="0.3">
      <c r="A47" s="84"/>
      <c r="B47" s="84" t="s">
        <v>254</v>
      </c>
      <c r="C47" s="82" t="s">
        <v>146</v>
      </c>
      <c r="D47" s="82"/>
      <c r="E47" s="85">
        <v>113283</v>
      </c>
      <c r="F47" s="82"/>
      <c r="G47" s="84"/>
    </row>
    <row r="48" spans="1:7" ht="18" customHeight="1" x14ac:dyDescent="0.3">
      <c r="A48" s="81"/>
      <c r="B48" s="81" t="s">
        <v>253</v>
      </c>
      <c r="C48" s="82" t="s">
        <v>146</v>
      </c>
      <c r="D48" s="82"/>
      <c r="E48" s="83">
        <v>156381</v>
      </c>
      <c r="F48" s="82"/>
      <c r="G48" s="81"/>
    </row>
    <row r="49" spans="1:7" ht="18" customHeight="1" x14ac:dyDescent="0.3">
      <c r="A49" s="84" t="s">
        <v>252</v>
      </c>
      <c r="B49" s="84" t="s">
        <v>251</v>
      </c>
      <c r="C49" s="82" t="s">
        <v>148</v>
      </c>
      <c r="D49" s="82"/>
      <c r="E49" s="85">
        <v>71</v>
      </c>
      <c r="F49" s="82"/>
      <c r="G49" s="84"/>
    </row>
    <row r="50" spans="1:7" ht="18" customHeight="1" x14ac:dyDescent="0.3">
      <c r="A50" s="81"/>
      <c r="B50" s="81" t="s">
        <v>250</v>
      </c>
      <c r="C50" s="82" t="s">
        <v>148</v>
      </c>
      <c r="D50" s="82"/>
      <c r="E50" s="83">
        <v>98</v>
      </c>
      <c r="F50" s="82"/>
      <c r="G50" s="81"/>
    </row>
    <row r="51" spans="1:7" ht="18" customHeight="1" x14ac:dyDescent="0.3">
      <c r="A51" s="84"/>
      <c r="B51" s="84" t="s">
        <v>249</v>
      </c>
      <c r="C51" s="82" t="s">
        <v>148</v>
      </c>
      <c r="D51" s="87"/>
      <c r="E51" s="85">
        <v>85</v>
      </c>
      <c r="F51" s="87"/>
      <c r="G51" s="84"/>
    </row>
    <row r="52" spans="1:7" ht="18" customHeight="1" x14ac:dyDescent="0.3">
      <c r="A52" s="81"/>
      <c r="B52" s="81" t="s">
        <v>248</v>
      </c>
      <c r="C52" s="82" t="s">
        <v>148</v>
      </c>
      <c r="D52" s="88"/>
      <c r="E52" s="83">
        <v>126</v>
      </c>
      <c r="F52" s="88"/>
      <c r="G52" s="81"/>
    </row>
    <row r="53" spans="1:7" ht="18" customHeight="1" x14ac:dyDescent="0.3">
      <c r="A53" s="84" t="s">
        <v>247</v>
      </c>
      <c r="B53" s="84" t="s">
        <v>246</v>
      </c>
      <c r="C53" s="82" t="s">
        <v>148</v>
      </c>
      <c r="D53" s="82"/>
      <c r="E53" s="85">
        <v>438</v>
      </c>
      <c r="F53" s="82"/>
      <c r="G53" s="84"/>
    </row>
    <row r="54" spans="1:7" ht="18" customHeight="1" x14ac:dyDescent="0.3">
      <c r="A54" s="81" t="s">
        <v>245</v>
      </c>
      <c r="B54" s="81" t="s">
        <v>244</v>
      </c>
      <c r="C54" s="82" t="s">
        <v>146</v>
      </c>
      <c r="D54" s="82"/>
      <c r="E54" s="83">
        <v>55308</v>
      </c>
      <c r="F54" s="82"/>
      <c r="G54" s="81"/>
    </row>
    <row r="55" spans="1:7" ht="18" customHeight="1" x14ac:dyDescent="0.3">
      <c r="A55" s="84" t="s">
        <v>243</v>
      </c>
      <c r="B55" s="84" t="s">
        <v>242</v>
      </c>
      <c r="C55" s="82" t="s">
        <v>148</v>
      </c>
      <c r="D55" s="82"/>
      <c r="E55" s="85">
        <v>32</v>
      </c>
      <c r="F55" s="82"/>
      <c r="G55" s="84"/>
    </row>
    <row r="56" spans="1:7" ht="18" customHeight="1" x14ac:dyDescent="0.3">
      <c r="A56" s="81" t="s">
        <v>241</v>
      </c>
      <c r="B56" s="81" t="s">
        <v>240</v>
      </c>
      <c r="C56" s="82" t="s">
        <v>87</v>
      </c>
      <c r="D56" s="88"/>
      <c r="E56" s="83">
        <v>596</v>
      </c>
      <c r="F56" s="88"/>
      <c r="G56" s="81"/>
    </row>
    <row r="57" spans="1:7" ht="18" customHeight="1" x14ac:dyDescent="0.3">
      <c r="A57" s="84"/>
      <c r="B57" s="84" t="s">
        <v>239</v>
      </c>
      <c r="C57" s="82" t="s">
        <v>87</v>
      </c>
      <c r="D57" s="87"/>
      <c r="E57" s="85">
        <v>222</v>
      </c>
      <c r="F57" s="87"/>
      <c r="G57" s="84"/>
    </row>
    <row r="58" spans="1:7" ht="18" customHeight="1" x14ac:dyDescent="0.3">
      <c r="A58" s="81"/>
      <c r="B58" s="81" t="s">
        <v>238</v>
      </c>
      <c r="C58" s="82" t="s">
        <v>148</v>
      </c>
      <c r="D58" s="88"/>
      <c r="E58" s="83">
        <v>882</v>
      </c>
      <c r="F58" s="88"/>
      <c r="G58" s="81"/>
    </row>
    <row r="59" spans="1:7" ht="18" customHeight="1" x14ac:dyDescent="0.3">
      <c r="A59" s="84" t="s">
        <v>237</v>
      </c>
      <c r="B59" s="84" t="s">
        <v>236</v>
      </c>
      <c r="C59" s="82" t="s">
        <v>146</v>
      </c>
      <c r="D59" s="82"/>
      <c r="E59" s="85">
        <v>25448</v>
      </c>
      <c r="F59" s="82"/>
      <c r="G59" s="84"/>
    </row>
    <row r="60" spans="1:7" ht="18" customHeight="1" x14ac:dyDescent="0.3">
      <c r="A60" s="81" t="s">
        <v>235</v>
      </c>
      <c r="B60" s="81" t="s">
        <v>234</v>
      </c>
      <c r="C60" s="82" t="s">
        <v>142</v>
      </c>
      <c r="D60" s="82"/>
      <c r="E60" s="83">
        <v>6685</v>
      </c>
      <c r="F60" s="82"/>
      <c r="G60" s="81"/>
    </row>
    <row r="61" spans="1:7" ht="18" customHeight="1" x14ac:dyDescent="0.3">
      <c r="A61" s="84"/>
      <c r="B61" s="84" t="s">
        <v>233</v>
      </c>
      <c r="C61" s="82" t="s">
        <v>18</v>
      </c>
      <c r="D61" s="82"/>
      <c r="E61" s="85">
        <v>7093</v>
      </c>
      <c r="F61" s="82"/>
      <c r="G61" s="84"/>
    </row>
    <row r="62" spans="1:7" ht="18" customHeight="1" x14ac:dyDescent="0.3">
      <c r="A62" s="81"/>
      <c r="B62" s="81" t="s">
        <v>232</v>
      </c>
      <c r="C62" s="82" t="s">
        <v>18</v>
      </c>
      <c r="D62" s="82"/>
      <c r="E62" s="83">
        <v>7093</v>
      </c>
      <c r="F62" s="82"/>
      <c r="G62" s="81"/>
    </row>
    <row r="63" spans="1:7" ht="18" customHeight="1" x14ac:dyDescent="0.3">
      <c r="A63" s="84"/>
      <c r="B63" s="84" t="s">
        <v>231</v>
      </c>
      <c r="C63" s="82" t="s">
        <v>18</v>
      </c>
      <c r="D63" s="82"/>
      <c r="E63" s="85">
        <v>7502</v>
      </c>
      <c r="F63" s="82"/>
      <c r="G63" s="84"/>
    </row>
    <row r="64" spans="1:7" ht="18" customHeight="1" x14ac:dyDescent="0.3">
      <c r="A64" s="81" t="s">
        <v>230</v>
      </c>
      <c r="B64" s="81" t="s">
        <v>229</v>
      </c>
      <c r="C64" s="82" t="s">
        <v>18</v>
      </c>
      <c r="D64" s="82"/>
      <c r="E64" s="83">
        <v>6966</v>
      </c>
      <c r="F64" s="82"/>
      <c r="G64" s="81"/>
    </row>
    <row r="65" spans="1:7" ht="18" customHeight="1" x14ac:dyDescent="0.3">
      <c r="A65" s="84"/>
      <c r="B65" s="84" t="s">
        <v>228</v>
      </c>
      <c r="C65" s="82" t="s">
        <v>18</v>
      </c>
      <c r="D65" s="82"/>
      <c r="E65" s="85">
        <v>7373</v>
      </c>
      <c r="F65" s="82"/>
      <c r="G65" s="84"/>
    </row>
    <row r="66" spans="1:7" ht="18" customHeight="1" x14ac:dyDescent="0.3">
      <c r="A66" s="81"/>
      <c r="B66" s="81" t="s">
        <v>227</v>
      </c>
      <c r="C66" s="82" t="s">
        <v>18</v>
      </c>
      <c r="D66" s="82"/>
      <c r="E66" s="83">
        <v>7373</v>
      </c>
      <c r="F66" s="82"/>
      <c r="G66" s="81"/>
    </row>
    <row r="67" spans="1:7" ht="18" customHeight="1" x14ac:dyDescent="0.3">
      <c r="A67" s="84"/>
      <c r="B67" s="84" t="s">
        <v>226</v>
      </c>
      <c r="C67" s="82" t="s">
        <v>18</v>
      </c>
      <c r="D67" s="82"/>
      <c r="E67" s="85">
        <v>7781</v>
      </c>
      <c r="F67" s="82"/>
      <c r="G67" s="84"/>
    </row>
    <row r="68" spans="1:7" ht="18" customHeight="1" x14ac:dyDescent="0.3">
      <c r="A68" s="81" t="s">
        <v>225</v>
      </c>
      <c r="B68" s="81" t="s">
        <v>224</v>
      </c>
      <c r="C68" s="82" t="s">
        <v>146</v>
      </c>
      <c r="D68" s="82"/>
      <c r="E68" s="83">
        <v>130544</v>
      </c>
      <c r="F68" s="82"/>
      <c r="G68" s="81"/>
    </row>
    <row r="69" spans="1:7" ht="18" customHeight="1" x14ac:dyDescent="0.3">
      <c r="A69" s="84"/>
      <c r="B69" s="84" t="s">
        <v>223</v>
      </c>
      <c r="C69" s="82" t="s">
        <v>146</v>
      </c>
      <c r="D69" s="82"/>
      <c r="E69" s="85">
        <v>132460</v>
      </c>
      <c r="F69" s="82"/>
      <c r="G69" s="84"/>
    </row>
    <row r="70" spans="1:7" ht="18" customHeight="1" x14ac:dyDescent="0.3">
      <c r="A70" s="81"/>
      <c r="B70" s="81" t="s">
        <v>222</v>
      </c>
      <c r="C70" s="82" t="s">
        <v>146</v>
      </c>
      <c r="D70" s="82"/>
      <c r="E70" s="83">
        <v>135363</v>
      </c>
      <c r="F70" s="82"/>
      <c r="G70" s="81"/>
    </row>
    <row r="71" spans="1:7" ht="18" customHeight="1" x14ac:dyDescent="0.3">
      <c r="A71" s="84" t="s">
        <v>221</v>
      </c>
      <c r="B71" s="84" t="s">
        <v>220</v>
      </c>
      <c r="C71" s="82" t="s">
        <v>142</v>
      </c>
      <c r="D71" s="82"/>
      <c r="E71" s="85">
        <v>2381</v>
      </c>
      <c r="F71" s="82"/>
      <c r="G71" s="84"/>
    </row>
    <row r="72" spans="1:7" ht="18" customHeight="1" x14ac:dyDescent="0.3">
      <c r="A72" s="81"/>
      <c r="B72" s="81" t="s">
        <v>219</v>
      </c>
      <c r="C72" s="88" t="s">
        <v>146</v>
      </c>
      <c r="D72" s="88"/>
      <c r="E72" s="83">
        <v>60088</v>
      </c>
      <c r="F72" s="88"/>
      <c r="G72" s="81"/>
    </row>
    <row r="73" spans="1:7" ht="18" customHeight="1" x14ac:dyDescent="0.3">
      <c r="A73" s="84" t="s">
        <v>218</v>
      </c>
      <c r="B73" s="84" t="s">
        <v>217</v>
      </c>
      <c r="C73" s="87" t="s">
        <v>142</v>
      </c>
      <c r="D73" s="87"/>
      <c r="E73" s="85">
        <v>3930</v>
      </c>
      <c r="F73" s="87"/>
      <c r="G73" s="84"/>
    </row>
    <row r="74" spans="1:7" ht="18" customHeight="1" x14ac:dyDescent="0.3">
      <c r="A74" s="81" t="s">
        <v>216</v>
      </c>
      <c r="B74" s="81" t="s">
        <v>215</v>
      </c>
      <c r="C74" s="82" t="s">
        <v>212</v>
      </c>
      <c r="D74" s="82"/>
      <c r="E74" s="83">
        <v>1178</v>
      </c>
      <c r="F74" s="82"/>
      <c r="G74" s="81"/>
    </row>
    <row r="75" spans="1:7" ht="18" customHeight="1" x14ac:dyDescent="0.3">
      <c r="A75" s="84"/>
      <c r="B75" s="84" t="s">
        <v>214</v>
      </c>
      <c r="C75" s="82" t="s">
        <v>212</v>
      </c>
      <c r="D75" s="82"/>
      <c r="E75" s="85">
        <v>1058</v>
      </c>
      <c r="F75" s="82"/>
      <c r="G75" s="84"/>
    </row>
    <row r="76" spans="1:7" ht="18" customHeight="1" x14ac:dyDescent="0.3">
      <c r="A76" s="81"/>
      <c r="B76" s="81" t="s">
        <v>213</v>
      </c>
      <c r="C76" s="82" t="s">
        <v>212</v>
      </c>
      <c r="D76" s="82"/>
      <c r="E76" s="83">
        <v>882</v>
      </c>
      <c r="F76" s="82"/>
      <c r="G76" s="81"/>
    </row>
    <row r="77" spans="1:7" ht="18" customHeight="1" x14ac:dyDescent="0.3">
      <c r="A77" s="84"/>
      <c r="B77" s="84" t="s">
        <v>211</v>
      </c>
      <c r="C77" s="82" t="s">
        <v>146</v>
      </c>
      <c r="D77" s="82"/>
      <c r="E77" s="85">
        <v>8917</v>
      </c>
      <c r="F77" s="82"/>
      <c r="G77" s="84"/>
    </row>
    <row r="78" spans="1:7" ht="18" customHeight="1" x14ac:dyDescent="0.3">
      <c r="A78" s="81" t="s">
        <v>210</v>
      </c>
      <c r="B78" s="81" t="s">
        <v>209</v>
      </c>
      <c r="C78" s="88" t="s">
        <v>146</v>
      </c>
      <c r="D78" s="88"/>
      <c r="E78" s="83">
        <v>65814</v>
      </c>
      <c r="F78" s="88"/>
      <c r="G78" s="81"/>
    </row>
    <row r="79" spans="1:7" ht="18" customHeight="1" x14ac:dyDescent="0.3">
      <c r="A79" s="84"/>
      <c r="B79" s="84" t="s">
        <v>208</v>
      </c>
      <c r="C79" s="87" t="s">
        <v>146</v>
      </c>
      <c r="D79" s="87"/>
      <c r="E79" s="85">
        <v>43325</v>
      </c>
      <c r="F79" s="87"/>
      <c r="G79" s="84"/>
    </row>
    <row r="80" spans="1:7" ht="18" customHeight="1" x14ac:dyDescent="0.3">
      <c r="A80" s="81" t="s">
        <v>207</v>
      </c>
      <c r="B80" s="81" t="s">
        <v>206</v>
      </c>
      <c r="C80" s="88" t="s">
        <v>146</v>
      </c>
      <c r="D80" s="88"/>
      <c r="E80" s="83">
        <v>27852</v>
      </c>
      <c r="F80" s="88"/>
      <c r="G80" s="81"/>
    </row>
    <row r="81" spans="1:7" ht="20.100000000000001" customHeight="1" x14ac:dyDescent="0.3">
      <c r="A81" s="86" t="s">
        <v>205</v>
      </c>
    </row>
    <row r="82" spans="1:7" ht="18" customHeight="1" x14ac:dyDescent="0.3">
      <c r="A82" s="81" t="s">
        <v>204</v>
      </c>
      <c r="B82" s="81" t="s">
        <v>203</v>
      </c>
      <c r="C82" s="82" t="s">
        <v>78</v>
      </c>
      <c r="D82" s="82"/>
      <c r="E82" s="83">
        <v>100658</v>
      </c>
      <c r="F82" s="82"/>
      <c r="G82" s="81"/>
    </row>
    <row r="83" spans="1:7" ht="18" customHeight="1" x14ac:dyDescent="0.3">
      <c r="A83" s="84" t="s">
        <v>202</v>
      </c>
      <c r="B83" s="84" t="s">
        <v>201</v>
      </c>
      <c r="C83" s="82" t="s">
        <v>197</v>
      </c>
      <c r="D83" s="82"/>
      <c r="E83" s="85">
        <v>120129</v>
      </c>
      <c r="F83" s="82"/>
      <c r="G83" s="84"/>
    </row>
    <row r="84" spans="1:7" ht="18" customHeight="1" x14ac:dyDescent="0.3">
      <c r="A84" s="81"/>
      <c r="B84" s="81" t="s">
        <v>200</v>
      </c>
      <c r="C84" s="82" t="s">
        <v>197</v>
      </c>
      <c r="D84" s="82"/>
      <c r="E84" s="83">
        <v>130032</v>
      </c>
      <c r="F84" s="82"/>
      <c r="G84" s="81"/>
    </row>
    <row r="85" spans="1:7" ht="18" customHeight="1" x14ac:dyDescent="0.3">
      <c r="A85" s="84"/>
      <c r="B85" s="84" t="s">
        <v>199</v>
      </c>
      <c r="C85" s="82" t="s">
        <v>197</v>
      </c>
      <c r="D85" s="82"/>
      <c r="E85" s="85">
        <v>145048</v>
      </c>
      <c r="F85" s="82"/>
      <c r="G85" s="84"/>
    </row>
    <row r="86" spans="1:7" ht="18" customHeight="1" x14ac:dyDescent="0.3">
      <c r="A86" s="81"/>
      <c r="B86" s="81" t="s">
        <v>198</v>
      </c>
      <c r="C86" s="82" t="s">
        <v>197</v>
      </c>
      <c r="D86" s="82"/>
      <c r="E86" s="83">
        <v>169774</v>
      </c>
      <c r="F86" s="82"/>
      <c r="G86" s="81"/>
    </row>
    <row r="87" spans="1:7" ht="18" customHeight="1" x14ac:dyDescent="0.3">
      <c r="A87" s="84" t="s">
        <v>196</v>
      </c>
      <c r="B87" s="84" t="s">
        <v>195</v>
      </c>
      <c r="C87" s="82" t="s">
        <v>194</v>
      </c>
      <c r="D87" s="82">
        <v>9</v>
      </c>
      <c r="E87" s="85">
        <v>157125</v>
      </c>
      <c r="F87" s="82"/>
      <c r="G87" s="84"/>
    </row>
    <row r="88" spans="1:7" ht="18" customHeight="1" x14ac:dyDescent="0.3">
      <c r="A88" s="81" t="s">
        <v>193</v>
      </c>
      <c r="B88" s="81" t="s">
        <v>192</v>
      </c>
      <c r="C88" s="82" t="s">
        <v>78</v>
      </c>
      <c r="D88" s="82"/>
      <c r="E88" s="83">
        <v>72956</v>
      </c>
      <c r="F88" s="82"/>
      <c r="G88" s="81"/>
    </row>
    <row r="89" spans="1:7" ht="18" customHeight="1" x14ac:dyDescent="0.3">
      <c r="A89" s="84"/>
      <c r="B89" s="84" t="s">
        <v>191</v>
      </c>
      <c r="C89" s="82" t="s">
        <v>78</v>
      </c>
      <c r="D89" s="82"/>
      <c r="E89" s="85">
        <v>50324</v>
      </c>
      <c r="F89" s="82"/>
      <c r="G89" s="84"/>
    </row>
    <row r="90" spans="1:7" ht="18" customHeight="1" x14ac:dyDescent="0.3">
      <c r="A90" s="81" t="s">
        <v>190</v>
      </c>
      <c r="B90" s="81" t="s">
        <v>189</v>
      </c>
      <c r="C90" s="82" t="s">
        <v>78</v>
      </c>
      <c r="D90" s="82"/>
      <c r="E90" s="83">
        <v>176260</v>
      </c>
      <c r="F90" s="82"/>
      <c r="G90" s="81"/>
    </row>
    <row r="91" spans="1:7" ht="18" customHeight="1" x14ac:dyDescent="0.3">
      <c r="A91" s="84" t="s">
        <v>188</v>
      </c>
      <c r="B91" s="84" t="s">
        <v>187</v>
      </c>
      <c r="C91" s="82" t="s">
        <v>78</v>
      </c>
      <c r="D91" s="82"/>
      <c r="E91" s="85">
        <v>75917</v>
      </c>
      <c r="F91" s="82"/>
      <c r="G91" s="84"/>
    </row>
    <row r="92" spans="1:7" ht="18" customHeight="1" x14ac:dyDescent="0.3">
      <c r="A92" s="81" t="s">
        <v>186</v>
      </c>
      <c r="B92" s="81" t="s">
        <v>185</v>
      </c>
      <c r="C92" s="88"/>
      <c r="D92" s="88"/>
      <c r="E92" s="83">
        <v>2419</v>
      </c>
      <c r="F92" s="88"/>
      <c r="G92" s="81"/>
    </row>
    <row r="93" spans="1:7" ht="18" customHeight="1" x14ac:dyDescent="0.3">
      <c r="A93" s="84"/>
      <c r="B93" s="84" t="s">
        <v>184</v>
      </c>
      <c r="C93" s="87"/>
      <c r="D93" s="87"/>
      <c r="E93" s="85">
        <v>4204</v>
      </c>
      <c r="F93" s="87"/>
      <c r="G93" s="84"/>
    </row>
    <row r="94" spans="1:7" ht="18" customHeight="1" x14ac:dyDescent="0.3">
      <c r="A94" s="81" t="s">
        <v>183</v>
      </c>
      <c r="B94" s="81" t="s">
        <v>182</v>
      </c>
      <c r="C94" s="82" t="s">
        <v>78</v>
      </c>
      <c r="D94" s="82"/>
      <c r="E94" s="83">
        <v>70852</v>
      </c>
      <c r="F94" s="82"/>
      <c r="G94" s="81"/>
    </row>
    <row r="95" spans="1:7" ht="18" customHeight="1" x14ac:dyDescent="0.3">
      <c r="A95" s="84"/>
      <c r="B95" s="84" t="s">
        <v>181</v>
      </c>
      <c r="C95" s="82" t="s">
        <v>78</v>
      </c>
      <c r="D95" s="82"/>
      <c r="E95" s="85">
        <v>134892</v>
      </c>
      <c r="F95" s="82"/>
      <c r="G95" s="84"/>
    </row>
    <row r="96" spans="1:7" ht="18" customHeight="1" x14ac:dyDescent="0.3">
      <c r="A96" s="81"/>
      <c r="B96" s="81" t="s">
        <v>180</v>
      </c>
      <c r="C96" s="82" t="s">
        <v>78</v>
      </c>
      <c r="D96" s="82"/>
      <c r="E96" s="83">
        <v>205565</v>
      </c>
      <c r="F96" s="82"/>
      <c r="G96" s="81"/>
    </row>
    <row r="97" spans="1:7" ht="18" customHeight="1" x14ac:dyDescent="0.3">
      <c r="A97" s="84"/>
      <c r="B97" s="84" t="s">
        <v>179</v>
      </c>
      <c r="C97" s="82" t="s">
        <v>78</v>
      </c>
      <c r="D97" s="82"/>
      <c r="E97" s="85">
        <v>269577</v>
      </c>
      <c r="F97" s="82"/>
      <c r="G97" s="84"/>
    </row>
    <row r="98" spans="1:7" ht="20.100000000000001" customHeight="1" x14ac:dyDescent="0.3">
      <c r="A98" s="86" t="s">
        <v>178</v>
      </c>
    </row>
    <row r="99" spans="1:7" ht="18" customHeight="1" x14ac:dyDescent="0.3">
      <c r="A99" s="84" t="s">
        <v>177</v>
      </c>
      <c r="B99" s="84" t="s">
        <v>176</v>
      </c>
      <c r="C99" s="87"/>
      <c r="D99" s="87"/>
      <c r="E99" s="85">
        <v>162037</v>
      </c>
      <c r="F99" s="87"/>
      <c r="G99" s="84"/>
    </row>
    <row r="100" spans="1:7" ht="42" customHeight="1" x14ac:dyDescent="0.3">
      <c r="A100" s="81" t="s">
        <v>175</v>
      </c>
      <c r="B100" s="81" t="s">
        <v>174</v>
      </c>
      <c r="C100" s="82" t="s">
        <v>78</v>
      </c>
      <c r="D100" s="82"/>
      <c r="E100" s="83">
        <v>173975</v>
      </c>
      <c r="F100" s="82"/>
      <c r="G100" s="81"/>
    </row>
    <row r="101" spans="1:7" ht="18" customHeight="1" x14ac:dyDescent="0.3">
      <c r="A101" s="84"/>
      <c r="B101" s="84" t="s">
        <v>173</v>
      </c>
      <c r="C101" s="82" t="s">
        <v>78</v>
      </c>
      <c r="D101" s="82"/>
      <c r="E101" s="85">
        <v>347612</v>
      </c>
      <c r="F101" s="82"/>
      <c r="G101" s="84"/>
    </row>
    <row r="102" spans="1:7" ht="18" customHeight="1" x14ac:dyDescent="0.3">
      <c r="A102" s="81" t="s">
        <v>172</v>
      </c>
      <c r="B102" s="81" t="s">
        <v>171</v>
      </c>
      <c r="C102" s="88"/>
      <c r="D102" s="88"/>
      <c r="E102" s="83">
        <v>159</v>
      </c>
      <c r="F102" s="88"/>
      <c r="G102" s="81"/>
    </row>
    <row r="103" spans="1:7" ht="20.100000000000001" customHeight="1" x14ac:dyDescent="0.3">
      <c r="A103" s="86" t="s">
        <v>170</v>
      </c>
    </row>
    <row r="104" spans="1:7" ht="18" customHeight="1" x14ac:dyDescent="0.3">
      <c r="A104" s="81" t="s">
        <v>169</v>
      </c>
      <c r="B104" s="81" t="s">
        <v>167</v>
      </c>
      <c r="C104" s="82" t="s">
        <v>78</v>
      </c>
      <c r="D104" s="88"/>
      <c r="E104" s="83">
        <v>2247</v>
      </c>
      <c r="F104" s="88"/>
      <c r="G104" s="81"/>
    </row>
    <row r="105" spans="1:7" ht="18" customHeight="1" x14ac:dyDescent="0.3">
      <c r="A105" s="84" t="s">
        <v>168</v>
      </c>
      <c r="B105" s="84" t="s">
        <v>167</v>
      </c>
      <c r="C105" s="82" t="s">
        <v>78</v>
      </c>
      <c r="D105" s="87"/>
      <c r="E105" s="85">
        <v>2558</v>
      </c>
      <c r="F105" s="87"/>
      <c r="G105" s="84"/>
    </row>
    <row r="106" spans="1:7" ht="18" customHeight="1" x14ac:dyDescent="0.3">
      <c r="A106" s="81" t="s">
        <v>166</v>
      </c>
      <c r="B106" s="81" t="s">
        <v>165</v>
      </c>
      <c r="C106" s="82" t="s">
        <v>142</v>
      </c>
      <c r="D106" s="82">
        <v>20</v>
      </c>
      <c r="E106" s="83">
        <v>529038</v>
      </c>
      <c r="F106" s="82"/>
      <c r="G106" s="81"/>
    </row>
    <row r="107" spans="1:7" ht="20.100000000000001" customHeight="1" x14ac:dyDescent="0.3">
      <c r="A107" s="86" t="s">
        <v>164</v>
      </c>
    </row>
    <row r="108" spans="1:7" ht="18" customHeight="1" x14ac:dyDescent="0.3">
      <c r="A108" s="81" t="s">
        <v>163</v>
      </c>
      <c r="B108" s="81" t="s">
        <v>162</v>
      </c>
      <c r="C108" s="82" t="s">
        <v>78</v>
      </c>
      <c r="D108" s="82">
        <v>850</v>
      </c>
      <c r="E108" s="83">
        <v>2330079</v>
      </c>
      <c r="F108" s="82"/>
      <c r="G108" s="81"/>
    </row>
    <row r="109" spans="1:7" ht="18" customHeight="1" x14ac:dyDescent="0.3">
      <c r="A109" s="84"/>
      <c r="B109" s="84" t="s">
        <v>161</v>
      </c>
      <c r="C109" s="82" t="s">
        <v>78</v>
      </c>
      <c r="D109" s="82">
        <v>950</v>
      </c>
      <c r="E109" s="85">
        <v>2604205</v>
      </c>
      <c r="F109" s="82"/>
      <c r="G109" s="84"/>
    </row>
    <row r="110" spans="1:7" ht="18" customHeight="1" x14ac:dyDescent="0.3">
      <c r="A110" s="81"/>
      <c r="B110" s="81" t="s">
        <v>160</v>
      </c>
      <c r="C110" s="82" t="s">
        <v>78</v>
      </c>
      <c r="D110" s="82">
        <v>1000</v>
      </c>
      <c r="E110" s="83">
        <v>2741267</v>
      </c>
      <c r="F110" s="82"/>
      <c r="G110" s="81"/>
    </row>
    <row r="111" spans="1:7" ht="18" customHeight="1" x14ac:dyDescent="0.3">
      <c r="A111" s="84" t="s">
        <v>159</v>
      </c>
      <c r="B111" s="84" t="s">
        <v>158</v>
      </c>
      <c r="C111" s="82" t="s">
        <v>78</v>
      </c>
      <c r="D111" s="82"/>
      <c r="E111" s="85">
        <v>3002</v>
      </c>
      <c r="F111" s="82"/>
      <c r="G111" s="84"/>
    </row>
    <row r="112" spans="1:7" ht="20.100000000000001" customHeight="1" x14ac:dyDescent="0.3">
      <c r="A112" s="86" t="s">
        <v>157</v>
      </c>
    </row>
    <row r="113" spans="1:7" ht="18" customHeight="1" x14ac:dyDescent="0.3">
      <c r="A113" s="84" t="s">
        <v>156</v>
      </c>
      <c r="B113" s="84" t="s">
        <v>152</v>
      </c>
      <c r="C113" s="82" t="s">
        <v>148</v>
      </c>
      <c r="D113" s="82"/>
      <c r="E113" s="85">
        <v>185</v>
      </c>
      <c r="F113" s="82"/>
      <c r="G113" s="84"/>
    </row>
    <row r="114" spans="1:7" ht="18" customHeight="1" x14ac:dyDescent="0.3">
      <c r="A114" s="81"/>
      <c r="B114" s="81" t="s">
        <v>155</v>
      </c>
      <c r="C114" s="82" t="s">
        <v>148</v>
      </c>
      <c r="D114" s="82"/>
      <c r="E114" s="83">
        <v>173</v>
      </c>
      <c r="F114" s="82"/>
      <c r="G114" s="81"/>
    </row>
    <row r="115" spans="1:7" ht="18" customHeight="1" x14ac:dyDescent="0.3">
      <c r="A115" s="84"/>
      <c r="B115" s="84" t="s">
        <v>154</v>
      </c>
      <c r="C115" s="82" t="s">
        <v>148</v>
      </c>
      <c r="D115" s="82"/>
      <c r="E115" s="85">
        <v>173</v>
      </c>
      <c r="F115" s="82"/>
      <c r="G115" s="84"/>
    </row>
    <row r="116" spans="1:7" ht="18" customHeight="1" x14ac:dyDescent="0.3">
      <c r="A116" s="81" t="s">
        <v>153</v>
      </c>
      <c r="B116" s="81" t="s">
        <v>152</v>
      </c>
      <c r="C116" s="82" t="s">
        <v>148</v>
      </c>
      <c r="D116" s="82"/>
      <c r="E116" s="83">
        <v>173</v>
      </c>
      <c r="F116" s="82"/>
      <c r="G116" s="81"/>
    </row>
    <row r="117" spans="1:7" ht="42" customHeight="1" x14ac:dyDescent="0.3">
      <c r="A117" s="84" t="s">
        <v>151</v>
      </c>
      <c r="B117" s="84" t="s">
        <v>150</v>
      </c>
      <c r="C117" s="82" t="s">
        <v>148</v>
      </c>
      <c r="D117" s="82"/>
      <c r="E117" s="85">
        <v>143</v>
      </c>
      <c r="F117" s="82"/>
      <c r="G117" s="84"/>
    </row>
    <row r="118" spans="1:7" ht="18" customHeight="1" x14ac:dyDescent="0.3">
      <c r="A118" s="81"/>
      <c r="B118" s="81" t="s">
        <v>149</v>
      </c>
      <c r="C118" s="82" t="s">
        <v>148</v>
      </c>
      <c r="D118" s="82"/>
      <c r="E118" s="83">
        <v>1623</v>
      </c>
      <c r="F118" s="82"/>
      <c r="G118" s="81"/>
    </row>
    <row r="119" spans="1:7" ht="18" customHeight="1" x14ac:dyDescent="0.3">
      <c r="A119" s="84"/>
      <c r="B119" s="84" t="s">
        <v>147</v>
      </c>
      <c r="C119" s="82" t="s">
        <v>146</v>
      </c>
      <c r="D119" s="82">
        <v>1</v>
      </c>
      <c r="E119" s="85">
        <v>2664</v>
      </c>
      <c r="F119" s="82"/>
      <c r="G119" s="84"/>
    </row>
    <row r="120" spans="1:7" ht="20.100000000000001" customHeight="1" x14ac:dyDescent="0.3">
      <c r="A120" s="86" t="s">
        <v>145</v>
      </c>
    </row>
    <row r="121" spans="1:7" ht="18" customHeight="1" x14ac:dyDescent="0.3">
      <c r="A121" s="84" t="s">
        <v>144</v>
      </c>
      <c r="B121" s="84" t="s">
        <v>143</v>
      </c>
      <c r="C121" s="82" t="s">
        <v>142</v>
      </c>
      <c r="D121" s="82"/>
      <c r="E121" s="85">
        <v>1350</v>
      </c>
      <c r="F121" s="82"/>
      <c r="G121" s="84"/>
    </row>
    <row r="122" spans="1:7" ht="30" customHeight="1" x14ac:dyDescent="0.3">
      <c r="A122" s="81" t="s">
        <v>141</v>
      </c>
      <c r="B122" s="81" t="s">
        <v>140</v>
      </c>
      <c r="C122" s="82" t="s">
        <v>133</v>
      </c>
      <c r="D122" s="82">
        <v>6</v>
      </c>
      <c r="E122" s="83">
        <v>26760</v>
      </c>
      <c r="F122" s="82"/>
      <c r="G122" s="81"/>
    </row>
    <row r="123" spans="1:7" ht="30" customHeight="1" x14ac:dyDescent="0.3">
      <c r="A123" s="84"/>
      <c r="B123" s="84" t="s">
        <v>139</v>
      </c>
      <c r="C123" s="82" t="s">
        <v>133</v>
      </c>
      <c r="D123" s="82">
        <v>12</v>
      </c>
      <c r="E123" s="85">
        <v>41350</v>
      </c>
      <c r="F123" s="82"/>
      <c r="G123" s="84"/>
    </row>
    <row r="124" spans="1:7" ht="30" customHeight="1" x14ac:dyDescent="0.3">
      <c r="A124" s="81"/>
      <c r="B124" s="81" t="s">
        <v>138</v>
      </c>
      <c r="C124" s="82" t="s">
        <v>133</v>
      </c>
      <c r="D124" s="82">
        <v>18</v>
      </c>
      <c r="E124" s="83">
        <v>50450</v>
      </c>
      <c r="F124" s="82"/>
      <c r="G124" s="81"/>
    </row>
    <row r="125" spans="1:7" ht="30" customHeight="1" x14ac:dyDescent="0.3">
      <c r="A125" s="84"/>
      <c r="B125" s="84" t="s">
        <v>137</v>
      </c>
      <c r="C125" s="82" t="s">
        <v>133</v>
      </c>
      <c r="D125" s="82">
        <v>24</v>
      </c>
      <c r="E125" s="85">
        <v>63250</v>
      </c>
      <c r="F125" s="82"/>
      <c r="G125" s="84"/>
    </row>
    <row r="126" spans="1:7" ht="30" customHeight="1" x14ac:dyDescent="0.3">
      <c r="A126" s="81"/>
      <c r="B126" s="81" t="s">
        <v>136</v>
      </c>
      <c r="C126" s="82" t="s">
        <v>133</v>
      </c>
      <c r="D126" s="82">
        <v>30</v>
      </c>
      <c r="E126" s="83">
        <v>73700</v>
      </c>
      <c r="F126" s="82"/>
      <c r="G126" s="81"/>
    </row>
    <row r="127" spans="1:7" ht="30" customHeight="1" x14ac:dyDescent="0.3">
      <c r="A127" s="84"/>
      <c r="B127" s="84" t="s">
        <v>135</v>
      </c>
      <c r="C127" s="82" t="s">
        <v>133</v>
      </c>
      <c r="D127" s="82">
        <v>36</v>
      </c>
      <c r="E127" s="85">
        <v>90990</v>
      </c>
      <c r="F127" s="82"/>
      <c r="G127" s="84"/>
    </row>
    <row r="128" spans="1:7" ht="30" customHeight="1" x14ac:dyDescent="0.3">
      <c r="A128" s="81"/>
      <c r="B128" s="81" t="s">
        <v>134</v>
      </c>
      <c r="C128" s="82" t="s">
        <v>133</v>
      </c>
      <c r="D128" s="82">
        <v>36</v>
      </c>
      <c r="E128" s="83">
        <v>97390</v>
      </c>
      <c r="F128" s="82"/>
      <c r="G128" s="81"/>
    </row>
    <row r="130" spans="1:7" ht="15.95" customHeight="1" x14ac:dyDescent="0.3">
      <c r="A130" s="226" t="s">
        <v>132</v>
      </c>
      <c r="B130" s="227"/>
      <c r="C130" s="227"/>
      <c r="D130" s="227"/>
      <c r="E130" s="227"/>
      <c r="F130" s="227"/>
      <c r="G130" s="227"/>
    </row>
    <row r="131" spans="1:7" ht="15.95" customHeight="1" x14ac:dyDescent="0.3">
      <c r="A131" s="226" t="s">
        <v>131</v>
      </c>
      <c r="B131" s="227"/>
      <c r="C131" s="227"/>
      <c r="D131" s="227"/>
      <c r="E131" s="227"/>
      <c r="F131" s="227"/>
      <c r="G131" s="227"/>
    </row>
  </sheetData>
  <mergeCells count="2">
    <mergeCell ref="A131:G131"/>
    <mergeCell ref="A130:G130"/>
  </mergeCells>
  <phoneticPr fontId="9" type="noConversion"/>
  <pageMargins left="0.75" right="0.75" top="1" bottom="1" header="0.5" footer="0.5"/>
  <pageSetup paperSize="9" scale="27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사업비 구분(안)</vt:lpstr>
      <vt:lpstr>도초초 이설 소요예상액</vt:lpstr>
      <vt:lpstr>시설단가</vt:lpstr>
      <vt:lpstr>'도초초 이설 소요예상액'!Print_Area</vt:lpstr>
      <vt:lpstr>'사업비 구분(안)'!Print_Area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</cp:lastModifiedBy>
  <cp:lastPrinted>2026-05-22T02:34:54Z</cp:lastPrinted>
  <dcterms:created xsi:type="dcterms:W3CDTF">2026-05-11T02:35:12Z</dcterms:created>
  <dcterms:modified xsi:type="dcterms:W3CDTF">2026-05-29T02:32:30Z</dcterms:modified>
</cp:coreProperties>
</file>