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신안\도면작성\"/>
    </mc:Choice>
  </mc:AlternateContent>
  <xr:revisionPtr revIDLastSave="0" documentId="13_ncr:1_{7000FBE4-BFD5-4C1E-9170-31E677B57040}" xr6:coauthVersionLast="36" xr6:coauthVersionMax="47" xr10:uidLastSave="{00000000-0000-0000-0000-000000000000}"/>
  <bookViews>
    <workbookView xWindow="-28920" yWindow="-120" windowWidth="29040" windowHeight="16440" activeTab="2" xr2:uid="{3D69A391-C068-4E00-A5BB-E4EF8B7557BF}"/>
  </bookViews>
  <sheets>
    <sheet name="원가계산서" sheetId="10" r:id="rId1"/>
    <sheet name="공종별집계표" sheetId="9" r:id="rId2"/>
    <sheet name="공종별내역서" sheetId="8" r:id="rId3"/>
    <sheet name="일위대가목록" sheetId="7" r:id="rId4"/>
    <sheet name="일위대가" sheetId="6" r:id="rId5"/>
    <sheet name="단가대비표" sheetId="3" r:id="rId6"/>
    <sheet name=" 공사설정 " sheetId="2" r:id="rId7"/>
  </sheets>
  <externalReferences>
    <externalReference r:id="rId8"/>
  </externalReferences>
  <definedNames>
    <definedName name="_xlnm.Print_Area" localSheetId="2">공종별내역서!$A$1:$M$103</definedName>
    <definedName name="_xlnm.Print_Area" localSheetId="1">공종별집계표!$A$1:$M$17</definedName>
    <definedName name="_xlnm.Print_Area" localSheetId="5">단가대비표!$A$1:$X$42</definedName>
    <definedName name="_xlnm.Print_Area" localSheetId="4">일위대가!$A$1:$M$62</definedName>
    <definedName name="_xlnm.Print_Area" localSheetId="3">일위대가목록!$A$1:$M$13</definedName>
    <definedName name="_xlnm.Print_Titles" localSheetId="2">공종별내역서!$1:$3</definedName>
    <definedName name="_xlnm.Print_Titles" localSheetId="1">공종별집계표!$1:$4</definedName>
    <definedName name="_xlnm.Print_Titles" localSheetId="5">단가대비표!$1:$4</definedName>
    <definedName name="_xlnm.Print_Titles" localSheetId="0">원가계산서!$1:$3</definedName>
    <definedName name="_xlnm.Print_Titles" localSheetId="4">일위대가!$1:$3</definedName>
    <definedName name="_xlnm.Print_Titles" localSheetId="3">일위대가목록!$1:$3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8" i="8" l="1"/>
  <c r="G7" i="7"/>
  <c r="F7" i="7"/>
  <c r="G5" i="7"/>
  <c r="F5" i="7"/>
  <c r="E5" i="7"/>
  <c r="D81" i="8"/>
  <c r="D30" i="8"/>
  <c r="O43" i="3" l="1"/>
  <c r="V43" i="3" s="1"/>
  <c r="Q43" i="3"/>
  <c r="R43" i="3"/>
  <c r="S43" i="3"/>
  <c r="T43" i="3"/>
  <c r="U43" i="3"/>
  <c r="P43" i="3"/>
  <c r="W43" i="3" s="1"/>
  <c r="I65" i="6"/>
  <c r="J65" i="6" s="1"/>
  <c r="J66" i="6" s="1"/>
  <c r="G65" i="6"/>
  <c r="H65" i="6" s="1"/>
  <c r="E65" i="6"/>
  <c r="J64" i="6"/>
  <c r="H64" i="6"/>
  <c r="H66" i="6" l="1"/>
  <c r="K65" i="6"/>
  <c r="E64" i="6"/>
  <c r="K64" i="6" s="1"/>
  <c r="F65" i="6"/>
  <c r="L65" i="6" s="1"/>
  <c r="F64" i="6" l="1"/>
  <c r="L64" i="6" s="1"/>
  <c r="F66" i="6" l="1"/>
  <c r="L66" i="6" s="1"/>
  <c r="E7" i="7" l="1"/>
  <c r="H7" i="7" s="1"/>
  <c r="E61" i="8" l="1"/>
  <c r="F61" i="8" s="1"/>
  <c r="I81" i="8" l="1"/>
  <c r="J81" i="8" s="1"/>
  <c r="G81" i="8"/>
  <c r="H81" i="8" s="1"/>
  <c r="I59" i="8"/>
  <c r="J59" i="8" s="1"/>
  <c r="G59" i="8"/>
  <c r="H59" i="8" s="1"/>
  <c r="I58" i="8"/>
  <c r="J58" i="8" s="1"/>
  <c r="G58" i="8"/>
  <c r="H58" i="8" s="1"/>
  <c r="I56" i="8"/>
  <c r="J56" i="8" s="1"/>
  <c r="G56" i="8"/>
  <c r="H56" i="8" s="1"/>
  <c r="I59" i="6"/>
  <c r="J59" i="6" s="1"/>
  <c r="G59" i="6"/>
  <c r="H59" i="6" s="1"/>
  <c r="E59" i="6"/>
  <c r="F59" i="6" s="1"/>
  <c r="I58" i="6"/>
  <c r="J58" i="6" s="1"/>
  <c r="G58" i="6"/>
  <c r="H58" i="6" s="1"/>
  <c r="E58" i="6"/>
  <c r="F58" i="6" s="1"/>
  <c r="I54" i="6"/>
  <c r="J54" i="6" s="1"/>
  <c r="J55" i="6" s="1"/>
  <c r="G54" i="6"/>
  <c r="H54" i="6" s="1"/>
  <c r="H55" i="6" s="1"/>
  <c r="E54" i="6"/>
  <c r="F54" i="6" s="1"/>
  <c r="F55" i="6" s="1"/>
  <c r="E12" i="7" s="1"/>
  <c r="G50" i="6"/>
  <c r="H50" i="6" s="1"/>
  <c r="H51" i="6" s="1"/>
  <c r="E50" i="6"/>
  <c r="F50" i="6" s="1"/>
  <c r="F51" i="6" s="1"/>
  <c r="G46" i="6"/>
  <c r="H46" i="6" s="1"/>
  <c r="H47" i="6" s="1"/>
  <c r="E46" i="6"/>
  <c r="F46" i="6" s="1"/>
  <c r="F47" i="6" s="1"/>
  <c r="G42" i="6"/>
  <c r="H42" i="6" s="1"/>
  <c r="E42" i="6"/>
  <c r="F42" i="6" s="1"/>
  <c r="F43" i="6" s="1"/>
  <c r="G38" i="6"/>
  <c r="H38" i="6" s="1"/>
  <c r="H39" i="6" s="1"/>
  <c r="E38" i="6"/>
  <c r="F38" i="6" s="1"/>
  <c r="F39" i="6" s="1"/>
  <c r="G34" i="6"/>
  <c r="H34" i="6" s="1"/>
  <c r="H35" i="6" s="1"/>
  <c r="E34" i="6"/>
  <c r="F34" i="6" s="1"/>
  <c r="F35" i="6" s="1"/>
  <c r="I29" i="6"/>
  <c r="J29" i="6" s="1"/>
  <c r="G29" i="6"/>
  <c r="H29" i="6" s="1"/>
  <c r="E29" i="6"/>
  <c r="F29" i="6" s="1"/>
  <c r="I24" i="6"/>
  <c r="J24" i="6" s="1"/>
  <c r="G24" i="6"/>
  <c r="H24" i="6" s="1"/>
  <c r="E24" i="6"/>
  <c r="F24" i="6" s="1"/>
  <c r="I19" i="6"/>
  <c r="J19" i="6" s="1"/>
  <c r="G19" i="6"/>
  <c r="H19" i="6" s="1"/>
  <c r="E19" i="6"/>
  <c r="F19" i="6" s="1"/>
  <c r="I14" i="6"/>
  <c r="J14" i="6" s="1"/>
  <c r="G14" i="6"/>
  <c r="H14" i="6" s="1"/>
  <c r="E14" i="6"/>
  <c r="F14" i="6" s="1"/>
  <c r="I13" i="6"/>
  <c r="J13" i="6" s="1"/>
  <c r="G13" i="6"/>
  <c r="H13" i="6" s="1"/>
  <c r="E13" i="6"/>
  <c r="F13" i="6" s="1"/>
  <c r="I9" i="6"/>
  <c r="J9" i="6" s="1"/>
  <c r="G9" i="6"/>
  <c r="H9" i="6" s="1"/>
  <c r="I5" i="6"/>
  <c r="J5" i="6" s="1"/>
  <c r="J6" i="6" s="1"/>
  <c r="G4" i="7" s="1"/>
  <c r="I5" i="8" s="1"/>
  <c r="J5" i="8" s="1"/>
  <c r="J28" i="8" s="1"/>
  <c r="G5" i="6"/>
  <c r="H5" i="6" s="1"/>
  <c r="H6" i="6" s="1"/>
  <c r="F4" i="7" s="1"/>
  <c r="G5" i="8" s="1"/>
  <c r="H5" i="8" s="1"/>
  <c r="G6" i="8" s="1"/>
  <c r="K6" i="8" s="1"/>
  <c r="E5" i="6"/>
  <c r="F5" i="6" s="1"/>
  <c r="O42" i="3"/>
  <c r="V42" i="3"/>
  <c r="V26" i="3"/>
  <c r="I46" i="6" s="1"/>
  <c r="J46" i="6" s="1"/>
  <c r="J47" i="6" s="1"/>
  <c r="V25" i="3"/>
  <c r="I34" i="6" s="1"/>
  <c r="V24" i="3"/>
  <c r="I42" i="6" s="1"/>
  <c r="J42" i="6" s="1"/>
  <c r="J43" i="6" s="1"/>
  <c r="V23" i="3"/>
  <c r="I50" i="6" s="1"/>
  <c r="V22" i="3"/>
  <c r="I38" i="6" s="1"/>
  <c r="J38" i="6" s="1"/>
  <c r="O21" i="3"/>
  <c r="O20" i="3"/>
  <c r="O19" i="3"/>
  <c r="O18" i="3"/>
  <c r="O17" i="3"/>
  <c r="O16" i="3"/>
  <c r="O15" i="3"/>
  <c r="O14" i="3"/>
  <c r="O13" i="3"/>
  <c r="O12" i="3"/>
  <c r="E59" i="8" s="1"/>
  <c r="F59" i="8" s="1"/>
  <c r="O11" i="3"/>
  <c r="O10" i="3"/>
  <c r="O9" i="3"/>
  <c r="E58" i="8" s="1"/>
  <c r="O8" i="3"/>
  <c r="O7" i="3"/>
  <c r="E9" i="6" s="1"/>
  <c r="F9" i="6" s="1"/>
  <c r="O6" i="3"/>
  <c r="E56" i="8" s="1"/>
  <c r="F56" i="8" s="1"/>
  <c r="O5" i="3"/>
  <c r="E81" i="8" s="1"/>
  <c r="F60" i="6"/>
  <c r="H60" i="6"/>
  <c r="H30" i="6"/>
  <c r="J30" i="6"/>
  <c r="F25" i="6"/>
  <c r="H25" i="6"/>
  <c r="F20" i="6"/>
  <c r="H20" i="6"/>
  <c r="F15" i="6"/>
  <c r="H15" i="6"/>
  <c r="F12" i="7" l="1"/>
  <c r="G12" i="7"/>
  <c r="I30" i="8" s="1"/>
  <c r="J30" i="8" s="1"/>
  <c r="J53" i="8" s="1"/>
  <c r="I8" i="9" s="1"/>
  <c r="J8" i="9" s="1"/>
  <c r="F26" i="6"/>
  <c r="E10" i="7" s="1"/>
  <c r="J31" i="6"/>
  <c r="G11" i="7" s="1"/>
  <c r="I80" i="8" s="1"/>
  <c r="J80" i="8" s="1"/>
  <c r="J103" i="8" s="1"/>
  <c r="I10" i="9" s="1"/>
  <c r="J10" i="9" s="1"/>
  <c r="F21" i="6"/>
  <c r="E9" i="7" s="1"/>
  <c r="E60" i="8" s="1"/>
  <c r="H21" i="6"/>
  <c r="F9" i="7" s="1"/>
  <c r="G60" i="8" s="1"/>
  <c r="H60" i="8" s="1"/>
  <c r="K14" i="6"/>
  <c r="J34" i="6"/>
  <c r="J35" i="6" s="1"/>
  <c r="L35" i="6" s="1"/>
  <c r="K34" i="6"/>
  <c r="J50" i="6"/>
  <c r="L50" i="6" s="1"/>
  <c r="K50" i="6"/>
  <c r="K29" i="6"/>
  <c r="F16" i="6"/>
  <c r="E8" i="7" s="1"/>
  <c r="E57" i="8" s="1"/>
  <c r="F57" i="8" s="1"/>
  <c r="H61" i="6"/>
  <c r="F13" i="7" s="1"/>
  <c r="L38" i="6"/>
  <c r="K9" i="6"/>
  <c r="K13" i="6"/>
  <c r="K42" i="6"/>
  <c r="F6" i="6"/>
  <c r="L6" i="6" s="1"/>
  <c r="L5" i="6"/>
  <c r="K24" i="6"/>
  <c r="L42" i="6"/>
  <c r="F61" i="6"/>
  <c r="E13" i="7" s="1"/>
  <c r="I15" i="6"/>
  <c r="K15" i="6" s="1"/>
  <c r="K38" i="6"/>
  <c r="I60" i="6"/>
  <c r="K60" i="6" s="1"/>
  <c r="L29" i="6"/>
  <c r="K58" i="6"/>
  <c r="J39" i="6"/>
  <c r="K59" i="6"/>
  <c r="K81" i="8"/>
  <c r="K58" i="8"/>
  <c r="F81" i="8"/>
  <c r="L81" i="8" s="1"/>
  <c r="I7" i="9"/>
  <c r="J7" i="9" s="1"/>
  <c r="F58" i="8"/>
  <c r="L58" i="8" s="1"/>
  <c r="K56" i="8"/>
  <c r="K59" i="8"/>
  <c r="L59" i="8"/>
  <c r="L56" i="8"/>
  <c r="L59" i="6"/>
  <c r="L58" i="6"/>
  <c r="L54" i="6"/>
  <c r="K54" i="6"/>
  <c r="L55" i="6"/>
  <c r="K46" i="6"/>
  <c r="L47" i="6"/>
  <c r="L46" i="6"/>
  <c r="H43" i="6"/>
  <c r="E30" i="6"/>
  <c r="F30" i="6" s="1"/>
  <c r="H31" i="6"/>
  <c r="F11" i="7" s="1"/>
  <c r="G80" i="8" s="1"/>
  <c r="H80" i="8" s="1"/>
  <c r="H26" i="6"/>
  <c r="F10" i="7" s="1"/>
  <c r="L24" i="6"/>
  <c r="I25" i="6"/>
  <c r="K19" i="6"/>
  <c r="I20" i="6"/>
  <c r="L19" i="6"/>
  <c r="L14" i="6"/>
  <c r="H16" i="6"/>
  <c r="F8" i="7" s="1"/>
  <c r="G57" i="8" s="1"/>
  <c r="H57" i="8" s="1"/>
  <c r="L13" i="6"/>
  <c r="L9" i="6"/>
  <c r="K5" i="6"/>
  <c r="H12" i="7" l="1"/>
  <c r="L34" i="6"/>
  <c r="G30" i="8"/>
  <c r="H30" i="8" s="1"/>
  <c r="G31" i="8" s="1"/>
  <c r="J15" i="6"/>
  <c r="L15" i="6" s="1"/>
  <c r="J51" i="6"/>
  <c r="L51" i="6" s="1"/>
  <c r="K30" i="6"/>
  <c r="G10" i="6"/>
  <c r="H10" i="6" s="1"/>
  <c r="H11" i="6" s="1"/>
  <c r="F6" i="7" s="1"/>
  <c r="G55" i="8" s="1"/>
  <c r="H55" i="8" s="1"/>
  <c r="G61" i="8"/>
  <c r="G82" i="8"/>
  <c r="L39" i="6"/>
  <c r="J60" i="6"/>
  <c r="L60" i="6" s="1"/>
  <c r="E4" i="7"/>
  <c r="E5" i="8" s="1"/>
  <c r="F5" i="8" s="1"/>
  <c r="L43" i="6"/>
  <c r="F60" i="8"/>
  <c r="E10" i="6"/>
  <c r="L30" i="6"/>
  <c r="F31" i="6"/>
  <c r="K25" i="6"/>
  <c r="J25" i="6"/>
  <c r="K20" i="6"/>
  <c r="J20" i="6"/>
  <c r="J16" i="6" l="1"/>
  <c r="G8" i="7" s="1"/>
  <c r="H61" i="8"/>
  <c r="K82" i="8"/>
  <c r="H82" i="8"/>
  <c r="K31" i="8"/>
  <c r="H31" i="8"/>
  <c r="F28" i="8"/>
  <c r="E7" i="9" s="1"/>
  <c r="F7" i="9" s="1"/>
  <c r="J61" i="6"/>
  <c r="G13" i="7" s="1"/>
  <c r="I61" i="8" s="1"/>
  <c r="H4" i="7"/>
  <c r="L5" i="8"/>
  <c r="K5" i="8"/>
  <c r="F10" i="6"/>
  <c r="L31" i="6"/>
  <c r="E11" i="7"/>
  <c r="L25" i="6"/>
  <c r="J26" i="6"/>
  <c r="L20" i="6"/>
  <c r="J21" i="6"/>
  <c r="L16" i="6"/>
  <c r="J61" i="8" l="1"/>
  <c r="L61" i="8" s="1"/>
  <c r="K61" i="8"/>
  <c r="L61" i="6"/>
  <c r="G62" i="8"/>
  <c r="L82" i="8"/>
  <c r="H103" i="8"/>
  <c r="G10" i="9" s="1"/>
  <c r="H10" i="9" s="1"/>
  <c r="L31" i="8"/>
  <c r="H53" i="8"/>
  <c r="G8" i="9" s="1"/>
  <c r="H8" i="9" s="1"/>
  <c r="H11" i="7"/>
  <c r="E80" i="8"/>
  <c r="H8" i="7"/>
  <c r="I57" i="8"/>
  <c r="I10" i="6"/>
  <c r="H13" i="7"/>
  <c r="F11" i="6"/>
  <c r="G10" i="7"/>
  <c r="H10" i="7" s="1"/>
  <c r="L26" i="6"/>
  <c r="G9" i="7"/>
  <c r="L21" i="6"/>
  <c r="K62" i="8" l="1"/>
  <c r="H62" i="8"/>
  <c r="J57" i="8"/>
  <c r="K57" i="8"/>
  <c r="F80" i="8"/>
  <c r="F103" i="8" s="1"/>
  <c r="K80" i="8"/>
  <c r="H9" i="7"/>
  <c r="I60" i="8"/>
  <c r="J10" i="6"/>
  <c r="K10" i="6"/>
  <c r="E6" i="7"/>
  <c r="E55" i="8" s="1"/>
  <c r="H78" i="8" l="1"/>
  <c r="G9" i="9" s="1"/>
  <c r="H9" i="9" s="1"/>
  <c r="L62" i="8"/>
  <c r="J60" i="8"/>
  <c r="L60" i="8" s="1"/>
  <c r="K60" i="8"/>
  <c r="H5" i="7"/>
  <c r="E30" i="8"/>
  <c r="L80" i="8"/>
  <c r="L103" i="8" s="1"/>
  <c r="E10" i="9"/>
  <c r="F55" i="8"/>
  <c r="F78" i="8" s="1"/>
  <c r="L57" i="8"/>
  <c r="J11" i="6"/>
  <c r="L10" i="6"/>
  <c r="E9" i="9" l="1"/>
  <c r="F10" i="9"/>
  <c r="L10" i="9" s="1"/>
  <c r="K10" i="9"/>
  <c r="F30" i="8"/>
  <c r="F53" i="8" s="1"/>
  <c r="K30" i="8"/>
  <c r="K53" i="8" s="1"/>
  <c r="G6" i="7"/>
  <c r="L11" i="6"/>
  <c r="H6" i="7" l="1"/>
  <c r="I55" i="8"/>
  <c r="F9" i="9"/>
  <c r="L30" i="8"/>
  <c r="L53" i="8" s="1"/>
  <c r="E8" i="9"/>
  <c r="J55" i="8" l="1"/>
  <c r="J78" i="8" s="1"/>
  <c r="K55" i="8"/>
  <c r="F8" i="9"/>
  <c r="K8" i="9"/>
  <c r="L8" i="9" l="1"/>
  <c r="E6" i="9"/>
  <c r="I9" i="9"/>
  <c r="L55" i="8"/>
  <c r="J9" i="9" l="1"/>
  <c r="K9" i="9"/>
  <c r="F6" i="9"/>
  <c r="E5" i="9" l="1"/>
  <c r="I6" i="9"/>
  <c r="L9" i="9"/>
  <c r="J6" i="9" l="1"/>
  <c r="F5" i="9"/>
  <c r="E4" i="10" l="1"/>
  <c r="E7" i="10" s="1"/>
  <c r="F17" i="9"/>
  <c r="I5" i="9"/>
  <c r="J5" i="9" l="1"/>
  <c r="J17" i="9" l="1"/>
  <c r="E11" i="10"/>
  <c r="H6" i="8" l="1"/>
  <c r="H28" i="8" l="1"/>
  <c r="G7" i="9" s="1"/>
  <c r="L6" i="8"/>
  <c r="L28" i="8" s="1"/>
  <c r="H7" i="9" l="1"/>
  <c r="K7" i="9"/>
  <c r="G6" i="9" l="1"/>
  <c r="L7" i="9"/>
  <c r="H6" i="9" l="1"/>
  <c r="K6" i="9"/>
  <c r="G5" i="9" l="1"/>
  <c r="L6" i="9"/>
  <c r="H5" i="9" l="1"/>
  <c r="K5" i="9"/>
  <c r="E8" i="10" l="1"/>
  <c r="H17" i="9"/>
  <c r="L5" i="9"/>
  <c r="L17" i="9" s="1"/>
  <c r="E9" i="10" l="1"/>
  <c r="E10" i="10" s="1"/>
  <c r="E17" i="10"/>
  <c r="E13" i="10" l="1"/>
  <c r="E12" i="10"/>
  <c r="E19" i="10"/>
  <c r="E18" i="10"/>
  <c r="E21" i="10" l="1"/>
  <c r="E22" i="10" s="1"/>
  <c r="E23" i="10" s="1"/>
  <c r="E24" i="10" s="1"/>
  <c r="E25" i="10" s="1"/>
  <c r="E26" i="10" s="1"/>
  <c r="E27" i="10" s="1"/>
  <c r="E28" i="10" s="1"/>
</calcChain>
</file>

<file path=xl/sharedStrings.xml><?xml version="1.0" encoding="utf-8"?>
<sst xmlns="http://schemas.openxmlformats.org/spreadsheetml/2006/main" count="1735" uniqueCount="498">
  <si>
    <t>공 종 별 집 계 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</si>
  <si>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</si>
  <si>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</si>
  <si>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</si>
  <si>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</si>
  <si>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</si>
  <si>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</si>
  <si>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</si>
  <si>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</si>
  <si>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</si>
  <si>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</si>
  <si>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</si>
  <si>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</si>
  <si>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</si>
  <si>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</si>
  <si>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</si>
  <si>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</si>
  <si>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</si>
  <si>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</si>
  <si>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</si>
  <si>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</si>
  <si>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</si>
  <si>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</si>
  <si>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</si>
  <si>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</si>
  <si>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</si>
  <si>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</si>
  <si>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</si>
  <si>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</si>
  <si>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</si>
  <si>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</si>
  <si>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</si>
  <si>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</si>
  <si>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</si>
  <si>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</si>
  <si>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</si>
  <si>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</si>
  <si>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</si>
  <si>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</si>
  <si>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</si>
  <si>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</si>
  <si>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</si>
  <si>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</si>
  <si>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</si>
  <si>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</si>
  <si>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</si>
  <si>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</si>
  <si>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</si>
  <si>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</si>
  <si>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</si>
  <si>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01  신안교육지원청 관사 보수공사</t>
  </si>
  <si>
    <t/>
  </si>
  <si>
    <t>01</t>
  </si>
  <si>
    <t>0101  A1.건축공사</t>
  </si>
  <si>
    <t>0101</t>
  </si>
  <si>
    <t>&lt;</t>
  </si>
  <si>
    <t>010101  01.가설공사</t>
  </si>
  <si>
    <t>010101</t>
  </si>
  <si>
    <t>T</t>
  </si>
  <si>
    <t>F</t>
  </si>
  <si>
    <t>건축물현장정리</t>
  </si>
  <si>
    <t>보통인부 (비품정리 및 준공청소 포함)</t>
  </si>
  <si>
    <t>인</t>
  </si>
  <si>
    <t>533182090671827945B82E8C8D8A3D</t>
  </si>
  <si>
    <t>010101533182090671827945B82E8C8D8A3D</t>
  </si>
  <si>
    <t>[ 합           계 ]</t>
  </si>
  <si>
    <t>TOTAL</t>
  </si>
  <si>
    <t>010103</t>
  </si>
  <si>
    <t>수밀코킹(실리콘)</t>
  </si>
  <si>
    <t>삼각, 10mm, 창호주위</t>
  </si>
  <si>
    <t>M</t>
  </si>
  <si>
    <t>533112B936F749F5483B2487DF049B</t>
  </si>
  <si>
    <t>010103533112B936F749F5483B2487DF049B</t>
  </si>
  <si>
    <t>010107</t>
  </si>
  <si>
    <t>FSD-1 제작설치(단열제품,기존문틀)</t>
  </si>
  <si>
    <t>0.9 Χ 2.1, 기성품</t>
  </si>
  <si>
    <t>개소</t>
  </si>
  <si>
    <t>533152D9F3EABE064B9C2F8D2A6318</t>
  </si>
  <si>
    <t>010107533152D9F3EABE064B9C2F8D2A6318</t>
  </si>
  <si>
    <t>도어클로저</t>
  </si>
  <si>
    <t>도어클로저, K-2840, KS4호, 고급방화, 60∼85kg</t>
  </si>
  <si>
    <t>조</t>
  </si>
  <si>
    <t>541C82B9BEFB8B3148BB248E0D99716D880B55</t>
  </si>
  <si>
    <t>010107541C82B9BEFB8B3148BB248E0D99716D880B55</t>
  </si>
  <si>
    <t>도어체크 설치</t>
  </si>
  <si>
    <t>재료비 별도</t>
  </si>
  <si>
    <t>533152D96C39054D4D37278CED10A5</t>
  </si>
  <si>
    <t>010107533152D96C39054D4D37278CED10A5</t>
  </si>
  <si>
    <t>피벗힌지</t>
  </si>
  <si>
    <t>피벗힌지, 100kg, 방화문용</t>
  </si>
  <si>
    <t>541C924908A2264B4ADA2A8B9E4D22482DFBB4</t>
  </si>
  <si>
    <t>010107541C924908A2264B4ADA2A8B9E4D22482DFBB4</t>
  </si>
  <si>
    <t>디지털도어록</t>
  </si>
  <si>
    <t>디지털도어록, 터치패드+카드키</t>
  </si>
  <si>
    <t>541C924908A22681450B288A3171484439408B</t>
  </si>
  <si>
    <t>010107541C924908A22681450B288A3171484439408B</t>
  </si>
  <si>
    <t>도어록 설치 / 디지탈도어록 강재창호</t>
  </si>
  <si>
    <t>533152D96C395D7F4F792983B7EAB7</t>
  </si>
  <si>
    <t>010107533152D96C395D7F4F792983B7EAB7</t>
  </si>
  <si>
    <t>도어핸들</t>
  </si>
  <si>
    <t>도어핸들, 9000PB, 레바형</t>
  </si>
  <si>
    <t>541C924908A22681450B288A305386B0012325</t>
  </si>
  <si>
    <t>도어록 설치 / 일반도어록 합성수지창호</t>
  </si>
  <si>
    <t>533152D96C395D7F4F78288D6AD2B5</t>
  </si>
  <si>
    <t>도어힌지</t>
  </si>
  <si>
    <t>도어힌지, 황동, 베어링2개, 101.6*2.7mm</t>
  </si>
  <si>
    <t>개</t>
  </si>
  <si>
    <t>541C924908A2264B4ADA2A8B9E4D2406292E16</t>
  </si>
  <si>
    <t>도어스톱</t>
  </si>
  <si>
    <t>도어스톱, 일자형 120mm</t>
  </si>
  <si>
    <t>541C924908A22681450B288A305BDED490C252</t>
  </si>
  <si>
    <t>010110</t>
  </si>
  <si>
    <t>강제문 철거</t>
  </si>
  <si>
    <t>외여닫이문(기존문틀재사용)</t>
  </si>
  <si>
    <t>53308299ACCC42A2484D2986CAE024</t>
  </si>
  <si>
    <t>01011053308299ACCC42A2484D2986CAE024</t>
  </si>
  <si>
    <t>철강설(철거발생,경량A)</t>
  </si>
  <si>
    <t>철강설, 강설, 작업설부산물</t>
  </si>
  <si>
    <t>kg</t>
  </si>
  <si>
    <t>수집상차도</t>
  </si>
  <si>
    <t>543F4289904CEAFF41E6208EE9DF3AB89A3E18</t>
  </si>
  <si>
    <t>010110543F4289904CEAFF41E6208EE9DF3AB89A3E18</t>
  </si>
  <si>
    <t>TON</t>
  </si>
  <si>
    <t>533182090671BFA24A462A8F522C24</t>
  </si>
  <si>
    <t>기계설비공사</t>
  </si>
  <si>
    <t>식</t>
  </si>
  <si>
    <t>5282E289DC6E6B4547E02A877FDBB875CAA0B3</t>
  </si>
  <si>
    <t>533182090671BFB340AE2C80A521ED</t>
  </si>
  <si>
    <t>533182090671BFB343632A8AE52A1B</t>
  </si>
  <si>
    <t>533182090671BFA24A462A8F522FF9</t>
  </si>
  <si>
    <t>건설폐재류에 가연성 5% 이하 혼합</t>
  </si>
  <si>
    <t>533182090671BFB343632A8AE40371</t>
  </si>
  <si>
    <t>일 위 대 가 목 록</t>
  </si>
  <si>
    <t>코  드</t>
  </si>
  <si>
    <t>재 료 비</t>
  </si>
  <si>
    <t>노 무 비</t>
  </si>
  <si>
    <t>경    비</t>
  </si>
  <si>
    <t>합    계</t>
  </si>
  <si>
    <t>번  호</t>
  </si>
  <si>
    <t>비      고</t>
  </si>
  <si>
    <t>노임계수</t>
  </si>
  <si>
    <t>할증</t>
  </si>
  <si>
    <t>품셈개요</t>
  </si>
  <si>
    <t>장비일위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</si>
  <si>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</si>
  <si>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</si>
  <si>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</si>
  <si>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</si>
  <si>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</si>
  <si>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</si>
  <si>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</si>
  <si>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</si>
  <si>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할증체크</t>
  </si>
  <si>
    <t>장</t>
  </si>
  <si>
    <t xml:space="preserve"> [ 합          계 ]</t>
  </si>
  <si>
    <t>52256269F0638FB345052289E5DC001</t>
  </si>
  <si>
    <t>건축물현장정리  보통인부 (비품정리 및 준공청소 포함)  인     ( 호표 3 )</t>
  </si>
  <si>
    <t>보통인부</t>
  </si>
  <si>
    <t>일반공사 직종</t>
  </si>
  <si>
    <t>53E732995C7D49F4463428879566D81369A6D2</t>
  </si>
  <si>
    <t>533182090671827945B82E8C8D8A3D53E732995C7D49F4463428879566D81369A6D2</t>
  </si>
  <si>
    <t>조적공</t>
  </si>
  <si>
    <t>53E732995C7D49F4463428879566D81369A422</t>
  </si>
  <si>
    <t>공구손료</t>
  </si>
  <si>
    <t>인력품의 2%</t>
  </si>
  <si>
    <t>L</t>
  </si>
  <si>
    <t>실링재</t>
  </si>
  <si>
    <t>실링재, 실리콘, 비초산, 유리용, 창호주위</t>
  </si>
  <si>
    <t>541C924934095FC341B1258541458AE01FB251</t>
  </si>
  <si>
    <t>수밀코킹</t>
  </si>
  <si>
    <t>533112B936CA2EBF4EEE2C81AD5B8A</t>
  </si>
  <si>
    <t>에폭시접착제</t>
  </si>
  <si>
    <t>에폭시접착제, 세라믹타일용</t>
  </si>
  <si>
    <t>541C9249341BAD164F2A248ABD322C4DB987AD</t>
  </si>
  <si>
    <t>고무접착제</t>
  </si>
  <si>
    <t>고무접착제, 건설용고무풀</t>
  </si>
  <si>
    <t>541C9249341BAD164F292A83330ADF8860C7F1</t>
  </si>
  <si>
    <t>FSD-1 제작설치(단열제품,기존문틀)  0.9 Χ 2.1, 기성품  개소     ( 호표 23 )</t>
  </si>
  <si>
    <t>단열 방화문(or 철문/기존문틀)</t>
  </si>
  <si>
    <t>0.9*2.1 기준</t>
  </si>
  <si>
    <t>541C82B9BEFB8B314B77248BDB0CC7CD94720A</t>
  </si>
  <si>
    <t>533152D9F3EABE064B9C2F8D2A6318541C82B9BEFB8B314B77248BDB0CC7CD94720A</t>
  </si>
  <si>
    <t>강재창호 설치 / 여닫이(기준문틀 60%)</t>
  </si>
  <si>
    <t>창호면적 m2, 1.0 ~ 3.0 이하</t>
  </si>
  <si>
    <t>533152D91419C6AD419D2D8E858C23</t>
  </si>
  <si>
    <t>533152D9F3EABE064B9C2F8D2A6318533152D91419C6AD419D2D8E858C23</t>
  </si>
  <si>
    <t>도어체크 설치  재료비 별도  개소     ( 호표 29 )</t>
  </si>
  <si>
    <t>창호공</t>
  </si>
  <si>
    <t>53E732995C7D49F4463428879566D81369A427</t>
  </si>
  <si>
    <t>533152D96C39054D4D37278CED10A553E732995C7D49F4463428879566D81369A427</t>
  </si>
  <si>
    <t>533152D96C39054D4D37278CED10A553E732995C7D49F4463428879566D81369A6D2</t>
  </si>
  <si>
    <t>533152D96C39054D4D37278CED10A552256269F0638FB345052289E5DC001</t>
  </si>
  <si>
    <t>도어록 설치 / 디지탈도어록 강재창호  재료비 별도  개소     ( 호표 30 )</t>
  </si>
  <si>
    <t>533152D96C395D7F4F792983B7EAB753E732995C7D49F4463428879566D81369A427</t>
  </si>
  <si>
    <t>533152D96C395D7F4F792983B7EAB752256269F0638FB345052289E5DC001</t>
  </si>
  <si>
    <t>도어록 설치 / 일반도어록 합성수지창호  재료비 별도  개소     ( 호표 31 )</t>
  </si>
  <si>
    <t>533152D96C395D7F4F78288D6AD2B553E732995C7D49F4463428879566D81369A427</t>
  </si>
  <si>
    <t>533152D96C395D7F4F78288D6AD2B552256269F0638FB345052289E5DC001</t>
  </si>
  <si>
    <t>미장공</t>
  </si>
  <si>
    <t>53E732995C7D49F4463428879566D81369A424</t>
  </si>
  <si>
    <t>㎡</t>
  </si>
  <si>
    <t>내장공</t>
  </si>
  <si>
    <t>53E732995C7D49F4463428879566D81369A5CA</t>
  </si>
  <si>
    <t>타일공</t>
  </si>
  <si>
    <t>53E732995C7D49F4463428879566D81369A42B</t>
  </si>
  <si>
    <t>도배공</t>
  </si>
  <si>
    <t>53E732995C7D49F4463428879566D81369A5CB</t>
  </si>
  <si>
    <t>건축목공</t>
  </si>
  <si>
    <t>53E732995C7D49F4463428879566D81369A420</t>
  </si>
  <si>
    <t>인력품의 3%</t>
  </si>
  <si>
    <t>강제문 철거  외여닫이문(기존문틀재사용)  개소     ( 호표 57 )</t>
  </si>
  <si>
    <t>53308299ACCC42A2484D2986CAE02453E732995C7D49F4463428879566D81369A6D2</t>
  </si>
  <si>
    <t>53308299ACCC42A2484D2986CAE02452256269F0638FB345052289E5DC001</t>
  </si>
  <si>
    <t>건설폐기물상차비-불연성    TON     ( 호표 59 )</t>
  </si>
  <si>
    <t>건설폐기물상차비 - 불연성</t>
  </si>
  <si>
    <t>15톤덤프트럭(10m3)</t>
  </si>
  <si>
    <t>533182090671BFA24B6A2E855E6370</t>
  </si>
  <si>
    <t>533182090671BFA24A462A8F522C24533182090671BFA24B6A2E855E6370</t>
  </si>
  <si>
    <t>건설폐기물 -중간처리  건설(건축)폐자재  TON     ( 호표 60 )</t>
  </si>
  <si>
    <t>건설폐재류</t>
  </si>
  <si>
    <t>가연성이 제거된 재활용이 가능한 혼합물</t>
  </si>
  <si>
    <t>533182090671BFB340AE2C837B4EBF</t>
  </si>
  <si>
    <t>533182090671BFB340AE2C80A521ED533182090671BFB340AE2C837B4EBF</t>
  </si>
  <si>
    <t>건설폐기물 -중간처리  불연+가연성 건설폐기물(소각 5%이하)  TON     ( 호표 61 )</t>
  </si>
  <si>
    <t>혼합건설폐기물</t>
  </si>
  <si>
    <t>불연성 건설폐기물에 가연성 5% 이하 혼합</t>
  </si>
  <si>
    <t>533182090671BFB340AE2C84032669</t>
  </si>
  <si>
    <t>533182090671BFB343632A8AE52A1B533182090671BFB340AE2C84032669</t>
  </si>
  <si>
    <t>건설폐기물운반비-불연성  24톤덤프, 30km  TON     ( 호표 62 )</t>
  </si>
  <si>
    <t>건설폐기물운반비 - 불연성</t>
  </si>
  <si>
    <t>15톤덤프트럭 - 30km</t>
  </si>
  <si>
    <t>533182090671BFA24B6A2E87090B52</t>
  </si>
  <si>
    <t>533182090671BFA24A462A8F522FF9533182090671BFA24B6A2E87090B52</t>
  </si>
  <si>
    <t>건설폐기물 -중간처리  건설폐재류에 가연성 5% 이하 혼합  TON     ( 호표 63 )</t>
  </si>
  <si>
    <t>533182090671BFB340AE2C837C548A</t>
  </si>
  <si>
    <t>533182090671BFB343632A8AE40371533182090671BFB340AE2C837C548A</t>
  </si>
  <si>
    <t>비계공</t>
  </si>
  <si>
    <t>53E732995C7D49F4463428879566D81369A6D6</t>
  </si>
  <si>
    <t>화물차운전사</t>
  </si>
  <si>
    <t>53E732995C7D49F4463428879566D81369A27C</t>
  </si>
  <si>
    <t>방수공</t>
  </si>
  <si>
    <t>53E732995C7D49F4463428879566D81369A425</t>
  </si>
  <si>
    <t>수밀코킹  재료비 별도  M     ( 호표 69 )</t>
  </si>
  <si>
    <t>코킹공</t>
  </si>
  <si>
    <t>기타 직종</t>
  </si>
  <si>
    <t>53E732995C7D49F44630228CA5BDD4675B1010</t>
  </si>
  <si>
    <t>533112B936CA2EBF4EEE2C81AD5B8A53E732995C7D49F44630228CA5BDD4675B1010</t>
  </si>
  <si>
    <t>석공</t>
  </si>
  <si>
    <t>53E732995C7D49F4463428879566D81369A5C9</t>
  </si>
  <si>
    <t>줄눈공</t>
  </si>
  <si>
    <t>53E732995C7D49F4463428879566D81369A5CE</t>
  </si>
  <si>
    <t>강재창호 설치 / 여닫이(기준문틀 60%)  창호면적 m2, 1.0 ~ 3.0 이하  개소     ( 호표 90 )</t>
  </si>
  <si>
    <t>533152D91419C6AD419D2D8E858C2353E732995C7D49F4463428879566D81369A427</t>
  </si>
  <si>
    <t>533152D91419C6AD419D2D8E858C2353E732995C7D49F4463428879566D81369A6D2</t>
  </si>
  <si>
    <t>533152D91419C6AD419D2D8E858C2352256269F0638FB345052289E5DC001</t>
  </si>
  <si>
    <t>수성페인트</t>
  </si>
  <si>
    <t>수성페인트, 친환경(POP 1급), 내부</t>
  </si>
  <si>
    <t>541C924934095FEF4EE3278085AEF8F3004E30</t>
  </si>
  <si>
    <t>도장공</t>
  </si>
  <si>
    <t>53E732995C7D49F4463428879566D81369A42A</t>
  </si>
  <si>
    <t>아크릴수지페인트</t>
  </si>
  <si>
    <t>아크릴수지페인트, KSM6020-2종1급, 흑색</t>
  </si>
  <si>
    <t>전라남도교육청단가없음</t>
  </si>
  <si>
    <t>541C924934095FEF4EE929890ACE480C4BC8DE</t>
  </si>
  <si>
    <t>시너</t>
  </si>
  <si>
    <t>시너, KSM6060, 1종</t>
  </si>
  <si>
    <t>541C924934095F3D44A92D81D81BCAFCEC01D0</t>
  </si>
  <si>
    <t>퍼티</t>
  </si>
  <si>
    <t>퍼티, 319퍼티, 회색</t>
  </si>
  <si>
    <t>1L=1.55kg</t>
  </si>
  <si>
    <t>541C9249341BAD164F28298866E252724FC514</t>
  </si>
  <si>
    <t>연마지</t>
  </si>
  <si>
    <t>연마지, #120~180, 230*280mm</t>
  </si>
  <si>
    <t>541C9249085BF33A44AA2084D9C6FB5439900A</t>
  </si>
  <si>
    <t>초산비닐계접착제</t>
  </si>
  <si>
    <t>초산비닐계접착제, 벽지용</t>
  </si>
  <si>
    <t>541C9249341BAD164F2C27879245EF6C952931</t>
  </si>
  <si>
    <t>코드</t>
  </si>
  <si>
    <t>규격</t>
  </si>
  <si>
    <t>단 가 대 비 표</t>
  </si>
  <si>
    <t>조달청가격</t>
  </si>
  <si>
    <t>PAGE</t>
  </si>
  <si>
    <t>거래가격</t>
  </si>
  <si>
    <t>유통물가</t>
  </si>
  <si>
    <t>물가자료</t>
  </si>
  <si>
    <t>조사가격</t>
  </si>
  <si>
    <t>적용단가</t>
  </si>
  <si>
    <t>품목구분</t>
  </si>
  <si>
    <t>노임구분</t>
  </si>
  <si>
    <t>소수점처리</t>
  </si>
  <si>
    <t>1472</t>
  </si>
  <si>
    <t>-47(350)</t>
  </si>
  <si>
    <t>자재 5</t>
  </si>
  <si>
    <t>692</t>
  </si>
  <si>
    <t>658</t>
  </si>
  <si>
    <t>자재 32</t>
  </si>
  <si>
    <t>654</t>
  </si>
  <si>
    <t>자재 33</t>
  </si>
  <si>
    <t>577</t>
  </si>
  <si>
    <t>자재 50</t>
  </si>
  <si>
    <t>661</t>
  </si>
  <si>
    <t>454</t>
  </si>
  <si>
    <t>자재 51</t>
  </si>
  <si>
    <t>자재 52</t>
  </si>
  <si>
    <t>657</t>
  </si>
  <si>
    <t>455</t>
  </si>
  <si>
    <t>자재 53</t>
  </si>
  <si>
    <t>573</t>
  </si>
  <si>
    <t>자재 54</t>
  </si>
  <si>
    <t>1337</t>
  </si>
  <si>
    <t>1168</t>
  </si>
  <si>
    <t>자재 55</t>
  </si>
  <si>
    <t>자재 56</t>
  </si>
  <si>
    <t>147</t>
  </si>
  <si>
    <t>자재 57</t>
  </si>
  <si>
    <t>자재 58</t>
  </si>
  <si>
    <t>자재 59</t>
  </si>
  <si>
    <t>619</t>
  </si>
  <si>
    <t>590</t>
  </si>
  <si>
    <t>자재 60</t>
  </si>
  <si>
    <t>KSM6020-2종2급</t>
  </si>
  <si>
    <t>자재 61</t>
  </si>
  <si>
    <t>607</t>
  </si>
  <si>
    <t>자재 62</t>
  </si>
  <si>
    <t>615</t>
  </si>
  <si>
    <t>466</t>
  </si>
  <si>
    <t>자재 63</t>
  </si>
  <si>
    <t>-151</t>
  </si>
  <si>
    <t>자재 64</t>
  </si>
  <si>
    <t>C</t>
  </si>
  <si>
    <t>자재 65</t>
  </si>
  <si>
    <t>자재 66</t>
  </si>
  <si>
    <t>-150</t>
  </si>
  <si>
    <t>자재 67</t>
  </si>
  <si>
    <t>자재 68</t>
  </si>
  <si>
    <t>노임 1</t>
  </si>
  <si>
    <t>B</t>
  </si>
  <si>
    <t>노임 2</t>
  </si>
  <si>
    <t>노임 3</t>
  </si>
  <si>
    <t>노임 4</t>
  </si>
  <si>
    <t>노임 5</t>
  </si>
  <si>
    <t>노임 6</t>
  </si>
  <si>
    <t>노임 7</t>
  </si>
  <si>
    <t>노임 8</t>
  </si>
  <si>
    <t>노임 9</t>
  </si>
  <si>
    <t>노임 10</t>
  </si>
  <si>
    <t>노임 11</t>
  </si>
  <si>
    <t>노임 12</t>
  </si>
  <si>
    <t>노임 13</t>
  </si>
  <si>
    <t>노임 14</t>
  </si>
  <si>
    <t>노임 15</t>
  </si>
  <si>
    <t>자재 69</t>
  </si>
  <si>
    <t>공 사 원 가 계 산 서</t>
  </si>
  <si>
    <t>비        목</t>
  </si>
  <si>
    <t>금      액</t>
  </si>
  <si>
    <t>구        성        비</t>
  </si>
  <si>
    <t>순   공   사   원   가</t>
  </si>
  <si>
    <t>재   료   비</t>
  </si>
  <si>
    <t>노   무   비</t>
  </si>
  <si>
    <t>경        비</t>
  </si>
  <si>
    <t>A1</t>
  </si>
  <si>
    <t>직  접  재  료  비</t>
  </si>
  <si>
    <t>A2</t>
  </si>
  <si>
    <t>간  접  재  료  비</t>
  </si>
  <si>
    <t>A3</t>
  </si>
  <si>
    <t>작업설, 부산물(△)</t>
  </si>
  <si>
    <t>AS</t>
  </si>
  <si>
    <t>[ 소          계 ]</t>
  </si>
  <si>
    <t>B1</t>
  </si>
  <si>
    <t>직  접  노  무  비</t>
  </si>
  <si>
    <t>B2</t>
  </si>
  <si>
    <t>간  접  노  무  비</t>
  </si>
  <si>
    <t>직접노무비 * 12.6%</t>
  </si>
  <si>
    <t>BS</t>
  </si>
  <si>
    <t>C2</t>
  </si>
  <si>
    <t>경              비</t>
  </si>
  <si>
    <t>C4</t>
  </si>
  <si>
    <t>산  재  보  험  료</t>
  </si>
  <si>
    <t>노무비 * 3.56%</t>
  </si>
  <si>
    <t>C5</t>
  </si>
  <si>
    <t>고  용  보  험  료</t>
  </si>
  <si>
    <t>노무비 * 1.01%</t>
  </si>
  <si>
    <t>C6</t>
  </si>
  <si>
    <t>국민  건강  보험료</t>
  </si>
  <si>
    <t>직접노무비 * 3.545%</t>
  </si>
  <si>
    <t>C7</t>
  </si>
  <si>
    <t>국민  연금  보험료</t>
  </si>
  <si>
    <t>직접노무비 * 4.5%</t>
  </si>
  <si>
    <t>CB</t>
  </si>
  <si>
    <t>노인장기요양보험료</t>
  </si>
  <si>
    <t>건강보험료 * 12.95%</t>
  </si>
  <si>
    <t>CA</t>
  </si>
  <si>
    <t>산업안전보건관리비</t>
  </si>
  <si>
    <t>(재료비+직접노무비) * 2.93%</t>
  </si>
  <si>
    <t>CG</t>
  </si>
  <si>
    <t>기   타    경   비</t>
  </si>
  <si>
    <t>(재료비+노무비) * 5.024%</t>
  </si>
  <si>
    <t>CJ</t>
  </si>
  <si>
    <t>수  도  광  열  비</t>
  </si>
  <si>
    <t>(재료비+노무비) * 0.176%</t>
  </si>
  <si>
    <t>CS</t>
  </si>
  <si>
    <t>S1</t>
  </si>
  <si>
    <t>계</t>
  </si>
  <si>
    <t>D1</t>
  </si>
  <si>
    <t>일  반  관  리  비</t>
  </si>
  <si>
    <t>계 * 6%</t>
  </si>
  <si>
    <t>D2</t>
  </si>
  <si>
    <t>이              윤</t>
  </si>
  <si>
    <t>(노무비+경비+일반관리비) * 15%</t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</si>
  <si>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</si>
  <si>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</si>
  <si>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</si>
  <si>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</si>
  <si>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</si>
  <si>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</si>
  <si>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</si>
  <si>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S2</t>
  </si>
  <si>
    <t>총   공   사    비</t>
  </si>
  <si>
    <t>이 Sheet는 수정하지 마십시요</t>
  </si>
  <si>
    <t>공사구분</t>
  </si>
  <si>
    <t>A</t>
  </si>
  <si>
    <t>타이틀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</si>
  <si>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</si>
  <si>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</si>
  <si>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</si>
  <si>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</si>
  <si>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</si>
  <si>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</si>
  <si>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</si>
  <si>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</si>
  <si>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</si>
  <si>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</si>
  <si>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</si>
  <si>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</si>
  <si>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</si>
  <si>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</si>
  <si>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</si>
  <si>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</si>
  <si>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</si>
  <si>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</si>
  <si>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</si>
  <si>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</si>
  <si>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</si>
  <si>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</si>
  <si>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</si>
  <si>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단가 순서</t>
  </si>
  <si>
    <t>공종구분명</t>
  </si>
  <si>
    <t>원가비목코드</t>
  </si>
  <si>
    <t>작 업 부 산 물</t>
  </si>
  <si>
    <t>운    반    비</t>
  </si>
  <si>
    <t>C1</t>
  </si>
  <si>
    <t>도급자관급자재비</t>
  </si>
  <si>
    <t>DJ</t>
  </si>
  <si>
    <t>사 급 자 재 비</t>
  </si>
  <si>
    <t>D3</t>
  </si>
  <si>
    <t>품 질 시 험 비</t>
  </si>
  <si>
    <t>C9</t>
  </si>
  <si>
    <t>건설폐기물처리비</t>
  </si>
  <si>
    <t>D4</t>
  </si>
  <si>
    <t>관급자관급자재비</t>
  </si>
  <si>
    <t>DK</t>
  </si>
  <si>
    <t>건설폐기물처리비</t>
    <phoneticPr fontId="1" type="noConversion"/>
  </si>
  <si>
    <t>010101  01.가설공사</t>
    <phoneticPr fontId="1" type="noConversion"/>
  </si>
  <si>
    <t>010101  02.방수공사</t>
    <phoneticPr fontId="1" type="noConversion"/>
  </si>
  <si>
    <t>010101  03.창호공사</t>
    <phoneticPr fontId="1" type="noConversion"/>
  </si>
  <si>
    <t>010101  04.철거공사</t>
    <phoneticPr fontId="1" type="noConversion"/>
  </si>
  <si>
    <t>SD01[100*45*F1.6t,D1.2t]</t>
  </si>
  <si>
    <t>1.800 x 2.100 = 3.780</t>
  </si>
  <si>
    <t>EA</t>
  </si>
  <si>
    <t>강재창호 설치 / 여닫이</t>
  </si>
  <si>
    <t>[일위 55호] - [SD 01  600*1600 철제단열문  개소]</t>
  </si>
  <si>
    <t>금속문</t>
  </si>
  <si>
    <t>금속문, 철재후라쉬도아(함마톤)문틀포함 100×45×t1.6, 0.9×2.1, 편개</t>
  </si>
  <si>
    <t>기계경비</t>
  </si>
  <si>
    <t>합  계</t>
  </si>
  <si>
    <t>자재  9호</t>
  </si>
  <si>
    <t>가격정보 20231103</t>
    <phoneticPr fontId="1" type="noConversion"/>
  </si>
  <si>
    <t>SD-1 제작설치(기존문틀)</t>
    <phoneticPr fontId="1" type="noConversion"/>
  </si>
  <si>
    <t>도서지역 노임할증</t>
    <phoneticPr fontId="1" type="noConversion"/>
  </si>
  <si>
    <t>인력품의 25%</t>
    <phoneticPr fontId="1" type="noConversion"/>
  </si>
  <si>
    <t>식</t>
    <phoneticPr fontId="1" type="noConversion"/>
  </si>
  <si>
    <t>공사명 : 하의중고 기숙사 출입문 교체공사</t>
    <phoneticPr fontId="1" type="noConversion"/>
  </si>
  <si>
    <t>[ 하의중고 기숙사 출입문 교체공사 ]</t>
    <phoneticPr fontId="1" type="noConversion"/>
  </si>
  <si>
    <t>보통인부 (비품정리 및 준공청소 포함)</t>
    <phoneticPr fontId="1" type="noConversion"/>
  </si>
  <si>
    <t>호표 1</t>
    <phoneticPr fontId="1" type="noConversion"/>
  </si>
  <si>
    <t>호표 2</t>
    <phoneticPr fontId="1" type="noConversion"/>
  </si>
  <si>
    <t>호표 3</t>
    <phoneticPr fontId="1" type="noConversion"/>
  </si>
  <si>
    <t>호표 4</t>
    <phoneticPr fontId="1" type="noConversion"/>
  </si>
  <si>
    <t>호표 5</t>
    <phoneticPr fontId="1" type="noConversion"/>
  </si>
  <si>
    <t>호표 6</t>
    <phoneticPr fontId="1" type="noConversion"/>
  </si>
  <si>
    <t>호표 7</t>
    <phoneticPr fontId="1" type="noConversion"/>
  </si>
  <si>
    <t>호표 8</t>
    <phoneticPr fontId="1" type="noConversion"/>
  </si>
  <si>
    <t>호표 9</t>
    <phoneticPr fontId="1" type="noConversion"/>
  </si>
  <si>
    <t>호표 10</t>
    <phoneticPr fontId="1" type="noConversion"/>
  </si>
  <si>
    <r>
      <t xml:space="preserve">0.9 </t>
    </r>
    <r>
      <rPr>
        <sz val="11"/>
        <color theme="1"/>
        <rFont val="Calibri"/>
        <family val="2"/>
        <charset val="161"/>
      </rPr>
      <t>Χ</t>
    </r>
    <r>
      <rPr>
        <sz val="11"/>
        <color theme="1"/>
        <rFont val="맑은 고딕"/>
        <family val="2"/>
        <charset val="129"/>
        <scheme val="minor"/>
      </rPr>
      <t xml:space="preserve"> 2.1, 기성품(방화문)</t>
    </r>
    <phoneticPr fontId="1" type="noConversion"/>
  </si>
  <si>
    <t>010102  02.방수공사</t>
    <phoneticPr fontId="1" type="noConversion"/>
  </si>
  <si>
    <t>010103  03.창호공사</t>
    <phoneticPr fontId="1" type="noConversion"/>
  </si>
  <si>
    <t>010104  4.철거공사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</si>
</sst>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#"/>
    <numFmt numFmtId="177" formatCode="#,##0.00#"/>
    <numFmt numFmtId="178" formatCode="#,##0.0"/>
    <numFmt numFmtId="179" formatCode="#,##0.00#;\-#,##0.00#;#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000000"/>
      <name val="굴림체"/>
      <family val="3"/>
      <charset val="129"/>
    </font>
    <font>
      <sz val="11"/>
      <color theme="1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quotePrefix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1" xfId="0" quotePrefix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4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4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76" fontId="3" fillId="0" borderId="4" xfId="0" applyNumberFormat="1" applyFont="1" applyBorder="1" applyAlignment="1">
      <alignment vertical="center" wrapText="1"/>
    </xf>
    <xf numFmtId="0" fontId="0" fillId="0" borderId="4" xfId="0" quotePrefix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quotePrefix="1" applyBorder="1">
      <alignment vertical="center"/>
    </xf>
    <xf numFmtId="0" fontId="4" fillId="0" borderId="5" xfId="0" quotePrefix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quotePrefix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177" fontId="3" fillId="0" borderId="7" xfId="0" applyNumberFormat="1" applyFont="1" applyBorder="1">
      <alignment vertical="center"/>
    </xf>
    <xf numFmtId="177" fontId="3" fillId="0" borderId="9" xfId="0" applyNumberFormat="1" applyFont="1" applyBorder="1" applyAlignment="1">
      <alignment vertical="center" wrapText="1"/>
    </xf>
    <xf numFmtId="177" fontId="3" fillId="0" borderId="10" xfId="0" applyNumberFormat="1" applyFont="1" applyBorder="1" applyAlignment="1">
      <alignment vertical="center" wrapText="1"/>
    </xf>
    <xf numFmtId="178" fontId="3" fillId="0" borderId="4" xfId="0" applyNumberFormat="1" applyFont="1" applyBorder="1" applyAlignment="1">
      <alignment vertical="center" wrapText="1"/>
    </xf>
    <xf numFmtId="178" fontId="3" fillId="0" borderId="7" xfId="0" applyNumberFormat="1" applyFont="1" applyBorder="1">
      <alignment vertical="center"/>
    </xf>
    <xf numFmtId="178" fontId="3" fillId="0" borderId="9" xfId="0" applyNumberFormat="1" applyFont="1" applyBorder="1" applyAlignment="1">
      <alignment vertical="center" wrapText="1"/>
    </xf>
    <xf numFmtId="178" fontId="3" fillId="0" borderId="10" xfId="0" applyNumberFormat="1" applyFont="1" applyBorder="1" applyAlignment="1">
      <alignment vertical="center" wrapText="1"/>
    </xf>
    <xf numFmtId="179" fontId="3" fillId="0" borderId="4" xfId="0" applyNumberFormat="1" applyFont="1" applyBorder="1" applyAlignment="1">
      <alignment vertical="center" wrapText="1"/>
    </xf>
    <xf numFmtId="179" fontId="0" fillId="0" borderId="0" xfId="0" applyNumberFormat="1">
      <alignment vertical="center"/>
    </xf>
    <xf numFmtId="0" fontId="3" fillId="0" borderId="4" xfId="0" quotePrefix="1" applyFon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3" fillId="0" borderId="9" xfId="0" quotePrefix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vertical="center" wrapText="1"/>
    </xf>
    <xf numFmtId="0" fontId="0" fillId="0" borderId="9" xfId="0" quotePrefix="1" applyBorder="1" applyAlignment="1">
      <alignment vertical="center" wrapText="1"/>
    </xf>
    <xf numFmtId="0" fontId="5" fillId="0" borderId="9" xfId="0" quotePrefix="1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 shrinkToFit="1"/>
    </xf>
    <xf numFmtId="0" fontId="6" fillId="0" borderId="9" xfId="0" quotePrefix="1" applyFont="1" applyBorder="1" applyAlignment="1">
      <alignment horizontal="left" vertical="center" wrapText="1" shrinkToFit="1"/>
    </xf>
    <xf numFmtId="0" fontId="6" fillId="0" borderId="9" xfId="0" quotePrefix="1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right" vertical="center" shrinkToFit="1"/>
    </xf>
    <xf numFmtId="0" fontId="7" fillId="0" borderId="9" xfId="0" quotePrefix="1" applyFont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left" vertical="center" wrapText="1" shrinkToFit="1"/>
    </xf>
    <xf numFmtId="0" fontId="7" fillId="0" borderId="9" xfId="0" applyFont="1" applyBorder="1" applyAlignment="1">
      <alignment horizontal="center" vertical="center" wrapText="1" shrinkToFit="1"/>
    </xf>
    <xf numFmtId="0" fontId="7" fillId="0" borderId="9" xfId="0" applyFont="1" applyBorder="1" applyAlignment="1">
      <alignment horizontal="right" vertical="center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right" vertical="center" wrapText="1" shrinkToFit="1"/>
    </xf>
    <xf numFmtId="0" fontId="6" fillId="0" borderId="9" xfId="0" quotePrefix="1" applyFont="1" applyBorder="1" applyAlignment="1">
      <alignment horizontal="right" vertical="center" wrapText="1" shrinkToFit="1"/>
    </xf>
    <xf numFmtId="179" fontId="0" fillId="0" borderId="4" xfId="0" quotePrefix="1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quotePrefix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176" fontId="3" fillId="2" borderId="4" xfId="0" applyNumberFormat="1" applyFont="1" applyFill="1" applyBorder="1" applyAlignment="1">
      <alignment vertical="center" wrapText="1"/>
    </xf>
    <xf numFmtId="0" fontId="0" fillId="3" borderId="4" xfId="0" quotePrefix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176" fontId="3" fillId="3" borderId="4" xfId="0" applyNumberFormat="1" applyFont="1" applyFill="1" applyBorder="1" applyAlignment="1">
      <alignment vertical="center" wrapText="1"/>
    </xf>
    <xf numFmtId="179" fontId="0" fillId="3" borderId="4" xfId="0" quotePrefix="1" applyNumberFormat="1" applyFill="1" applyBorder="1" applyAlignment="1">
      <alignment horizontal="center" vertical="center" wrapText="1"/>
    </xf>
    <xf numFmtId="179" fontId="3" fillId="3" borderId="4" xfId="0" applyNumberFormat="1" applyFont="1" applyFill="1" applyBorder="1" applyAlignment="1">
      <alignment vertical="center" wrapText="1"/>
    </xf>
    <xf numFmtId="0" fontId="0" fillId="0" borderId="4" xfId="0" quotePrefix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3" fillId="0" borderId="4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distributed" vertical="center" wrapText="1"/>
    </xf>
    <xf numFmtId="0" fontId="3" fillId="0" borderId="9" xfId="0" quotePrefix="1" applyFont="1" applyBorder="1" applyAlignment="1">
      <alignment horizontal="distributed" vertical="center" wrapText="1"/>
    </xf>
    <xf numFmtId="0" fontId="4" fillId="0" borderId="4" xfId="0" quotePrefix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left" vertical="center" wrapText="1" shrinkToFit="1"/>
    </xf>
    <xf numFmtId="0" fontId="6" fillId="0" borderId="9" xfId="0" applyFont="1" applyBorder="1" applyAlignment="1">
      <alignment horizontal="left" vertical="center" wrapText="1" shrinkToFit="1"/>
    </xf>
    <xf numFmtId="0" fontId="6" fillId="0" borderId="9" xfId="0" applyFont="1" applyBorder="1" applyAlignment="1">
      <alignment horizontal="left" vertical="center" shrinkToFit="1"/>
    </xf>
    <xf numFmtId="0" fontId="4" fillId="0" borderId="5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4" borderId="4" xfId="0" quotePrefix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176" fontId="3" fillId="4" borderId="4" xfId="0" applyNumberFormat="1" applyFont="1" applyFill="1" applyBorder="1" applyAlignment="1">
      <alignment vertical="center" wrapText="1"/>
    </xf>
    <xf numFmtId="0" fontId="0" fillId="4" borderId="9" xfId="0" quotePrefix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176" fontId="3" fillId="4" borderId="9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4">
    <dxf>
      <numFmt numFmtId="176" formatCode="#,###"/>
    </dxf>
    <dxf>
      <numFmt numFmtId="180" formatCode="#,##0.0#####"/>
    </dxf>
    <dxf>
      <numFmt numFmtId="176" formatCode="#,###"/>
    </dxf>
    <dxf>
      <numFmt numFmtId="180" formatCode="#,##0.0####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handytmp\&#54036;&#44552;&#52488;%20&#45236;&#51652;&#48372;&#44053;&#44277;&#493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서"/>
      <sheetName val="집계표"/>
      <sheetName val="내역서"/>
      <sheetName val="일위대가목록"/>
      <sheetName val="일위대가표"/>
      <sheetName val="단가산출서목록"/>
      <sheetName val="단가산출서"/>
      <sheetName val="중기경비목록"/>
      <sheetName val="중기경비"/>
      <sheetName val="단가대비표"/>
      <sheetName val="공사옵션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1204-8E52-4F60-B235-317BBAFE62A6}">
  <dimension ref="A1:G28"/>
  <sheetViews>
    <sheetView topLeftCell="B7" zoomScale="80" zoomScaleNormal="80" workbookViewId="0">
      <selection activeCell="L25" sqref="L25"/>
    </sheetView>
  </sheetViews>
  <sheetFormatPr defaultRowHeight="16.5" x14ac:dyDescent="0.3"/>
  <cols>
    <col min="1" max="1" width="0" hidden="1" customWidth="1"/>
    <col min="2" max="3" width="4.625" customWidth="1"/>
    <col min="4" max="4" width="35.625" customWidth="1"/>
    <col min="5" max="5" width="25.625" customWidth="1"/>
    <col min="6" max="6" width="60.625" customWidth="1"/>
    <col min="7" max="7" width="30.625" customWidth="1"/>
  </cols>
  <sheetData>
    <row r="1" spans="1:7" ht="24.95" customHeight="1" x14ac:dyDescent="0.3">
      <c r="B1" s="61" t="s">
        <v>352</v>
      </c>
      <c r="C1" s="61"/>
      <c r="D1" s="61"/>
      <c r="E1" s="61"/>
      <c r="F1" s="61"/>
      <c r="G1" s="61"/>
    </row>
    <row r="2" spans="1:7" ht="24.95" customHeight="1" x14ac:dyDescent="0.3">
      <c r="B2" s="62" t="s">
        <v>481</v>
      </c>
      <c r="C2" s="62"/>
      <c r="D2" s="62"/>
      <c r="E2" s="62"/>
      <c r="F2" s="63"/>
      <c r="G2" s="63"/>
    </row>
    <row r="3" spans="1:7" ht="24.95" customHeight="1" x14ac:dyDescent="0.3">
      <c r="B3" s="64" t="s">
        <v>353</v>
      </c>
      <c r="C3" s="64"/>
      <c r="D3" s="64"/>
      <c r="E3" s="32" t="s">
        <v>354</v>
      </c>
      <c r="F3" s="32" t="s">
        <v>355</v>
      </c>
      <c r="G3" s="32" t="s">
        <v>139</v>
      </c>
    </row>
    <row r="4" spans="1:7" ht="24.95" customHeight="1" x14ac:dyDescent="0.3">
      <c r="A4" s="1" t="s">
        <v>360</v>
      </c>
      <c r="B4" s="65" t="s">
        <v>356</v>
      </c>
      <c r="C4" s="65" t="s">
        <v>357</v>
      </c>
      <c r="D4" s="32" t="s">
        <v>361</v>
      </c>
      <c r="E4" s="12">
        <f>TRUNC(공종별집계표!F5, 0)</f>
        <v>9007938</v>
      </c>
      <c r="F4" s="10" t="s">
        <v>51</v>
      </c>
      <c r="G4" s="10" t="s">
        <v>51</v>
      </c>
    </row>
    <row r="5" spans="1:7" ht="24.95" customHeight="1" x14ac:dyDescent="0.3">
      <c r="A5" s="1" t="s">
        <v>362</v>
      </c>
      <c r="B5" s="65"/>
      <c r="C5" s="65"/>
      <c r="D5" s="32" t="s">
        <v>363</v>
      </c>
      <c r="E5" s="12">
        <v>0</v>
      </c>
      <c r="F5" s="10" t="s">
        <v>51</v>
      </c>
      <c r="G5" s="10" t="s">
        <v>51</v>
      </c>
    </row>
    <row r="6" spans="1:7" ht="24.95" customHeight="1" x14ac:dyDescent="0.3">
      <c r="A6" s="1" t="s">
        <v>364</v>
      </c>
      <c r="B6" s="65"/>
      <c r="C6" s="65"/>
      <c r="D6" s="32" t="s">
        <v>365</v>
      </c>
      <c r="E6" s="12">
        <v>0</v>
      </c>
      <c r="F6" s="10" t="s">
        <v>51</v>
      </c>
      <c r="G6" s="10" t="s">
        <v>51</v>
      </c>
    </row>
    <row r="7" spans="1:7" ht="24.95" customHeight="1" x14ac:dyDescent="0.3">
      <c r="A7" s="1" t="s">
        <v>366</v>
      </c>
      <c r="B7" s="65"/>
      <c r="C7" s="65"/>
      <c r="D7" s="32" t="s">
        <v>367</v>
      </c>
      <c r="E7" s="12">
        <f>TRUNC(E4+E5-E6, 0)</f>
        <v>9007938</v>
      </c>
      <c r="F7" s="10" t="s">
        <v>51</v>
      </c>
      <c r="G7" s="10" t="s">
        <v>51</v>
      </c>
    </row>
    <row r="8" spans="1:7" ht="24.95" customHeight="1" x14ac:dyDescent="0.3">
      <c r="A8" s="1" t="s">
        <v>368</v>
      </c>
      <c r="B8" s="65"/>
      <c r="C8" s="65" t="s">
        <v>358</v>
      </c>
      <c r="D8" s="32" t="s">
        <v>369</v>
      </c>
      <c r="E8" s="12">
        <f>TRUNC(공종별집계표!H5, 0)</f>
        <v>4498668</v>
      </c>
      <c r="F8" s="10" t="s">
        <v>51</v>
      </c>
      <c r="G8" s="10" t="s">
        <v>51</v>
      </c>
    </row>
    <row r="9" spans="1:7" ht="24.95" customHeight="1" x14ac:dyDescent="0.3">
      <c r="A9" s="1" t="s">
        <v>370</v>
      </c>
      <c r="B9" s="65"/>
      <c r="C9" s="65"/>
      <c r="D9" s="32" t="s">
        <v>371</v>
      </c>
      <c r="E9" s="12">
        <f>TRUNC(E8*0.126, 0)</f>
        <v>566832</v>
      </c>
      <c r="F9" s="10" t="s">
        <v>372</v>
      </c>
      <c r="G9" s="10" t="s">
        <v>51</v>
      </c>
    </row>
    <row r="10" spans="1:7" ht="24.95" customHeight="1" x14ac:dyDescent="0.3">
      <c r="A10" s="1" t="s">
        <v>373</v>
      </c>
      <c r="B10" s="65"/>
      <c r="C10" s="65"/>
      <c r="D10" s="32" t="s">
        <v>367</v>
      </c>
      <c r="E10" s="12">
        <f>TRUNC(E8+E9, 0)</f>
        <v>5065500</v>
      </c>
      <c r="F10" s="10" t="s">
        <v>51</v>
      </c>
      <c r="G10" s="10" t="s">
        <v>51</v>
      </c>
    </row>
    <row r="11" spans="1:7" ht="24.95" customHeight="1" x14ac:dyDescent="0.3">
      <c r="A11" s="1" t="s">
        <v>374</v>
      </c>
      <c r="B11" s="65"/>
      <c r="C11" s="65" t="s">
        <v>359</v>
      </c>
      <c r="D11" s="32" t="s">
        <v>375</v>
      </c>
      <c r="E11" s="12">
        <f>TRUNC(공종별집계표!J5, 0)</f>
        <v>49770</v>
      </c>
      <c r="F11" s="10" t="s">
        <v>51</v>
      </c>
      <c r="G11" s="10" t="s">
        <v>51</v>
      </c>
    </row>
    <row r="12" spans="1:7" ht="24.95" customHeight="1" x14ac:dyDescent="0.3">
      <c r="A12" s="1" t="s">
        <v>376</v>
      </c>
      <c r="B12" s="65"/>
      <c r="C12" s="65"/>
      <c r="D12" s="32" t="s">
        <v>377</v>
      </c>
      <c r="E12" s="12">
        <f>TRUNC(E10*0.0356, 0)</f>
        <v>180331</v>
      </c>
      <c r="F12" s="10" t="s">
        <v>378</v>
      </c>
      <c r="G12" s="10" t="s">
        <v>51</v>
      </c>
    </row>
    <row r="13" spans="1:7" ht="24.95" customHeight="1" x14ac:dyDescent="0.3">
      <c r="A13" s="1" t="s">
        <v>379</v>
      </c>
      <c r="B13" s="65"/>
      <c r="C13" s="65"/>
      <c r="D13" s="32" t="s">
        <v>380</v>
      </c>
      <c r="E13" s="12">
        <f>TRUNC(E10*0.0101, 0)</f>
        <v>51161</v>
      </c>
      <c r="F13" s="10" t="s">
        <v>381</v>
      </c>
      <c r="G13" s="10" t="s">
        <v>51</v>
      </c>
    </row>
    <row r="14" spans="1:7" ht="24.95" customHeight="1" x14ac:dyDescent="0.3">
      <c r="A14" s="1" t="s">
        <v>382</v>
      </c>
      <c r="B14" s="65"/>
      <c r="C14" s="65"/>
      <c r="D14" s="32" t="s">
        <v>383</v>
      </c>
      <c r="E14" s="12"/>
      <c r="F14" s="10" t="s">
        <v>384</v>
      </c>
      <c r="G14" s="10" t="s">
        <v>51</v>
      </c>
    </row>
    <row r="15" spans="1:7" ht="24.95" customHeight="1" x14ac:dyDescent="0.3">
      <c r="A15" s="1" t="s">
        <v>385</v>
      </c>
      <c r="B15" s="65"/>
      <c r="C15" s="65"/>
      <c r="D15" s="32" t="s">
        <v>386</v>
      </c>
      <c r="E15" s="12"/>
      <c r="F15" s="10" t="s">
        <v>387</v>
      </c>
      <c r="G15" s="10" t="s">
        <v>51</v>
      </c>
    </row>
    <row r="16" spans="1:7" ht="24.95" customHeight="1" x14ac:dyDescent="0.3">
      <c r="A16" s="1" t="s">
        <v>388</v>
      </c>
      <c r="B16" s="65"/>
      <c r="C16" s="65"/>
      <c r="D16" s="32" t="s">
        <v>389</v>
      </c>
      <c r="E16" s="12"/>
      <c r="F16" s="10" t="s">
        <v>390</v>
      </c>
      <c r="G16" s="10" t="s">
        <v>51</v>
      </c>
    </row>
    <row r="17" spans="1:7" ht="24.95" customHeight="1" x14ac:dyDescent="0.3">
      <c r="A17" s="1" t="s">
        <v>391</v>
      </c>
      <c r="B17" s="65"/>
      <c r="C17" s="65"/>
      <c r="D17" s="32" t="s">
        <v>392</v>
      </c>
      <c r="E17" s="12">
        <f>TRUNC((E7+E8)*0.0293, 0)</f>
        <v>395743</v>
      </c>
      <c r="F17" s="10" t="s">
        <v>393</v>
      </c>
      <c r="G17" s="10" t="s">
        <v>51</v>
      </c>
    </row>
    <row r="18" spans="1:7" ht="24.95" customHeight="1" x14ac:dyDescent="0.3">
      <c r="A18" s="1" t="s">
        <v>394</v>
      </c>
      <c r="B18" s="65"/>
      <c r="C18" s="65"/>
      <c r="D18" s="32" t="s">
        <v>395</v>
      </c>
      <c r="E18" s="12">
        <f>TRUNC((E7+E10)*0.05024, 0)</f>
        <v>707049</v>
      </c>
      <c r="F18" s="10" t="s">
        <v>396</v>
      </c>
      <c r="G18" s="10" t="s">
        <v>51</v>
      </c>
    </row>
    <row r="19" spans="1:7" ht="24.95" customHeight="1" x14ac:dyDescent="0.3">
      <c r="A19" s="1" t="s">
        <v>397</v>
      </c>
      <c r="B19" s="65"/>
      <c r="C19" s="65"/>
      <c r="D19" s="32" t="s">
        <v>398</v>
      </c>
      <c r="E19" s="12">
        <f>TRUNC((E7+E10)*0.00176, 0)</f>
        <v>24769</v>
      </c>
      <c r="F19" s="10" t="s">
        <v>399</v>
      </c>
      <c r="G19" s="10" t="s">
        <v>51</v>
      </c>
    </row>
    <row r="20" spans="1:7" ht="24.95" customHeight="1" x14ac:dyDescent="0.3">
      <c r="A20" s="1"/>
      <c r="B20" s="66"/>
      <c r="C20" s="66"/>
      <c r="D20" s="34" t="s">
        <v>461</v>
      </c>
      <c r="E20" s="35"/>
      <c r="F20" s="20"/>
      <c r="G20" s="20"/>
    </row>
    <row r="21" spans="1:7" ht="24.95" customHeight="1" x14ac:dyDescent="0.3">
      <c r="A21" s="1" t="s">
        <v>400</v>
      </c>
      <c r="B21" s="65"/>
      <c r="C21" s="65"/>
      <c r="D21" s="32" t="s">
        <v>367</v>
      </c>
      <c r="E21" s="12">
        <f>TRUNC(E11+E12+E13+E14+E15+E17+E16+E18+E19+E20, 0)</f>
        <v>1408823</v>
      </c>
      <c r="F21" s="10" t="s">
        <v>51</v>
      </c>
      <c r="G21" s="10" t="s">
        <v>51</v>
      </c>
    </row>
    <row r="22" spans="1:7" ht="24.95" customHeight="1" x14ac:dyDescent="0.3">
      <c r="A22" s="1" t="s">
        <v>401</v>
      </c>
      <c r="B22" s="64" t="s">
        <v>402</v>
      </c>
      <c r="C22" s="64"/>
      <c r="D22" s="64"/>
      <c r="E22" s="12">
        <f>TRUNC(E7+E10+E21, 0)</f>
        <v>15482261</v>
      </c>
      <c r="F22" s="10" t="s">
        <v>51</v>
      </c>
      <c r="G22" s="10" t="s">
        <v>51</v>
      </c>
    </row>
    <row r="23" spans="1:7" ht="24.95" customHeight="1" x14ac:dyDescent="0.3">
      <c r="A23" s="1" t="s">
        <v>403</v>
      </c>
      <c r="B23" s="64" t="s">
        <v>404</v>
      </c>
      <c r="C23" s="64"/>
      <c r="D23" s="64"/>
      <c r="E23" s="12">
        <f>TRUNC(E22*0.06, 0)</f>
        <v>928935</v>
      </c>
      <c r="F23" s="10" t="s">
        <v>405</v>
      </c>
      <c r="G23" s="10" t="s">
        <v>51</v>
      </c>
    </row>
    <row r="24" spans="1:7" ht="24.95" customHeight="1" x14ac:dyDescent="0.3">
      <c r="A24" s="1" t="s">
        <v>406</v>
      </c>
      <c r="B24" s="64" t="s">
        <v>407</v>
      </c>
      <c r="C24" s="64"/>
      <c r="D24" s="64"/>
      <c r="E24" s="12">
        <f>TRUNC((E10+E21+E23)*0.15, 0)-5750/1.1</f>
        <v>1105260.7272727273</v>
      </c>
      <c r="F24" s="10" t="s">
        <v>408</v>
      </c>
      <c r="G24" s="10" t="s">
        <v>51</v>
      </c>
    </row>
    <row r="25" spans="1:7" ht="24.95" customHeight="1" x14ac:dyDescent="0.3">
      <c r="A25" s="1" t="s">
        <v>409</v>
      </c>
      <c r="B25" s="64" t="s">
        <v>410</v>
      </c>
      <c r="C25" s="64"/>
      <c r="D25" s="64"/>
      <c r="E25" s="12">
        <f>TRUNC(E22+E23+E24, 0)</f>
        <v>17516456</v>
      </c>
      <c r="F25" s="10" t="s">
        <v>51</v>
      </c>
      <c r="G25" s="10" t="s">
        <v>51</v>
      </c>
    </row>
    <row r="26" spans="1:7" ht="24.95" customHeight="1" x14ac:dyDescent="0.3">
      <c r="A26" s="1" t="s">
        <v>411</v>
      </c>
      <c r="B26" s="64" t="s">
        <v>412</v>
      </c>
      <c r="C26" s="64"/>
      <c r="D26" s="64"/>
      <c r="E26" s="12">
        <f>TRUNC(E25*0.1, 0)</f>
        <v>1751645</v>
      </c>
      <c r="F26" s="10" t="s">
        <v>413</v>
      </c>
      <c r="G26" s="10" t="s">
        <v>51</v>
      </c>
    </row>
    <row r="27" spans="1:7" ht="24.95" customHeight="1" x14ac:dyDescent="0.3">
      <c r="A27" s="1" t="s">
        <v>414</v>
      </c>
      <c r="B27" s="64" t="s">
        <v>415</v>
      </c>
      <c r="C27" s="64"/>
      <c r="D27" s="64"/>
      <c r="E27" s="12">
        <f>TRUNC(E25+E26, -3)</f>
        <v>19268000</v>
      </c>
      <c r="F27" s="10" t="s">
        <v>51</v>
      </c>
      <c r="G27" s="10" t="s">
        <v>51</v>
      </c>
    </row>
    <row r="28" spans="1:7" ht="24.95" customHeight="1" x14ac:dyDescent="0.3">
      <c r="A28" s="1" t="s">
        <v>416</v>
      </c>
      <c r="B28" s="64" t="s">
        <v>417</v>
      </c>
      <c r="C28" s="64"/>
      <c r="D28" s="64"/>
      <c r="E28" s="12">
        <f>TRUNC(E27+0, 0)</f>
        <v>19268000</v>
      </c>
      <c r="F28" s="10" t="s">
        <v>51</v>
      </c>
      <c r="G28" s="10" t="s">
        <v>51</v>
      </c>
    </row>
  </sheetData>
  <mergeCells count="15">
    <mergeCell ref="B28:D28"/>
    <mergeCell ref="B22:D22"/>
    <mergeCell ref="B23:D23"/>
    <mergeCell ref="B24:D24"/>
    <mergeCell ref="B25:D25"/>
    <mergeCell ref="B26:D26"/>
    <mergeCell ref="B27:D27"/>
    <mergeCell ref="B1:G1"/>
    <mergeCell ref="B2:E2"/>
    <mergeCell ref="F2:G2"/>
    <mergeCell ref="B3:D3"/>
    <mergeCell ref="B4:B21"/>
    <mergeCell ref="C4:C7"/>
    <mergeCell ref="C8:C10"/>
    <mergeCell ref="C11:C21"/>
  </mergeCells>
  <phoneticPr fontId="1" type="noConversion"/>
  <pageMargins left="0.78740157480314965" right="0" top="0.59055118110236227" bottom="0.39370078740157483" header="0" footer="0"/>
  <pageSetup paperSize="9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BC7B-B14F-4ACB-BCE1-8F3B44273AC3}">
  <dimension ref="A1:T17"/>
  <sheetViews>
    <sheetView zoomScale="80" zoomScaleNormal="80" workbookViewId="0">
      <selection activeCell="F15" sqref="F15"/>
    </sheetView>
  </sheetViews>
  <sheetFormatPr defaultRowHeight="16.5" x14ac:dyDescent="0.3"/>
  <cols>
    <col min="1" max="1" width="40.625" customWidth="1"/>
    <col min="2" max="2" width="28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0" ht="30" customHeight="1" x14ac:dyDescent="0.3">
      <c r="A2" s="4" t="s">
        <v>482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20" ht="30" customHeight="1" x14ac:dyDescent="0.3">
      <c r="A3" s="67" t="s">
        <v>1</v>
      </c>
      <c r="B3" s="67" t="s">
        <v>2</v>
      </c>
      <c r="C3" s="67" t="s">
        <v>3</v>
      </c>
      <c r="D3" s="67" t="s">
        <v>4</v>
      </c>
      <c r="E3" s="67" t="s">
        <v>5</v>
      </c>
      <c r="F3" s="67"/>
      <c r="G3" s="67" t="s">
        <v>8</v>
      </c>
      <c r="H3" s="67"/>
      <c r="I3" s="67" t="s">
        <v>9</v>
      </c>
      <c r="J3" s="67"/>
      <c r="K3" s="67" t="s">
        <v>10</v>
      </c>
      <c r="L3" s="67"/>
      <c r="M3" s="67" t="s">
        <v>11</v>
      </c>
      <c r="N3" s="62" t="s">
        <v>12</v>
      </c>
      <c r="O3" s="62" t="s">
        <v>13</v>
      </c>
      <c r="P3" s="62" t="s">
        <v>14</v>
      </c>
      <c r="Q3" s="62" t="s">
        <v>15</v>
      </c>
      <c r="R3" s="62" t="s">
        <v>16</v>
      </c>
      <c r="S3" s="62" t="s">
        <v>17</v>
      </c>
      <c r="T3" s="62" t="s">
        <v>18</v>
      </c>
    </row>
    <row r="4" spans="1:20" ht="30" customHeight="1" x14ac:dyDescent="0.3">
      <c r="A4" s="68"/>
      <c r="B4" s="68"/>
      <c r="C4" s="68"/>
      <c r="D4" s="68"/>
      <c r="E4" s="9" t="s">
        <v>6</v>
      </c>
      <c r="F4" s="9" t="s">
        <v>7</v>
      </c>
      <c r="G4" s="9" t="s">
        <v>6</v>
      </c>
      <c r="H4" s="9" t="s">
        <v>7</v>
      </c>
      <c r="I4" s="9" t="s">
        <v>6</v>
      </c>
      <c r="J4" s="9" t="s">
        <v>7</v>
      </c>
      <c r="K4" s="9" t="s">
        <v>6</v>
      </c>
      <c r="L4" s="9" t="s">
        <v>7</v>
      </c>
      <c r="M4" s="68"/>
      <c r="N4" s="62"/>
      <c r="O4" s="62"/>
      <c r="P4" s="62"/>
      <c r="Q4" s="62"/>
      <c r="R4" s="62"/>
      <c r="S4" s="62"/>
      <c r="T4" s="62"/>
    </row>
    <row r="5" spans="1:20" ht="30" customHeight="1" x14ac:dyDescent="0.3">
      <c r="A5" s="10" t="s">
        <v>50</v>
      </c>
      <c r="B5" s="10" t="s">
        <v>51</v>
      </c>
      <c r="C5" s="10" t="s">
        <v>51</v>
      </c>
      <c r="D5" s="11">
        <v>1</v>
      </c>
      <c r="E5" s="12">
        <f>F6</f>
        <v>9007938</v>
      </c>
      <c r="F5" s="12">
        <f t="shared" ref="F5:F10" si="0">E5*D5</f>
        <v>9007938</v>
      </c>
      <c r="G5" s="12">
        <f>H6</f>
        <v>4498668</v>
      </c>
      <c r="H5" s="12">
        <f t="shared" ref="H5:H10" si="1">G5*D5</f>
        <v>4498668</v>
      </c>
      <c r="I5" s="12">
        <f>J6</f>
        <v>49770</v>
      </c>
      <c r="J5" s="12">
        <f t="shared" ref="J5:J10" si="2">I5*D5</f>
        <v>49770</v>
      </c>
      <c r="K5" s="12">
        <f t="shared" ref="K5:K10" si="3">E5+G5+I5</f>
        <v>13556376</v>
      </c>
      <c r="L5" s="12">
        <f t="shared" ref="L5:L10" si="4">F5+H5+J5</f>
        <v>13556376</v>
      </c>
      <c r="M5" s="10" t="s">
        <v>51</v>
      </c>
      <c r="N5" s="1" t="s">
        <v>52</v>
      </c>
      <c r="O5" s="1" t="s">
        <v>51</v>
      </c>
      <c r="P5" s="1" t="s">
        <v>51</v>
      </c>
      <c r="Q5" s="1" t="s">
        <v>51</v>
      </c>
      <c r="R5">
        <v>1</v>
      </c>
      <c r="S5" s="1" t="s">
        <v>51</v>
      </c>
      <c r="T5" s="8"/>
    </row>
    <row r="6" spans="1:20" ht="30" customHeight="1" x14ac:dyDescent="0.3">
      <c r="A6" s="10" t="s">
        <v>53</v>
      </c>
      <c r="B6" s="10" t="s">
        <v>51</v>
      </c>
      <c r="C6" s="10" t="s">
        <v>51</v>
      </c>
      <c r="D6" s="11">
        <v>1</v>
      </c>
      <c r="E6" s="12">
        <f>F7+F8+F9+F10</f>
        <v>9007938</v>
      </c>
      <c r="F6" s="12">
        <f t="shared" si="0"/>
        <v>9007938</v>
      </c>
      <c r="G6" s="12">
        <f>H7+H8+H9+H10</f>
        <v>4498668</v>
      </c>
      <c r="H6" s="12">
        <f t="shared" si="1"/>
        <v>4498668</v>
      </c>
      <c r="I6" s="12">
        <f>J7+J8+J9+J10</f>
        <v>49770</v>
      </c>
      <c r="J6" s="12">
        <f t="shared" si="2"/>
        <v>49770</v>
      </c>
      <c r="K6" s="12">
        <f t="shared" si="3"/>
        <v>13556376</v>
      </c>
      <c r="L6" s="12">
        <f t="shared" si="4"/>
        <v>13556376</v>
      </c>
      <c r="M6" s="10" t="s">
        <v>51</v>
      </c>
      <c r="N6" s="1" t="s">
        <v>54</v>
      </c>
      <c r="O6" s="1" t="s">
        <v>51</v>
      </c>
      <c r="P6" s="1" t="s">
        <v>52</v>
      </c>
      <c r="Q6" s="1" t="s">
        <v>51</v>
      </c>
      <c r="R6">
        <v>2</v>
      </c>
      <c r="S6" s="1" t="s">
        <v>55</v>
      </c>
      <c r="T6" s="8"/>
    </row>
    <row r="7" spans="1:20" ht="30" customHeight="1" x14ac:dyDescent="0.3">
      <c r="A7" s="10" t="s">
        <v>462</v>
      </c>
      <c r="B7" s="10" t="s">
        <v>51</v>
      </c>
      <c r="C7" s="10" t="s">
        <v>51</v>
      </c>
      <c r="D7" s="11">
        <v>1</v>
      </c>
      <c r="E7" s="12">
        <f>공종별내역서!F28</f>
        <v>0</v>
      </c>
      <c r="F7" s="12">
        <f t="shared" si="0"/>
        <v>0</v>
      </c>
      <c r="G7" s="12">
        <f>공종별내역서!H28</f>
        <v>626553</v>
      </c>
      <c r="H7" s="12">
        <f t="shared" si="1"/>
        <v>626553</v>
      </c>
      <c r="I7" s="12">
        <f>공종별내역서!J28</f>
        <v>0</v>
      </c>
      <c r="J7" s="12">
        <f t="shared" si="2"/>
        <v>0</v>
      </c>
      <c r="K7" s="12">
        <f t="shared" si="3"/>
        <v>626553</v>
      </c>
      <c r="L7" s="12">
        <f t="shared" si="4"/>
        <v>626553</v>
      </c>
      <c r="M7" s="10" t="s">
        <v>51</v>
      </c>
      <c r="N7" s="1" t="s">
        <v>57</v>
      </c>
      <c r="O7" s="1" t="s">
        <v>51</v>
      </c>
      <c r="P7" s="1" t="s">
        <v>54</v>
      </c>
      <c r="Q7" s="1" t="s">
        <v>51</v>
      </c>
      <c r="R7">
        <v>3</v>
      </c>
      <c r="S7" s="1" t="s">
        <v>51</v>
      </c>
      <c r="T7" s="8"/>
    </row>
    <row r="8" spans="1:20" ht="30" customHeight="1" x14ac:dyDescent="0.3">
      <c r="A8" s="10" t="s">
        <v>463</v>
      </c>
      <c r="B8" s="10" t="s">
        <v>51</v>
      </c>
      <c r="C8" s="10" t="s">
        <v>51</v>
      </c>
      <c r="D8" s="11">
        <v>1</v>
      </c>
      <c r="E8" s="12">
        <f>공종별내역서!F53</f>
        <v>0</v>
      </c>
      <c r="F8" s="12">
        <f t="shared" si="0"/>
        <v>0</v>
      </c>
      <c r="G8" s="12">
        <f>공종별내역서!H53</f>
        <v>1128960</v>
      </c>
      <c r="H8" s="12">
        <f t="shared" si="1"/>
        <v>1128960</v>
      </c>
      <c r="I8" s="12">
        <f>공종별내역서!J53</f>
        <v>0</v>
      </c>
      <c r="J8" s="12">
        <f t="shared" si="2"/>
        <v>0</v>
      </c>
      <c r="K8" s="12">
        <f t="shared" si="3"/>
        <v>1128960</v>
      </c>
      <c r="L8" s="12">
        <f t="shared" si="4"/>
        <v>1128960</v>
      </c>
      <c r="M8" s="10" t="s">
        <v>51</v>
      </c>
      <c r="N8" s="1" t="s">
        <v>67</v>
      </c>
      <c r="O8" s="1" t="s">
        <v>51</v>
      </c>
      <c r="P8" s="1" t="s">
        <v>54</v>
      </c>
      <c r="Q8" s="1" t="s">
        <v>51</v>
      </c>
      <c r="R8">
        <v>3</v>
      </c>
      <c r="S8" s="1" t="s">
        <v>51</v>
      </c>
      <c r="T8" s="8"/>
    </row>
    <row r="9" spans="1:20" ht="30" customHeight="1" x14ac:dyDescent="0.3">
      <c r="A9" s="10" t="s">
        <v>464</v>
      </c>
      <c r="B9" s="10" t="s">
        <v>51</v>
      </c>
      <c r="C9" s="10" t="s">
        <v>51</v>
      </c>
      <c r="D9" s="11">
        <v>1</v>
      </c>
      <c r="E9" s="12">
        <f>공종별내역서!F78</f>
        <v>9216900</v>
      </c>
      <c r="F9" s="12">
        <f t="shared" si="0"/>
        <v>9216900</v>
      </c>
      <c r="G9" s="12">
        <f>공종별내역서!H78</f>
        <v>2269485</v>
      </c>
      <c r="H9" s="12">
        <f t="shared" si="1"/>
        <v>2269485</v>
      </c>
      <c r="I9" s="12">
        <f>공종별내역서!J78</f>
        <v>49770</v>
      </c>
      <c r="J9" s="12">
        <f t="shared" si="2"/>
        <v>49770</v>
      </c>
      <c r="K9" s="12">
        <f t="shared" si="3"/>
        <v>11536155</v>
      </c>
      <c r="L9" s="12">
        <f t="shared" si="4"/>
        <v>11536155</v>
      </c>
      <c r="M9" s="10" t="s">
        <v>51</v>
      </c>
      <c r="N9" s="1" t="s">
        <v>73</v>
      </c>
      <c r="O9" s="1" t="s">
        <v>51</v>
      </c>
      <c r="P9" s="1" t="s">
        <v>54</v>
      </c>
      <c r="Q9" s="1" t="s">
        <v>51</v>
      </c>
      <c r="R9">
        <v>3</v>
      </c>
      <c r="S9" s="1" t="s">
        <v>51</v>
      </c>
      <c r="T9" s="8"/>
    </row>
    <row r="10" spans="1:20" ht="30" customHeight="1" x14ac:dyDescent="0.3">
      <c r="A10" s="10" t="s">
        <v>465</v>
      </c>
      <c r="B10" s="10" t="s">
        <v>51</v>
      </c>
      <c r="C10" s="10" t="s">
        <v>51</v>
      </c>
      <c r="D10" s="11">
        <v>1</v>
      </c>
      <c r="E10" s="12">
        <f>공종별내역서!F103</f>
        <v>-208962</v>
      </c>
      <c r="F10" s="12">
        <f t="shared" si="0"/>
        <v>-208962</v>
      </c>
      <c r="G10" s="12">
        <f>공종별내역서!H103</f>
        <v>473670</v>
      </c>
      <c r="H10" s="12">
        <f t="shared" si="1"/>
        <v>473670</v>
      </c>
      <c r="I10" s="12">
        <f>공종별내역서!J103</f>
        <v>0</v>
      </c>
      <c r="J10" s="12">
        <f t="shared" si="2"/>
        <v>0</v>
      </c>
      <c r="K10" s="12">
        <f t="shared" si="3"/>
        <v>264708</v>
      </c>
      <c r="L10" s="12">
        <f t="shared" si="4"/>
        <v>264708</v>
      </c>
      <c r="M10" s="10" t="s">
        <v>51</v>
      </c>
      <c r="N10" s="1" t="s">
        <v>111</v>
      </c>
      <c r="O10" s="1" t="s">
        <v>51</v>
      </c>
      <c r="P10" s="1" t="s">
        <v>54</v>
      </c>
      <c r="Q10" s="1" t="s">
        <v>51</v>
      </c>
      <c r="R10">
        <v>3</v>
      </c>
      <c r="S10" s="1" t="s">
        <v>51</v>
      </c>
      <c r="T10" s="8"/>
    </row>
    <row r="11" spans="1:20" ht="30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T11" s="8"/>
    </row>
    <row r="12" spans="1:20" ht="30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T12" s="8"/>
    </row>
    <row r="13" spans="1:20" ht="30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T13" s="8"/>
    </row>
    <row r="14" spans="1:20" ht="30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T14" s="8"/>
    </row>
    <row r="15" spans="1:20" ht="30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T15" s="8"/>
    </row>
    <row r="16" spans="1:20" ht="30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T16" s="8"/>
    </row>
    <row r="17" spans="1:20" ht="30" customHeight="1" x14ac:dyDescent="0.3">
      <c r="A17" s="10" t="s">
        <v>65</v>
      </c>
      <c r="B17" s="11"/>
      <c r="C17" s="11"/>
      <c r="D17" s="11"/>
      <c r="E17" s="11"/>
      <c r="F17" s="12">
        <f>F5</f>
        <v>9007938</v>
      </c>
      <c r="G17" s="11"/>
      <c r="H17" s="12">
        <f>H5</f>
        <v>4498668</v>
      </c>
      <c r="I17" s="11"/>
      <c r="J17" s="12">
        <f>J5</f>
        <v>49770</v>
      </c>
      <c r="K17" s="11"/>
      <c r="L17" s="12">
        <f>L5</f>
        <v>13556376</v>
      </c>
      <c r="M17" s="11"/>
      <c r="T17" s="8"/>
    </row>
  </sheetData>
  <mergeCells count="16">
    <mergeCell ref="Q3:Q4"/>
    <mergeCell ref="R3:R4"/>
    <mergeCell ref="S3:S4"/>
    <mergeCell ref="T3:T4"/>
    <mergeCell ref="I3:J3"/>
    <mergeCell ref="K3:L3"/>
    <mergeCell ref="M3:M4"/>
    <mergeCell ref="N3:N4"/>
    <mergeCell ref="O3:O4"/>
    <mergeCell ref="P3:P4"/>
    <mergeCell ref="G3:H3"/>
    <mergeCell ref="A3:A4"/>
    <mergeCell ref="B3:B4"/>
    <mergeCell ref="C3:C4"/>
    <mergeCell ref="D3:D4"/>
    <mergeCell ref="E3:F3"/>
  </mergeCells>
  <phoneticPr fontId="1" type="noConversion"/>
  <pageMargins left="0.78740157480314965" right="0" top="0.39370078740157483" bottom="0.19685039370078741" header="0" footer="0"/>
  <pageSetup paperSize="9"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3975-69A1-4C1E-BD40-0AA2DAAAF1CA}">
  <dimension ref="A1:AX103"/>
  <sheetViews>
    <sheetView tabSelected="1" zoomScale="80" zoomScaleNormal="80" workbookViewId="0">
      <selection activeCell="A30" sqref="A30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  <col min="50" max="50" width="10.5" bestFit="1" customWidth="1"/>
  </cols>
  <sheetData>
    <row r="1" spans="1:48" ht="30" customHeight="1" x14ac:dyDescent="0.3">
      <c r="A1" s="4" t="s">
        <v>482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48" ht="30" customHeight="1" x14ac:dyDescent="0.3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7"/>
      <c r="G2" s="67" t="s">
        <v>8</v>
      </c>
      <c r="H2" s="67"/>
      <c r="I2" s="67" t="s">
        <v>9</v>
      </c>
      <c r="J2" s="67"/>
      <c r="K2" s="67" t="s">
        <v>10</v>
      </c>
      <c r="L2" s="67"/>
      <c r="M2" s="67" t="s">
        <v>11</v>
      </c>
      <c r="N2" s="62" t="s">
        <v>19</v>
      </c>
      <c r="O2" s="62" t="s">
        <v>13</v>
      </c>
      <c r="P2" s="62" t="s">
        <v>20</v>
      </c>
      <c r="Q2" s="62" t="s">
        <v>12</v>
      </c>
      <c r="R2" s="62" t="s">
        <v>21</v>
      </c>
      <c r="S2" s="62" t="s">
        <v>22</v>
      </c>
      <c r="T2" s="62" t="s">
        <v>23</v>
      </c>
      <c r="U2" s="62" t="s">
        <v>24</v>
      </c>
      <c r="V2" s="62" t="s">
        <v>25</v>
      </c>
      <c r="W2" s="62" t="s">
        <v>26</v>
      </c>
      <c r="X2" s="62" t="s">
        <v>27</v>
      </c>
      <c r="Y2" s="62" t="s">
        <v>28</v>
      </c>
      <c r="Z2" s="62" t="s">
        <v>29</v>
      </c>
      <c r="AA2" s="62" t="s">
        <v>30</v>
      </c>
      <c r="AB2" s="62" t="s">
        <v>31</v>
      </c>
      <c r="AC2" s="62" t="s">
        <v>32</v>
      </c>
      <c r="AD2" s="62" t="s">
        <v>33</v>
      </c>
      <c r="AE2" s="62" t="s">
        <v>34</v>
      </c>
      <c r="AF2" s="62" t="s">
        <v>35</v>
      </c>
      <c r="AG2" s="62" t="s">
        <v>36</v>
      </c>
      <c r="AH2" s="62" t="s">
        <v>37</v>
      </c>
      <c r="AI2" s="62" t="s">
        <v>38</v>
      </c>
      <c r="AJ2" s="62" t="s">
        <v>39</v>
      </c>
      <c r="AK2" s="62" t="s">
        <v>40</v>
      </c>
      <c r="AL2" s="62" t="s">
        <v>41</v>
      </c>
      <c r="AM2" s="62" t="s">
        <v>42</v>
      </c>
      <c r="AN2" s="62" t="s">
        <v>43</v>
      </c>
      <c r="AO2" s="62" t="s">
        <v>44</v>
      </c>
      <c r="AP2" s="62" t="s">
        <v>45</v>
      </c>
      <c r="AQ2" s="62" t="s">
        <v>46</v>
      </c>
      <c r="AR2" s="62" t="s">
        <v>47</v>
      </c>
      <c r="AS2" s="62" t="s">
        <v>15</v>
      </c>
      <c r="AT2" s="62" t="s">
        <v>16</v>
      </c>
      <c r="AU2" s="62" t="s">
        <v>48</v>
      </c>
      <c r="AV2" s="62" t="s">
        <v>49</v>
      </c>
    </row>
    <row r="3" spans="1:48" ht="30" customHeight="1" x14ac:dyDescent="0.3">
      <c r="A3" s="67"/>
      <c r="B3" s="67"/>
      <c r="C3" s="67"/>
      <c r="D3" s="67"/>
      <c r="E3" s="7" t="s">
        <v>6</v>
      </c>
      <c r="F3" s="7" t="s">
        <v>7</v>
      </c>
      <c r="G3" s="7" t="s">
        <v>6</v>
      </c>
      <c r="H3" s="7" t="s">
        <v>7</v>
      </c>
      <c r="I3" s="7" t="s">
        <v>6</v>
      </c>
      <c r="J3" s="7" t="s">
        <v>7</v>
      </c>
      <c r="K3" s="7" t="s">
        <v>6</v>
      </c>
      <c r="L3" s="7" t="s">
        <v>7</v>
      </c>
      <c r="M3" s="67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</row>
    <row r="4" spans="1:48" ht="30" customHeight="1" x14ac:dyDescent="0.3">
      <c r="A4" s="55" t="s">
        <v>56</v>
      </c>
      <c r="B4" s="55" t="s">
        <v>51</v>
      </c>
      <c r="C4" s="56"/>
      <c r="D4" s="56"/>
      <c r="E4" s="57"/>
      <c r="F4" s="57"/>
      <c r="G4" s="57"/>
      <c r="H4" s="57"/>
      <c r="I4" s="57"/>
      <c r="J4" s="57"/>
      <c r="K4" s="57"/>
      <c r="L4" s="57"/>
      <c r="M4" s="56"/>
      <c r="Q4" s="1" t="s">
        <v>57</v>
      </c>
    </row>
    <row r="5" spans="1:48" ht="30" customHeight="1" x14ac:dyDescent="0.3">
      <c r="A5" s="13" t="s">
        <v>60</v>
      </c>
      <c r="B5" s="13" t="s">
        <v>483</v>
      </c>
      <c r="C5" s="13" t="s">
        <v>62</v>
      </c>
      <c r="D5" s="11">
        <v>3</v>
      </c>
      <c r="E5" s="12">
        <f>TRUNC(일위대가목록!E4,0)</f>
        <v>0</v>
      </c>
      <c r="F5" s="12">
        <f>TRUNC(E5*D5, 0)</f>
        <v>0</v>
      </c>
      <c r="G5" s="12">
        <f>TRUNC(일위대가목록!F4,0)</f>
        <v>167081</v>
      </c>
      <c r="H5" s="12">
        <f>TRUNC(G5*D5, 0)</f>
        <v>501243</v>
      </c>
      <c r="I5" s="12">
        <f>TRUNC(일위대가목록!G4,0)</f>
        <v>0</v>
      </c>
      <c r="J5" s="12">
        <f>TRUNC(I5*D5, 0)</f>
        <v>0</v>
      </c>
      <c r="K5" s="12">
        <f t="shared" ref="K5:L5" si="0">TRUNC(E5+G5+I5, 0)</f>
        <v>167081</v>
      </c>
      <c r="L5" s="12">
        <f t="shared" si="0"/>
        <v>501243</v>
      </c>
      <c r="M5" s="13" t="s">
        <v>51</v>
      </c>
      <c r="N5" s="1" t="s">
        <v>63</v>
      </c>
      <c r="O5" s="1" t="s">
        <v>51</v>
      </c>
      <c r="P5" s="1" t="s">
        <v>51</v>
      </c>
      <c r="Q5" s="1" t="s">
        <v>57</v>
      </c>
      <c r="R5" s="1" t="s">
        <v>58</v>
      </c>
      <c r="S5" s="1" t="s">
        <v>59</v>
      </c>
      <c r="T5" s="1" t="s">
        <v>59</v>
      </c>
      <c r="AR5" s="1" t="s">
        <v>51</v>
      </c>
      <c r="AS5" s="1" t="s">
        <v>51</v>
      </c>
      <c r="AU5" s="1" t="s">
        <v>64</v>
      </c>
      <c r="AV5">
        <v>2578</v>
      </c>
    </row>
    <row r="6" spans="1:48" ht="30" customHeight="1" x14ac:dyDescent="0.3">
      <c r="A6" s="36" t="s">
        <v>478</v>
      </c>
      <c r="B6" s="36" t="s">
        <v>479</v>
      </c>
      <c r="C6" s="36" t="s">
        <v>480</v>
      </c>
      <c r="D6" s="21">
        <v>1</v>
      </c>
      <c r="E6" s="35"/>
      <c r="F6" s="35"/>
      <c r="G6" s="35">
        <f>H5*0.25</f>
        <v>125310.75</v>
      </c>
      <c r="H6" s="35">
        <f>TRUNC(G6*D6, 0)</f>
        <v>125310</v>
      </c>
      <c r="I6" s="35"/>
      <c r="J6" s="35"/>
      <c r="K6" s="12">
        <f t="shared" ref="K6" si="1">TRUNC(E6+G6+I6, 0)</f>
        <v>125310</v>
      </c>
      <c r="L6" s="12">
        <f t="shared" ref="L6" si="2">TRUNC(F6+H6+J6, 0)</f>
        <v>125310</v>
      </c>
      <c r="M6" s="36"/>
      <c r="N6" s="33"/>
      <c r="O6" s="33"/>
      <c r="P6" s="33"/>
      <c r="Q6" s="33"/>
      <c r="R6" s="33"/>
      <c r="S6" s="33"/>
      <c r="T6" s="33"/>
      <c r="AR6" s="33"/>
      <c r="AS6" s="33"/>
      <c r="AU6" s="33"/>
    </row>
    <row r="7" spans="1:48" ht="30" customHeight="1" x14ac:dyDescent="0.3">
      <c r="A7" s="36"/>
      <c r="B7" s="36"/>
      <c r="C7" s="36"/>
      <c r="D7" s="21"/>
      <c r="E7" s="35"/>
      <c r="F7" s="35"/>
      <c r="G7" s="35"/>
      <c r="H7" s="35"/>
      <c r="I7" s="35"/>
      <c r="J7" s="35"/>
      <c r="K7" s="35"/>
      <c r="L7" s="35"/>
      <c r="M7" s="36"/>
      <c r="N7" s="33"/>
      <c r="O7" s="33"/>
      <c r="P7" s="33"/>
      <c r="Q7" s="33"/>
      <c r="R7" s="33"/>
      <c r="S7" s="33"/>
      <c r="T7" s="33"/>
      <c r="AR7" s="33"/>
      <c r="AS7" s="33"/>
      <c r="AU7" s="33"/>
    </row>
    <row r="8" spans="1:48" ht="30" customHeight="1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1"/>
    </row>
    <row r="9" spans="1:48" ht="30" customHeight="1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1"/>
    </row>
    <row r="10" spans="1:48" ht="30" customHeight="1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1"/>
    </row>
    <row r="11" spans="1:48" ht="30" customHeight="1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1"/>
    </row>
    <row r="12" spans="1:48" ht="30" customHeight="1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1"/>
    </row>
    <row r="13" spans="1:48" ht="30" customHeight="1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1"/>
    </row>
    <row r="14" spans="1:48" ht="30" customHeight="1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1"/>
    </row>
    <row r="15" spans="1:48" ht="30" customHeight="1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1"/>
    </row>
    <row r="16" spans="1:48" ht="30" customHeight="1" x14ac:dyDescent="0.3">
      <c r="A16" s="11"/>
      <c r="B16" s="11"/>
      <c r="C16" s="11"/>
      <c r="D16" s="11"/>
      <c r="E16" s="12"/>
      <c r="F16" s="12"/>
      <c r="G16" s="12"/>
      <c r="H16" s="12"/>
      <c r="I16" s="12"/>
      <c r="J16" s="12"/>
      <c r="K16" s="12"/>
      <c r="L16" s="12"/>
      <c r="M16" s="11"/>
    </row>
    <row r="17" spans="1:48" ht="30" customHeight="1" x14ac:dyDescent="0.3">
      <c r="A17" s="11"/>
      <c r="B17" s="11"/>
      <c r="C17" s="11"/>
      <c r="D17" s="11"/>
      <c r="E17" s="12"/>
      <c r="F17" s="12"/>
      <c r="G17" s="12"/>
      <c r="H17" s="12"/>
      <c r="I17" s="12"/>
      <c r="J17" s="12"/>
      <c r="K17" s="12"/>
      <c r="L17" s="12"/>
      <c r="M17" s="11"/>
    </row>
    <row r="18" spans="1:48" ht="30" customHeight="1" x14ac:dyDescent="0.3">
      <c r="A18" s="11"/>
      <c r="B18" s="11"/>
      <c r="C18" s="11"/>
      <c r="D18" s="11"/>
      <c r="E18" s="12"/>
      <c r="F18" s="12"/>
      <c r="G18" s="12"/>
      <c r="H18" s="12"/>
      <c r="I18" s="12"/>
      <c r="J18" s="12"/>
      <c r="K18" s="12"/>
      <c r="L18" s="12"/>
      <c r="M18" s="11"/>
    </row>
    <row r="19" spans="1:48" ht="30" customHeight="1" x14ac:dyDescent="0.3">
      <c r="A19" s="11"/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1"/>
    </row>
    <row r="20" spans="1:48" ht="30" customHeight="1" x14ac:dyDescent="0.3">
      <c r="A20" s="11"/>
      <c r="B20" s="11"/>
      <c r="C20" s="11"/>
      <c r="D20" s="11"/>
      <c r="E20" s="12"/>
      <c r="F20" s="12"/>
      <c r="G20" s="12"/>
      <c r="H20" s="12"/>
      <c r="I20" s="12"/>
      <c r="J20" s="12"/>
      <c r="K20" s="12"/>
      <c r="L20" s="12"/>
      <c r="M20" s="11"/>
    </row>
    <row r="21" spans="1:48" ht="30" customHeight="1" x14ac:dyDescent="0.3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1"/>
    </row>
    <row r="22" spans="1:48" ht="30" customHeight="1" x14ac:dyDescent="0.3">
      <c r="A22" s="11"/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1"/>
    </row>
    <row r="23" spans="1:48" ht="30" customHeight="1" x14ac:dyDescent="0.3">
      <c r="A23" s="11"/>
      <c r="B23" s="11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1"/>
    </row>
    <row r="24" spans="1:48" ht="30" customHeight="1" x14ac:dyDescent="0.3">
      <c r="A24" s="11"/>
      <c r="B24" s="11"/>
      <c r="C24" s="11"/>
      <c r="D24" s="11"/>
      <c r="E24" s="12"/>
      <c r="F24" s="12"/>
      <c r="G24" s="12"/>
      <c r="H24" s="12"/>
      <c r="I24" s="12"/>
      <c r="J24" s="12"/>
      <c r="K24" s="12"/>
      <c r="L24" s="12"/>
      <c r="M24" s="11"/>
    </row>
    <row r="25" spans="1:48" ht="30" customHeight="1" x14ac:dyDescent="0.3">
      <c r="A25" s="11"/>
      <c r="B25" s="11"/>
      <c r="C25" s="11"/>
      <c r="D25" s="11"/>
      <c r="E25" s="12"/>
      <c r="F25" s="12"/>
      <c r="G25" s="12"/>
      <c r="H25" s="12"/>
      <c r="I25" s="12"/>
      <c r="J25" s="12"/>
      <c r="K25" s="12"/>
      <c r="L25" s="12"/>
      <c r="M25" s="11"/>
    </row>
    <row r="26" spans="1:48" ht="30" customHeight="1" x14ac:dyDescent="0.3">
      <c r="A26" s="11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11"/>
    </row>
    <row r="27" spans="1:48" ht="30" customHeight="1" x14ac:dyDescent="0.3">
      <c r="A27" s="11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11"/>
    </row>
    <row r="28" spans="1:48" ht="30" customHeight="1" x14ac:dyDescent="0.3">
      <c r="A28" s="52" t="s">
        <v>65</v>
      </c>
      <c r="B28" s="53"/>
      <c r="C28" s="53"/>
      <c r="D28" s="53"/>
      <c r="E28" s="54"/>
      <c r="F28" s="54">
        <f>SUM(F5:F27)</f>
        <v>0</v>
      </c>
      <c r="G28" s="54"/>
      <c r="H28" s="54">
        <f>SUM(H5:H27)</f>
        <v>626553</v>
      </c>
      <c r="I28" s="54"/>
      <c r="J28" s="54">
        <f>SUM(J5:J27)</f>
        <v>0</v>
      </c>
      <c r="K28" s="54"/>
      <c r="L28" s="54">
        <f>SUM(L5:L27)</f>
        <v>626553</v>
      </c>
      <c r="M28" s="53"/>
      <c r="N28" t="s">
        <v>66</v>
      </c>
    </row>
    <row r="29" spans="1:48" ht="30" customHeight="1" x14ac:dyDescent="0.3">
      <c r="A29" s="55" t="s">
        <v>495</v>
      </c>
      <c r="B29" s="55" t="s">
        <v>51</v>
      </c>
      <c r="C29" s="56"/>
      <c r="D29" s="56"/>
      <c r="E29" s="57"/>
      <c r="F29" s="57"/>
      <c r="G29" s="57"/>
      <c r="H29" s="57"/>
      <c r="I29" s="57"/>
      <c r="J29" s="57"/>
      <c r="K29" s="57"/>
      <c r="L29" s="57"/>
      <c r="M29" s="56"/>
      <c r="Q29" s="1" t="s">
        <v>67</v>
      </c>
    </row>
    <row r="30" spans="1:48" ht="30" customHeight="1" x14ac:dyDescent="0.3">
      <c r="A30" s="13" t="s">
        <v>68</v>
      </c>
      <c r="B30" s="13" t="s">
        <v>69</v>
      </c>
      <c r="C30" s="13" t="s">
        <v>70</v>
      </c>
      <c r="D30" s="11">
        <f>9.8*18</f>
        <v>176.4</v>
      </c>
      <c r="E30" s="12">
        <f>TRUNC(일위대가목록!E5,0)</f>
        <v>0</v>
      </c>
      <c r="F30" s="12">
        <f>TRUNC(E30*D30, 0)</f>
        <v>0</v>
      </c>
      <c r="G30" s="12">
        <f>TRUNC(일위대가목록!F5,0)</f>
        <v>5120</v>
      </c>
      <c r="H30" s="12">
        <f>TRUNC(G30*D30, 0)</f>
        <v>903168</v>
      </c>
      <c r="I30" s="12">
        <f>TRUNC(일위대가목록!G5,0)</f>
        <v>0</v>
      </c>
      <c r="J30" s="12">
        <f>TRUNC(I30*D30, 0)</f>
        <v>0</v>
      </c>
      <c r="K30" s="12">
        <f t="shared" ref="K30:L31" si="3">TRUNC(E30+G30+I30, 0)</f>
        <v>5120</v>
      </c>
      <c r="L30" s="12">
        <f t="shared" si="3"/>
        <v>903168</v>
      </c>
      <c r="M30" s="13" t="s">
        <v>51</v>
      </c>
      <c r="N30" s="1" t="s">
        <v>71</v>
      </c>
      <c r="O30" s="1" t="s">
        <v>51</v>
      </c>
      <c r="P30" s="1" t="s">
        <v>51</v>
      </c>
      <c r="Q30" s="1" t="s">
        <v>67</v>
      </c>
      <c r="R30" s="1" t="s">
        <v>58</v>
      </c>
      <c r="S30" s="1" t="s">
        <v>59</v>
      </c>
      <c r="T30" s="1" t="s">
        <v>59</v>
      </c>
      <c r="AR30" s="1" t="s">
        <v>51</v>
      </c>
      <c r="AS30" s="1" t="s">
        <v>51</v>
      </c>
      <c r="AU30" s="1" t="s">
        <v>72</v>
      </c>
      <c r="AV30">
        <v>2876</v>
      </c>
    </row>
    <row r="31" spans="1:48" ht="30" customHeight="1" x14ac:dyDescent="0.3">
      <c r="A31" s="36" t="s">
        <v>478</v>
      </c>
      <c r="B31" s="36" t="s">
        <v>479</v>
      </c>
      <c r="C31" s="36" t="s">
        <v>480</v>
      </c>
      <c r="D31" s="21">
        <v>1</v>
      </c>
      <c r="E31" s="35"/>
      <c r="F31" s="35"/>
      <c r="G31" s="35">
        <f>H30*0.25</f>
        <v>225792</v>
      </c>
      <c r="H31" s="35">
        <f>TRUNC(G31*D31, 0)</f>
        <v>225792</v>
      </c>
      <c r="I31" s="35"/>
      <c r="J31" s="35"/>
      <c r="K31" s="12">
        <f t="shared" si="3"/>
        <v>225792</v>
      </c>
      <c r="L31" s="12">
        <f t="shared" si="3"/>
        <v>225792</v>
      </c>
      <c r="M31" s="36"/>
    </row>
    <row r="32" spans="1:48" ht="30" customHeight="1" x14ac:dyDescent="0.3">
      <c r="A32" s="21"/>
      <c r="B32" s="21"/>
      <c r="C32" s="21"/>
      <c r="D32" s="21"/>
      <c r="E32" s="35"/>
      <c r="F32" s="35"/>
      <c r="G32" s="35"/>
      <c r="H32" s="35"/>
      <c r="I32" s="35"/>
      <c r="J32" s="35"/>
      <c r="K32" s="35"/>
      <c r="L32" s="35"/>
      <c r="M32" s="21"/>
    </row>
    <row r="33" spans="1:13" ht="30" customHeight="1" x14ac:dyDescent="0.3">
      <c r="A33" s="21"/>
      <c r="B33" s="21"/>
      <c r="C33" s="21"/>
      <c r="D33" s="21"/>
      <c r="E33" s="35"/>
      <c r="F33" s="35"/>
      <c r="G33" s="35"/>
      <c r="H33" s="35"/>
      <c r="I33" s="35"/>
      <c r="J33" s="35"/>
      <c r="K33" s="35"/>
      <c r="L33" s="35"/>
      <c r="M33" s="21"/>
    </row>
    <row r="34" spans="1:13" ht="30" customHeight="1" x14ac:dyDescent="0.3">
      <c r="A34" s="21"/>
      <c r="B34" s="21"/>
      <c r="C34" s="21"/>
      <c r="D34" s="21"/>
      <c r="E34" s="35"/>
      <c r="F34" s="35"/>
      <c r="G34" s="35"/>
      <c r="H34" s="35"/>
      <c r="I34" s="35"/>
      <c r="J34" s="35"/>
      <c r="K34" s="35"/>
      <c r="L34" s="35"/>
      <c r="M34" s="21"/>
    </row>
    <row r="35" spans="1:13" ht="30" customHeight="1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1"/>
    </row>
    <row r="36" spans="1:13" ht="30" customHeight="1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1"/>
    </row>
    <row r="37" spans="1:13" ht="30" customHeight="1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1"/>
    </row>
    <row r="38" spans="1:13" ht="30" customHeight="1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1"/>
    </row>
    <row r="39" spans="1:13" ht="30" customHeight="1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1"/>
    </row>
    <row r="40" spans="1:13" ht="30" customHeight="1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1"/>
    </row>
    <row r="41" spans="1:13" ht="30" customHeight="1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1"/>
    </row>
    <row r="42" spans="1:13" ht="30" customHeight="1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1"/>
    </row>
    <row r="43" spans="1:13" ht="30" customHeight="1" x14ac:dyDescent="0.3">
      <c r="A43" s="11"/>
      <c r="B43" s="11"/>
      <c r="C43" s="11"/>
      <c r="D43" s="11"/>
      <c r="E43" s="12"/>
      <c r="F43" s="12"/>
      <c r="G43" s="12"/>
      <c r="H43" s="12"/>
      <c r="I43" s="12"/>
      <c r="J43" s="12"/>
      <c r="K43" s="12"/>
      <c r="L43" s="12"/>
      <c r="M43" s="11"/>
    </row>
    <row r="44" spans="1:13" ht="30" customHeight="1" x14ac:dyDescent="0.3">
      <c r="A44" s="11"/>
      <c r="B44" s="11"/>
      <c r="C44" s="11"/>
      <c r="D44" s="11"/>
      <c r="E44" s="12"/>
      <c r="F44" s="12"/>
      <c r="G44" s="12"/>
      <c r="H44" s="12"/>
      <c r="I44" s="12"/>
      <c r="J44" s="12"/>
      <c r="K44" s="12"/>
      <c r="L44" s="12"/>
      <c r="M44" s="11"/>
    </row>
    <row r="45" spans="1:13" ht="30" customHeight="1" x14ac:dyDescent="0.3">
      <c r="A45" s="11"/>
      <c r="B45" s="11"/>
      <c r="C45" s="11"/>
      <c r="D45" s="11"/>
      <c r="E45" s="12"/>
      <c r="F45" s="12"/>
      <c r="G45" s="12"/>
      <c r="H45" s="12"/>
      <c r="I45" s="12"/>
      <c r="J45" s="12"/>
      <c r="K45" s="12"/>
      <c r="L45" s="12"/>
      <c r="M45" s="11"/>
    </row>
    <row r="46" spans="1:13" ht="30" customHeight="1" x14ac:dyDescent="0.3">
      <c r="A46" s="11"/>
      <c r="B46" s="11"/>
      <c r="C46" s="11"/>
      <c r="D46" s="11"/>
      <c r="E46" s="12"/>
      <c r="F46" s="12"/>
      <c r="G46" s="12"/>
      <c r="H46" s="12"/>
      <c r="I46" s="12"/>
      <c r="J46" s="12"/>
      <c r="K46" s="12"/>
      <c r="L46" s="12"/>
      <c r="M46" s="11"/>
    </row>
    <row r="47" spans="1:13" ht="30" customHeight="1" x14ac:dyDescent="0.3">
      <c r="A47" s="11"/>
      <c r="B47" s="11"/>
      <c r="C47" s="11"/>
      <c r="D47" s="11"/>
      <c r="E47" s="12"/>
      <c r="F47" s="12"/>
      <c r="G47" s="12"/>
      <c r="H47" s="12"/>
      <c r="I47" s="12"/>
      <c r="J47" s="12"/>
      <c r="K47" s="12"/>
      <c r="L47" s="12"/>
      <c r="M47" s="11"/>
    </row>
    <row r="48" spans="1:13" ht="30" customHeight="1" x14ac:dyDescent="0.3">
      <c r="A48" s="11"/>
      <c r="B48" s="11"/>
      <c r="C48" s="11"/>
      <c r="D48" s="11"/>
      <c r="E48" s="12"/>
      <c r="F48" s="12"/>
      <c r="G48" s="12"/>
      <c r="H48" s="12"/>
      <c r="I48" s="12"/>
      <c r="J48" s="12"/>
      <c r="K48" s="12"/>
      <c r="L48" s="12"/>
      <c r="M48" s="11"/>
    </row>
    <row r="49" spans="1:50" ht="30" customHeight="1" x14ac:dyDescent="0.3">
      <c r="A49" s="11"/>
      <c r="B49" s="11"/>
      <c r="C49" s="11"/>
      <c r="D49" s="11"/>
      <c r="E49" s="12"/>
      <c r="F49" s="12"/>
      <c r="G49" s="12"/>
      <c r="H49" s="12"/>
      <c r="I49" s="12"/>
      <c r="J49" s="12"/>
      <c r="K49" s="12"/>
      <c r="L49" s="12"/>
      <c r="M49" s="11"/>
    </row>
    <row r="50" spans="1:50" ht="30" customHeight="1" x14ac:dyDescent="0.3">
      <c r="A50" s="11"/>
      <c r="B50" s="11"/>
      <c r="C50" s="11"/>
      <c r="D50" s="11"/>
      <c r="E50" s="12"/>
      <c r="F50" s="12"/>
      <c r="G50" s="12"/>
      <c r="H50" s="12"/>
      <c r="I50" s="12"/>
      <c r="J50" s="12"/>
      <c r="K50" s="12"/>
      <c r="L50" s="12"/>
      <c r="M50" s="11"/>
    </row>
    <row r="51" spans="1:50" ht="30" customHeight="1" x14ac:dyDescent="0.3">
      <c r="A51" s="11"/>
      <c r="B51" s="11"/>
      <c r="C51" s="11"/>
      <c r="D51" s="11"/>
      <c r="E51" s="12"/>
      <c r="F51" s="12"/>
      <c r="G51" s="12"/>
      <c r="H51" s="12"/>
      <c r="I51" s="12"/>
      <c r="J51" s="12"/>
      <c r="K51" s="12"/>
      <c r="L51" s="12"/>
      <c r="M51" s="11"/>
    </row>
    <row r="52" spans="1:50" ht="30" customHeight="1" x14ac:dyDescent="0.3">
      <c r="A52" s="11"/>
      <c r="B52" s="11"/>
      <c r="C52" s="11"/>
      <c r="D52" s="11"/>
      <c r="E52" s="12"/>
      <c r="F52" s="12"/>
      <c r="G52" s="12"/>
      <c r="H52" s="12"/>
      <c r="I52" s="12"/>
      <c r="J52" s="12"/>
      <c r="K52" s="12"/>
      <c r="L52" s="12"/>
      <c r="M52" s="11"/>
    </row>
    <row r="53" spans="1:50" ht="30" customHeight="1" x14ac:dyDescent="0.3">
      <c r="A53" s="52" t="s">
        <v>65</v>
      </c>
      <c r="B53" s="53"/>
      <c r="C53" s="53"/>
      <c r="D53" s="53"/>
      <c r="E53" s="54"/>
      <c r="F53" s="54">
        <f>SUM(F30:F52)</f>
        <v>0</v>
      </c>
      <c r="G53" s="54"/>
      <c r="H53" s="54">
        <f>SUM(H30:H52)</f>
        <v>1128960</v>
      </c>
      <c r="I53" s="54"/>
      <c r="J53" s="54">
        <f>SUMIF(Q30:Q52,"010103",J30:J52)</f>
        <v>0</v>
      </c>
      <c r="K53" s="54">
        <f>SUM(K30:K52)</f>
        <v>230912</v>
      </c>
      <c r="L53" s="54">
        <f>SUM(L30:L52)</f>
        <v>1128960</v>
      </c>
      <c r="M53" s="53"/>
      <c r="N53" t="s">
        <v>66</v>
      </c>
    </row>
    <row r="54" spans="1:50" ht="30" customHeight="1" x14ac:dyDescent="0.3">
      <c r="A54" s="55" t="s">
        <v>496</v>
      </c>
      <c r="B54" s="55" t="s">
        <v>51</v>
      </c>
      <c r="C54" s="56"/>
      <c r="D54" s="56"/>
      <c r="E54" s="57"/>
      <c r="F54" s="57"/>
      <c r="G54" s="57"/>
      <c r="H54" s="57"/>
      <c r="I54" s="57"/>
      <c r="J54" s="57"/>
      <c r="K54" s="57"/>
      <c r="L54" s="57"/>
      <c r="M54" s="56"/>
      <c r="Q54" s="1" t="s">
        <v>73</v>
      </c>
    </row>
    <row r="55" spans="1:50" ht="30" customHeight="1" x14ac:dyDescent="0.3">
      <c r="A55" s="13" t="s">
        <v>74</v>
      </c>
      <c r="B55" s="13" t="s">
        <v>494</v>
      </c>
      <c r="C55" s="13" t="s">
        <v>76</v>
      </c>
      <c r="D55" s="11">
        <v>9</v>
      </c>
      <c r="E55" s="12">
        <f>TRUNC(일위대가목록!E6,0)</f>
        <v>474000</v>
      </c>
      <c r="F55" s="12">
        <f t="shared" ref="F55:F61" si="4">TRUNC(E55*D55, 0)</f>
        <v>4266000</v>
      </c>
      <c r="G55" s="12">
        <f>TRUNC(일위대가목록!F6,0)</f>
        <v>74889</v>
      </c>
      <c r="H55" s="12">
        <f t="shared" ref="H55:H61" si="5">TRUNC(G55*D55, 0)</f>
        <v>674001</v>
      </c>
      <c r="I55" s="12">
        <f>TRUNC(일위대가목록!G6,0)</f>
        <v>2246</v>
      </c>
      <c r="J55" s="12">
        <f t="shared" ref="J55:J61" si="6">TRUNC(I55*D55, 0)</f>
        <v>20214</v>
      </c>
      <c r="K55" s="12">
        <f t="shared" ref="K55:K60" si="7">TRUNC(E55+G55+I55, 0)</f>
        <v>551135</v>
      </c>
      <c r="L55" s="12">
        <f t="shared" ref="L55:L60" si="8">TRUNC(F55+H55+J55, 0)</f>
        <v>4960215</v>
      </c>
      <c r="M55" s="13" t="s">
        <v>51</v>
      </c>
      <c r="N55" s="1" t="s">
        <v>77</v>
      </c>
      <c r="O55" s="1" t="s">
        <v>51</v>
      </c>
      <c r="P55" s="1" t="s">
        <v>51</v>
      </c>
      <c r="Q55" s="1" t="s">
        <v>73</v>
      </c>
      <c r="R55" s="1" t="s">
        <v>58</v>
      </c>
      <c r="S55" s="1" t="s">
        <v>59</v>
      </c>
      <c r="T55" s="1" t="s">
        <v>59</v>
      </c>
      <c r="AR55" s="1" t="s">
        <v>51</v>
      </c>
      <c r="AS55" s="1" t="s">
        <v>51</v>
      </c>
      <c r="AU55" s="1" t="s">
        <v>78</v>
      </c>
      <c r="AV55">
        <v>2940</v>
      </c>
    </row>
    <row r="56" spans="1:50" ht="30" customHeight="1" x14ac:dyDescent="0.3">
      <c r="A56" s="13" t="s">
        <v>79</v>
      </c>
      <c r="B56" s="13" t="s">
        <v>80</v>
      </c>
      <c r="C56" s="13" t="s">
        <v>81</v>
      </c>
      <c r="D56" s="11">
        <v>9</v>
      </c>
      <c r="E56" s="12">
        <f>TRUNC(단가대비표!O6,0)</f>
        <v>100000</v>
      </c>
      <c r="F56" s="12">
        <f t="shared" si="4"/>
        <v>900000</v>
      </c>
      <c r="G56" s="12">
        <f>TRUNC(단가대비표!P6,0)</f>
        <v>0</v>
      </c>
      <c r="H56" s="12">
        <f t="shared" si="5"/>
        <v>0</v>
      </c>
      <c r="I56" s="12">
        <f>TRUNC(단가대비표!V6,0)</f>
        <v>0</v>
      </c>
      <c r="J56" s="12">
        <f t="shared" si="6"/>
        <v>0</v>
      </c>
      <c r="K56" s="12">
        <f t="shared" si="7"/>
        <v>100000</v>
      </c>
      <c r="L56" s="12">
        <f t="shared" si="8"/>
        <v>900000</v>
      </c>
      <c r="M56" s="13" t="s">
        <v>51</v>
      </c>
      <c r="N56" s="1" t="s">
        <v>82</v>
      </c>
      <c r="O56" s="1" t="s">
        <v>51</v>
      </c>
      <c r="P56" s="1" t="s">
        <v>51</v>
      </c>
      <c r="Q56" s="1" t="s">
        <v>73</v>
      </c>
      <c r="R56" s="1" t="s">
        <v>59</v>
      </c>
      <c r="S56" s="1" t="s">
        <v>59</v>
      </c>
      <c r="T56" s="1" t="s">
        <v>58</v>
      </c>
      <c r="AR56" s="1" t="s">
        <v>51</v>
      </c>
      <c r="AS56" s="1" t="s">
        <v>51</v>
      </c>
      <c r="AU56" s="1" t="s">
        <v>83</v>
      </c>
      <c r="AV56">
        <v>2936</v>
      </c>
    </row>
    <row r="57" spans="1:50" ht="30" customHeight="1" x14ac:dyDescent="0.3">
      <c r="A57" s="13" t="s">
        <v>84</v>
      </c>
      <c r="B57" s="13" t="s">
        <v>85</v>
      </c>
      <c r="C57" s="13" t="s">
        <v>76</v>
      </c>
      <c r="D57" s="11">
        <v>18</v>
      </c>
      <c r="E57" s="12">
        <f>TRUNC(일위대가목록!E8,0)</f>
        <v>0</v>
      </c>
      <c r="F57" s="12">
        <f t="shared" si="4"/>
        <v>0</v>
      </c>
      <c r="G57" s="12">
        <f>TRUNC(일위대가목록!F8,0)</f>
        <v>20622</v>
      </c>
      <c r="H57" s="12">
        <f t="shared" si="5"/>
        <v>371196</v>
      </c>
      <c r="I57" s="12">
        <f>TRUNC(일위대가목록!G8,0)</f>
        <v>412</v>
      </c>
      <c r="J57" s="12">
        <f t="shared" si="6"/>
        <v>7416</v>
      </c>
      <c r="K57" s="12">
        <f t="shared" si="7"/>
        <v>21034</v>
      </c>
      <c r="L57" s="12">
        <f t="shared" si="8"/>
        <v>378612</v>
      </c>
      <c r="M57" s="13" t="s">
        <v>51</v>
      </c>
      <c r="N57" s="1" t="s">
        <v>86</v>
      </c>
      <c r="O57" s="1" t="s">
        <v>51</v>
      </c>
      <c r="P57" s="1" t="s">
        <v>51</v>
      </c>
      <c r="Q57" s="1" t="s">
        <v>73</v>
      </c>
      <c r="R57" s="1" t="s">
        <v>58</v>
      </c>
      <c r="S57" s="1" t="s">
        <v>59</v>
      </c>
      <c r="T57" s="1" t="s">
        <v>59</v>
      </c>
      <c r="AR57" s="1" t="s">
        <v>51</v>
      </c>
      <c r="AS57" s="1" t="s">
        <v>51</v>
      </c>
      <c r="AU57" s="1" t="s">
        <v>87</v>
      </c>
      <c r="AV57">
        <v>2888</v>
      </c>
    </row>
    <row r="58" spans="1:50" ht="30" customHeight="1" x14ac:dyDescent="0.3">
      <c r="A58" s="13" t="s">
        <v>88</v>
      </c>
      <c r="B58" s="13" t="s">
        <v>89</v>
      </c>
      <c r="C58" s="13" t="s">
        <v>81</v>
      </c>
      <c r="D58" s="11">
        <v>9</v>
      </c>
      <c r="E58" s="12">
        <f>TRUNC(단가대비표!O9,0)</f>
        <v>70000</v>
      </c>
      <c r="F58" s="12">
        <f t="shared" si="4"/>
        <v>630000</v>
      </c>
      <c r="G58" s="12">
        <f>TRUNC(단가대비표!P9,0)</f>
        <v>0</v>
      </c>
      <c r="H58" s="12">
        <f t="shared" si="5"/>
        <v>0</v>
      </c>
      <c r="I58" s="12">
        <f>TRUNC(단가대비표!V9,0)</f>
        <v>0</v>
      </c>
      <c r="J58" s="12">
        <f t="shared" si="6"/>
        <v>0</v>
      </c>
      <c r="K58" s="12">
        <f t="shared" si="7"/>
        <v>70000</v>
      </c>
      <c r="L58" s="12">
        <f t="shared" si="8"/>
        <v>630000</v>
      </c>
      <c r="M58" s="13" t="s">
        <v>51</v>
      </c>
      <c r="N58" s="1" t="s">
        <v>90</v>
      </c>
      <c r="O58" s="1" t="s">
        <v>51</v>
      </c>
      <c r="P58" s="1" t="s">
        <v>51</v>
      </c>
      <c r="Q58" s="1" t="s">
        <v>73</v>
      </c>
      <c r="R58" s="1" t="s">
        <v>59</v>
      </c>
      <c r="S58" s="1" t="s">
        <v>59</v>
      </c>
      <c r="T58" s="1" t="s">
        <v>58</v>
      </c>
      <c r="AR58" s="1" t="s">
        <v>51</v>
      </c>
      <c r="AS58" s="1" t="s">
        <v>51</v>
      </c>
      <c r="AU58" s="1" t="s">
        <v>91</v>
      </c>
      <c r="AV58">
        <v>2937</v>
      </c>
    </row>
    <row r="59" spans="1:50" ht="30" customHeight="1" x14ac:dyDescent="0.3">
      <c r="A59" s="74" t="s">
        <v>92</v>
      </c>
      <c r="B59" s="74" t="s">
        <v>93</v>
      </c>
      <c r="C59" s="74" t="s">
        <v>81</v>
      </c>
      <c r="D59" s="75">
        <v>9</v>
      </c>
      <c r="E59" s="76">
        <f>TRUNC(단가대비표!O12,0)</f>
        <v>194000</v>
      </c>
      <c r="F59" s="76">
        <f t="shared" si="4"/>
        <v>1746000</v>
      </c>
      <c r="G59" s="76">
        <f>TRUNC(단가대비표!P12,0)</f>
        <v>0</v>
      </c>
      <c r="H59" s="76">
        <f t="shared" si="5"/>
        <v>0</v>
      </c>
      <c r="I59" s="76">
        <f>TRUNC(단가대비표!V12,0)</f>
        <v>0</v>
      </c>
      <c r="J59" s="76">
        <f t="shared" si="6"/>
        <v>0</v>
      </c>
      <c r="K59" s="76">
        <f t="shared" si="7"/>
        <v>194000</v>
      </c>
      <c r="L59" s="76">
        <f t="shared" si="8"/>
        <v>1746000</v>
      </c>
      <c r="M59" s="74" t="s">
        <v>51</v>
      </c>
      <c r="N59" s="1" t="s">
        <v>94</v>
      </c>
      <c r="O59" s="1" t="s">
        <v>51</v>
      </c>
      <c r="P59" s="1" t="s">
        <v>51</v>
      </c>
      <c r="Q59" s="1" t="s">
        <v>73</v>
      </c>
      <c r="R59" s="1" t="s">
        <v>59</v>
      </c>
      <c r="S59" s="1" t="s">
        <v>59</v>
      </c>
      <c r="T59" s="1" t="s">
        <v>58</v>
      </c>
      <c r="AR59" s="1" t="s">
        <v>51</v>
      </c>
      <c r="AS59" s="1" t="s">
        <v>51</v>
      </c>
      <c r="AU59" s="1" t="s">
        <v>95</v>
      </c>
      <c r="AV59">
        <v>2938</v>
      </c>
    </row>
    <row r="60" spans="1:50" ht="30" customHeight="1" x14ac:dyDescent="0.3">
      <c r="A60" s="13" t="s">
        <v>96</v>
      </c>
      <c r="B60" s="13" t="s">
        <v>85</v>
      </c>
      <c r="C60" s="13" t="s">
        <v>76</v>
      </c>
      <c r="D60" s="11">
        <v>9</v>
      </c>
      <c r="E60" s="12">
        <f>TRUNC(일위대가목록!E9,0)</f>
        <v>0</v>
      </c>
      <c r="F60" s="12">
        <f t="shared" si="4"/>
        <v>0</v>
      </c>
      <c r="G60" s="12">
        <f>TRUNC(일위대가목록!F9,0)</f>
        <v>10710</v>
      </c>
      <c r="H60" s="12">
        <f t="shared" si="5"/>
        <v>96390</v>
      </c>
      <c r="I60" s="12">
        <f>TRUNC(일위대가목록!G9,0)</f>
        <v>214</v>
      </c>
      <c r="J60" s="12">
        <f t="shared" si="6"/>
        <v>1926</v>
      </c>
      <c r="K60" s="12">
        <f t="shared" si="7"/>
        <v>10924</v>
      </c>
      <c r="L60" s="12">
        <f t="shared" si="8"/>
        <v>98316</v>
      </c>
      <c r="M60" s="13" t="s">
        <v>51</v>
      </c>
      <c r="N60" s="1" t="s">
        <v>97</v>
      </c>
      <c r="O60" s="1" t="s">
        <v>51</v>
      </c>
      <c r="P60" s="1" t="s">
        <v>51</v>
      </c>
      <c r="Q60" s="1" t="s">
        <v>73</v>
      </c>
      <c r="R60" s="1" t="s">
        <v>58</v>
      </c>
      <c r="S60" s="1" t="s">
        <v>59</v>
      </c>
      <c r="T60" s="1" t="s">
        <v>59</v>
      </c>
      <c r="AR60" s="1" t="s">
        <v>51</v>
      </c>
      <c r="AS60" s="1" t="s">
        <v>51</v>
      </c>
      <c r="AU60" s="1" t="s">
        <v>98</v>
      </c>
      <c r="AV60">
        <v>2939</v>
      </c>
    </row>
    <row r="61" spans="1:50" ht="30" customHeight="1" x14ac:dyDescent="0.3">
      <c r="A61" s="37" t="s">
        <v>466</v>
      </c>
      <c r="B61" s="37" t="s">
        <v>467</v>
      </c>
      <c r="C61" s="37" t="s">
        <v>468</v>
      </c>
      <c r="D61" s="38">
        <v>9</v>
      </c>
      <c r="E61" s="35">
        <f>일위대가목록!E7</f>
        <v>186100</v>
      </c>
      <c r="F61" s="12">
        <f t="shared" si="4"/>
        <v>1674900</v>
      </c>
      <c r="G61" s="35">
        <f>일위대가목록!F13</f>
        <v>74889</v>
      </c>
      <c r="H61" s="12">
        <f t="shared" si="5"/>
        <v>674001</v>
      </c>
      <c r="I61" s="35">
        <f>일위대가목록!G13</f>
        <v>2246</v>
      </c>
      <c r="J61" s="12">
        <f t="shared" si="6"/>
        <v>20214</v>
      </c>
      <c r="K61" s="12">
        <f t="shared" ref="K61:K62" si="9">TRUNC(E61+G61+I61, 0)</f>
        <v>263235</v>
      </c>
      <c r="L61" s="12">
        <f t="shared" ref="L61:L62" si="10">TRUNC(F61+H61+J61, 0)</f>
        <v>2369115</v>
      </c>
      <c r="M61" s="36"/>
      <c r="N61" s="33"/>
      <c r="O61" s="33"/>
      <c r="P61" s="33"/>
      <c r="Q61" s="33"/>
      <c r="R61" s="33"/>
      <c r="S61" s="33"/>
      <c r="T61" s="33"/>
      <c r="AR61" s="33"/>
      <c r="AS61" s="33"/>
      <c r="AU61" s="33"/>
    </row>
    <row r="62" spans="1:50" ht="30" customHeight="1" x14ac:dyDescent="0.3">
      <c r="A62" s="36" t="s">
        <v>478</v>
      </c>
      <c r="B62" s="36" t="s">
        <v>479</v>
      </c>
      <c r="C62" s="36" t="s">
        <v>480</v>
      </c>
      <c r="D62" s="21">
        <v>1</v>
      </c>
      <c r="E62" s="35"/>
      <c r="F62" s="35"/>
      <c r="G62" s="35">
        <f>SUM(H55:H61)*0.25</f>
        <v>453897</v>
      </c>
      <c r="H62" s="35">
        <f>TRUNC(G62*D62, 0)</f>
        <v>453897</v>
      </c>
      <c r="I62" s="35"/>
      <c r="J62" s="35"/>
      <c r="K62" s="12">
        <f t="shared" si="9"/>
        <v>453897</v>
      </c>
      <c r="L62" s="12">
        <f t="shared" si="10"/>
        <v>453897</v>
      </c>
      <c r="M62" s="36"/>
      <c r="N62" s="33"/>
      <c r="O62" s="33"/>
      <c r="P62" s="33"/>
      <c r="Q62" s="33"/>
      <c r="R62" s="33"/>
      <c r="S62" s="33"/>
      <c r="T62" s="33"/>
      <c r="AR62" s="33"/>
      <c r="AS62" s="33"/>
      <c r="AU62" s="33"/>
      <c r="AX62" s="8"/>
    </row>
    <row r="63" spans="1:50" ht="30" customHeight="1" x14ac:dyDescent="0.3">
      <c r="A63" s="77"/>
      <c r="B63" s="77"/>
      <c r="C63" s="77"/>
      <c r="D63" s="78"/>
      <c r="E63" s="79"/>
      <c r="F63" s="79"/>
      <c r="G63" s="79"/>
      <c r="H63" s="79"/>
      <c r="I63" s="79"/>
      <c r="J63" s="79"/>
      <c r="K63" s="79"/>
      <c r="L63" s="79"/>
      <c r="M63" s="77"/>
      <c r="N63" s="33"/>
      <c r="O63" s="33"/>
      <c r="P63" s="33"/>
      <c r="Q63" s="33"/>
      <c r="R63" s="33"/>
      <c r="S63" s="33"/>
      <c r="T63" s="33"/>
      <c r="AR63" s="33"/>
      <c r="AS63" s="33"/>
      <c r="AU63" s="33"/>
    </row>
    <row r="64" spans="1:50" ht="30" customHeight="1" x14ac:dyDescent="0.3">
      <c r="A64" s="36"/>
      <c r="B64" s="36"/>
      <c r="C64" s="36"/>
      <c r="D64" s="21"/>
      <c r="E64" s="35"/>
      <c r="F64" s="35"/>
      <c r="G64" s="35"/>
      <c r="H64" s="35"/>
      <c r="I64" s="35"/>
      <c r="J64" s="35"/>
      <c r="K64" s="35"/>
      <c r="L64" s="35"/>
      <c r="M64" s="36"/>
      <c r="N64" s="33"/>
      <c r="O64" s="33"/>
      <c r="P64" s="33"/>
      <c r="Q64" s="33"/>
      <c r="R64" s="33"/>
      <c r="S64" s="33"/>
      <c r="T64" s="33"/>
      <c r="AR64" s="33"/>
      <c r="AS64" s="33"/>
      <c r="AU64" s="33"/>
    </row>
    <row r="65" spans="1:48" ht="30" customHeight="1" x14ac:dyDescent="0.3">
      <c r="A65" s="36"/>
      <c r="B65" s="36"/>
      <c r="C65" s="36"/>
      <c r="D65" s="21"/>
      <c r="E65" s="35"/>
      <c r="F65" s="35"/>
      <c r="G65" s="35"/>
      <c r="H65" s="35"/>
      <c r="I65" s="35"/>
      <c r="J65" s="35"/>
      <c r="K65" s="35"/>
      <c r="L65" s="35"/>
      <c r="M65" s="36"/>
      <c r="N65" s="33"/>
      <c r="O65" s="33"/>
      <c r="P65" s="33"/>
      <c r="Q65" s="33"/>
      <c r="R65" s="33"/>
      <c r="S65" s="33"/>
      <c r="T65" s="33"/>
      <c r="AR65" s="33"/>
      <c r="AS65" s="33"/>
      <c r="AU65" s="33"/>
    </row>
    <row r="66" spans="1:48" ht="30" customHeight="1" x14ac:dyDescent="0.3">
      <c r="A66" s="13"/>
      <c r="B66" s="13"/>
      <c r="C66" s="13"/>
      <c r="D66" s="11"/>
      <c r="E66" s="12"/>
      <c r="F66" s="12"/>
      <c r="G66" s="12"/>
      <c r="H66" s="12"/>
      <c r="I66" s="12"/>
      <c r="J66" s="12"/>
      <c r="K66" s="12"/>
      <c r="L66" s="12"/>
      <c r="M66" s="13"/>
      <c r="N66" s="1"/>
      <c r="O66" s="1"/>
      <c r="P66" s="1"/>
      <c r="Q66" s="1"/>
      <c r="R66" s="1"/>
      <c r="S66" s="1"/>
      <c r="T66" s="1"/>
      <c r="AR66" s="1"/>
      <c r="AS66" s="1"/>
      <c r="AU66" s="1"/>
    </row>
    <row r="67" spans="1:48" ht="30" customHeight="1" x14ac:dyDescent="0.3">
      <c r="A67" s="13"/>
      <c r="B67" s="13"/>
      <c r="C67" s="13"/>
      <c r="D67" s="11"/>
      <c r="E67" s="12"/>
      <c r="F67" s="12"/>
      <c r="G67" s="12"/>
      <c r="H67" s="12"/>
      <c r="I67" s="12"/>
      <c r="J67" s="12"/>
      <c r="K67" s="12"/>
      <c r="L67" s="12"/>
      <c r="M67" s="13"/>
      <c r="N67" s="1"/>
      <c r="O67" s="1"/>
      <c r="P67" s="1"/>
      <c r="Q67" s="1"/>
      <c r="R67" s="1"/>
      <c r="S67" s="1"/>
      <c r="T67" s="1"/>
      <c r="AR67" s="1"/>
      <c r="AS67" s="1"/>
      <c r="AU67" s="1"/>
    </row>
    <row r="68" spans="1:48" ht="30" customHeight="1" x14ac:dyDescent="0.3">
      <c r="A68" s="13"/>
      <c r="B68" s="13"/>
      <c r="C68" s="13"/>
      <c r="D68" s="11"/>
      <c r="E68" s="12"/>
      <c r="F68" s="12"/>
      <c r="G68" s="12"/>
      <c r="H68" s="12"/>
      <c r="I68" s="12"/>
      <c r="J68" s="12"/>
      <c r="K68" s="12"/>
      <c r="L68" s="12"/>
      <c r="M68" s="13"/>
      <c r="N68" s="1"/>
      <c r="O68" s="1"/>
      <c r="P68" s="1"/>
      <c r="Q68" s="1"/>
      <c r="R68" s="1"/>
      <c r="S68" s="1"/>
      <c r="T68" s="1"/>
      <c r="AR68" s="1"/>
      <c r="AS68" s="1"/>
      <c r="AU68" s="1"/>
    </row>
    <row r="69" spans="1:48" ht="30" customHeight="1" x14ac:dyDescent="0.3">
      <c r="A69" s="13"/>
      <c r="B69" s="13"/>
      <c r="C69" s="13"/>
      <c r="D69" s="11"/>
      <c r="E69" s="12"/>
      <c r="F69" s="12"/>
      <c r="G69" s="12"/>
      <c r="H69" s="12"/>
      <c r="I69" s="12"/>
      <c r="J69" s="12"/>
      <c r="K69" s="12"/>
      <c r="L69" s="12"/>
      <c r="M69" s="13"/>
      <c r="N69" s="1"/>
      <c r="O69" s="1"/>
      <c r="P69" s="1"/>
      <c r="Q69" s="1"/>
      <c r="R69" s="1"/>
      <c r="S69" s="1"/>
      <c r="T69" s="1"/>
      <c r="AR69" s="1"/>
      <c r="AS69" s="1"/>
      <c r="AU69" s="1"/>
    </row>
    <row r="70" spans="1:48" ht="30" customHeight="1" x14ac:dyDescent="0.3">
      <c r="A70" s="11"/>
      <c r="B70" s="11"/>
      <c r="C70" s="11"/>
      <c r="D70" s="11"/>
      <c r="E70" s="12"/>
      <c r="F70" s="12"/>
      <c r="G70" s="12"/>
      <c r="H70" s="12"/>
      <c r="I70" s="12"/>
      <c r="J70" s="12"/>
      <c r="K70" s="12"/>
      <c r="L70" s="12"/>
      <c r="M70" s="11"/>
    </row>
    <row r="71" spans="1:48" ht="30" customHeight="1" x14ac:dyDescent="0.3">
      <c r="A71" s="11"/>
      <c r="B71" s="11"/>
      <c r="C71" s="11"/>
      <c r="D71" s="11"/>
      <c r="E71" s="12"/>
      <c r="F71" s="12"/>
      <c r="G71" s="12"/>
      <c r="H71" s="12"/>
      <c r="I71" s="12"/>
      <c r="J71" s="12"/>
      <c r="K71" s="12"/>
      <c r="L71" s="12"/>
      <c r="M71" s="11"/>
    </row>
    <row r="72" spans="1:48" ht="30" customHeight="1" x14ac:dyDescent="0.3">
      <c r="A72" s="11"/>
      <c r="B72" s="11"/>
      <c r="C72" s="11"/>
      <c r="D72" s="11"/>
      <c r="E72" s="12"/>
      <c r="F72" s="12"/>
      <c r="G72" s="12"/>
      <c r="H72" s="12"/>
      <c r="I72" s="12"/>
      <c r="J72" s="12"/>
      <c r="K72" s="12"/>
      <c r="L72" s="12"/>
      <c r="M72" s="11"/>
    </row>
    <row r="73" spans="1:48" ht="30" customHeight="1" x14ac:dyDescent="0.3">
      <c r="A73" s="11"/>
      <c r="B73" s="11"/>
      <c r="C73" s="11"/>
      <c r="D73" s="11"/>
      <c r="E73" s="12"/>
      <c r="F73" s="12"/>
      <c r="G73" s="12"/>
      <c r="H73" s="12"/>
      <c r="I73" s="12"/>
      <c r="J73" s="12"/>
      <c r="K73" s="12"/>
      <c r="L73" s="12"/>
      <c r="M73" s="11"/>
    </row>
    <row r="74" spans="1:48" ht="30" customHeight="1" x14ac:dyDescent="0.3">
      <c r="A74" s="11"/>
      <c r="B74" s="11"/>
      <c r="C74" s="11"/>
      <c r="D74" s="11"/>
      <c r="E74" s="12"/>
      <c r="F74" s="12"/>
      <c r="G74" s="12"/>
      <c r="H74" s="12"/>
      <c r="I74" s="12"/>
      <c r="J74" s="12"/>
      <c r="K74" s="12"/>
      <c r="L74" s="12"/>
      <c r="M74" s="11"/>
    </row>
    <row r="75" spans="1:48" ht="30" customHeight="1" x14ac:dyDescent="0.3">
      <c r="A75" s="11"/>
      <c r="B75" s="11"/>
      <c r="C75" s="11"/>
      <c r="D75" s="11"/>
      <c r="E75" s="12"/>
      <c r="F75" s="12"/>
      <c r="G75" s="12"/>
      <c r="H75" s="12"/>
      <c r="I75" s="12"/>
      <c r="J75" s="12"/>
      <c r="K75" s="12"/>
      <c r="L75" s="12"/>
      <c r="M75" s="11"/>
    </row>
    <row r="76" spans="1:48" ht="30" customHeight="1" x14ac:dyDescent="0.3">
      <c r="A76" s="11"/>
      <c r="B76" s="11"/>
      <c r="C76" s="11"/>
      <c r="D76" s="11"/>
      <c r="E76" s="12"/>
      <c r="F76" s="12"/>
      <c r="G76" s="12"/>
      <c r="H76" s="12"/>
      <c r="I76" s="12"/>
      <c r="J76" s="12"/>
      <c r="K76" s="12"/>
      <c r="L76" s="12"/>
      <c r="M76" s="11"/>
    </row>
    <row r="77" spans="1:48" ht="30" customHeight="1" x14ac:dyDescent="0.3">
      <c r="A77" s="11"/>
      <c r="B77" s="11"/>
      <c r="C77" s="11"/>
      <c r="D77" s="11"/>
      <c r="E77" s="12"/>
      <c r="F77" s="12"/>
      <c r="G77" s="12"/>
      <c r="H77" s="12"/>
      <c r="I77" s="12"/>
      <c r="J77" s="12"/>
      <c r="K77" s="12"/>
      <c r="L77" s="12"/>
      <c r="M77" s="11"/>
    </row>
    <row r="78" spans="1:48" ht="30" customHeight="1" x14ac:dyDescent="0.3">
      <c r="A78" s="52" t="s">
        <v>65</v>
      </c>
      <c r="B78" s="53"/>
      <c r="C78" s="53"/>
      <c r="D78" s="53"/>
      <c r="E78" s="54"/>
      <c r="F78" s="54">
        <f>SUM(F55:F77)</f>
        <v>9216900</v>
      </c>
      <c r="G78" s="54"/>
      <c r="H78" s="54">
        <f>SUM(H55:H77)</f>
        <v>2269485</v>
      </c>
      <c r="I78" s="54"/>
      <c r="J78" s="54">
        <f>SUM(J55:J77)</f>
        <v>49770</v>
      </c>
      <c r="K78" s="54"/>
      <c r="L78" s="54">
        <f>SUM(L55:L77)</f>
        <v>11536155</v>
      </c>
      <c r="M78" s="53"/>
      <c r="N78" t="s">
        <v>66</v>
      </c>
    </row>
    <row r="79" spans="1:48" ht="30" customHeight="1" x14ac:dyDescent="0.3">
      <c r="A79" s="55" t="s">
        <v>497</v>
      </c>
      <c r="B79" s="55" t="s">
        <v>51</v>
      </c>
      <c r="C79" s="56"/>
      <c r="D79" s="56"/>
      <c r="E79" s="57"/>
      <c r="F79" s="57"/>
      <c r="G79" s="57"/>
      <c r="H79" s="57"/>
      <c r="I79" s="57"/>
      <c r="J79" s="57"/>
      <c r="K79" s="57"/>
      <c r="L79" s="57"/>
      <c r="M79" s="56"/>
      <c r="Q79" s="1" t="s">
        <v>111</v>
      </c>
    </row>
    <row r="80" spans="1:48" ht="30" customHeight="1" x14ac:dyDescent="0.3">
      <c r="A80" s="13" t="s">
        <v>112</v>
      </c>
      <c r="B80" s="13" t="s">
        <v>113</v>
      </c>
      <c r="C80" s="13" t="s">
        <v>76</v>
      </c>
      <c r="D80" s="11">
        <v>18</v>
      </c>
      <c r="E80" s="12">
        <f>TRUNC(일위대가목록!E11,0)</f>
        <v>631</v>
      </c>
      <c r="F80" s="12">
        <f t="shared" ref="F80:F81" si="11">TRUNC(E80*D80, 0)</f>
        <v>11358</v>
      </c>
      <c r="G80" s="12">
        <f>TRUNC(일위대가목록!F11,0)</f>
        <v>21052</v>
      </c>
      <c r="H80" s="12">
        <f t="shared" ref="H80:H81" si="12">TRUNC(G80*D80, 0)</f>
        <v>378936</v>
      </c>
      <c r="I80" s="12">
        <f>TRUNC(일위대가목록!G11,0)</f>
        <v>0</v>
      </c>
      <c r="J80" s="12">
        <f t="shared" ref="J80:J81" si="13">TRUNC(I80*D80, 0)</f>
        <v>0</v>
      </c>
      <c r="K80" s="12">
        <f t="shared" ref="K80:K82" si="14">TRUNC(E80+G80+I80, 0)</f>
        <v>21683</v>
      </c>
      <c r="L80" s="12">
        <f t="shared" ref="L80:L82" si="15">TRUNC(F80+H80+J80, 0)</f>
        <v>390294</v>
      </c>
      <c r="M80" s="13" t="s">
        <v>51</v>
      </c>
      <c r="N80" s="1" t="s">
        <v>114</v>
      </c>
      <c r="O80" s="1" t="s">
        <v>51</v>
      </c>
      <c r="P80" s="1" t="s">
        <v>51</v>
      </c>
      <c r="Q80" s="1" t="s">
        <v>111</v>
      </c>
      <c r="R80" s="1" t="s">
        <v>58</v>
      </c>
      <c r="S80" s="1" t="s">
        <v>59</v>
      </c>
      <c r="T80" s="1" t="s">
        <v>59</v>
      </c>
      <c r="AR80" s="1" t="s">
        <v>51</v>
      </c>
      <c r="AS80" s="1" t="s">
        <v>51</v>
      </c>
      <c r="AU80" s="1" t="s">
        <v>115</v>
      </c>
      <c r="AV80">
        <v>2965</v>
      </c>
    </row>
    <row r="81" spans="1:48" ht="30" customHeight="1" x14ac:dyDescent="0.3">
      <c r="A81" s="13" t="s">
        <v>116</v>
      </c>
      <c r="B81" s="13" t="s">
        <v>117</v>
      </c>
      <c r="C81" s="13" t="s">
        <v>118</v>
      </c>
      <c r="D81" s="11">
        <f>-34*18</f>
        <v>-612</v>
      </c>
      <c r="E81" s="12">
        <f>TRUNC(단가대비표!O5,0)</f>
        <v>360</v>
      </c>
      <c r="F81" s="12">
        <f t="shared" si="11"/>
        <v>-220320</v>
      </c>
      <c r="G81" s="12">
        <f>TRUNC(단가대비표!P5,0)</f>
        <v>0</v>
      </c>
      <c r="H81" s="12">
        <f t="shared" si="12"/>
        <v>0</v>
      </c>
      <c r="I81" s="12">
        <f>TRUNC(단가대비표!V5,0)</f>
        <v>0</v>
      </c>
      <c r="J81" s="12">
        <f t="shared" si="13"/>
        <v>0</v>
      </c>
      <c r="K81" s="12">
        <f t="shared" si="14"/>
        <v>360</v>
      </c>
      <c r="L81" s="12">
        <f t="shared" si="15"/>
        <v>-220320</v>
      </c>
      <c r="M81" s="13" t="s">
        <v>119</v>
      </c>
      <c r="N81" s="1" t="s">
        <v>120</v>
      </c>
      <c r="O81" s="1" t="s">
        <v>51</v>
      </c>
      <c r="P81" s="1" t="s">
        <v>51</v>
      </c>
      <c r="Q81" s="1" t="s">
        <v>111</v>
      </c>
      <c r="R81" s="1" t="s">
        <v>59</v>
      </c>
      <c r="S81" s="1" t="s">
        <v>59</v>
      </c>
      <c r="T81" s="1" t="s">
        <v>58</v>
      </c>
      <c r="AR81" s="1" t="s">
        <v>51</v>
      </c>
      <c r="AS81" s="1" t="s">
        <v>51</v>
      </c>
      <c r="AU81" s="1" t="s">
        <v>121</v>
      </c>
      <c r="AV81">
        <v>2971</v>
      </c>
    </row>
    <row r="82" spans="1:48" ht="30" customHeight="1" x14ac:dyDescent="0.3">
      <c r="A82" s="36" t="s">
        <v>478</v>
      </c>
      <c r="B82" s="36" t="s">
        <v>479</v>
      </c>
      <c r="C82" s="36" t="s">
        <v>480</v>
      </c>
      <c r="D82" s="21">
        <v>1</v>
      </c>
      <c r="E82" s="35"/>
      <c r="F82" s="35"/>
      <c r="G82" s="35">
        <f>SUM(H80:H81)*0.25</f>
        <v>94734</v>
      </c>
      <c r="H82" s="35">
        <f>TRUNC(G82*D82, 0)</f>
        <v>94734</v>
      </c>
      <c r="I82" s="35"/>
      <c r="J82" s="35"/>
      <c r="K82" s="12">
        <f t="shared" si="14"/>
        <v>94734</v>
      </c>
      <c r="L82" s="12">
        <f t="shared" si="15"/>
        <v>94734</v>
      </c>
      <c r="M82" s="36"/>
      <c r="N82" s="33"/>
      <c r="O82" s="33"/>
      <c r="P82" s="33"/>
      <c r="Q82" s="33"/>
      <c r="R82" s="33"/>
      <c r="S82" s="33"/>
      <c r="T82" s="33"/>
      <c r="AR82" s="33"/>
      <c r="AS82" s="33"/>
      <c r="AU82" s="33"/>
    </row>
    <row r="83" spans="1:48" ht="30" customHeight="1" x14ac:dyDescent="0.3">
      <c r="A83" s="36"/>
      <c r="B83" s="36"/>
      <c r="C83" s="36"/>
      <c r="D83" s="21"/>
      <c r="E83" s="35"/>
      <c r="F83" s="35"/>
      <c r="G83" s="35"/>
      <c r="H83" s="35"/>
      <c r="I83" s="35"/>
      <c r="J83" s="35"/>
      <c r="K83" s="35"/>
      <c r="L83" s="35"/>
      <c r="M83" s="36"/>
      <c r="N83" s="33"/>
      <c r="O83" s="33"/>
      <c r="P83" s="33"/>
      <c r="Q83" s="33"/>
      <c r="R83" s="33"/>
      <c r="S83" s="33"/>
      <c r="T83" s="33"/>
      <c r="AR83" s="33"/>
      <c r="AS83" s="33"/>
      <c r="AU83" s="33"/>
    </row>
    <row r="84" spans="1:48" ht="30" customHeight="1" x14ac:dyDescent="0.3">
      <c r="A84" s="36"/>
      <c r="B84" s="36"/>
      <c r="C84" s="36"/>
      <c r="D84" s="21"/>
      <c r="E84" s="35"/>
      <c r="F84" s="35"/>
      <c r="G84" s="35"/>
      <c r="H84" s="35"/>
      <c r="I84" s="35"/>
      <c r="J84" s="35"/>
      <c r="K84" s="35"/>
      <c r="L84" s="35"/>
      <c r="M84" s="36"/>
      <c r="N84" s="33"/>
      <c r="O84" s="33"/>
      <c r="P84" s="33"/>
      <c r="Q84" s="33"/>
      <c r="R84" s="33"/>
      <c r="S84" s="33"/>
      <c r="T84" s="33"/>
      <c r="AR84" s="33"/>
      <c r="AS84" s="33"/>
      <c r="AU84" s="33"/>
    </row>
    <row r="85" spans="1:48" ht="30" customHeight="1" x14ac:dyDescent="0.3">
      <c r="A85" s="36"/>
      <c r="B85" s="36"/>
      <c r="C85" s="36"/>
      <c r="D85" s="21"/>
      <c r="E85" s="35"/>
      <c r="F85" s="35"/>
      <c r="G85" s="35"/>
      <c r="H85" s="35"/>
      <c r="I85" s="35"/>
      <c r="J85" s="35"/>
      <c r="K85" s="35"/>
      <c r="L85" s="35"/>
      <c r="M85" s="36"/>
      <c r="N85" s="33"/>
      <c r="O85" s="33"/>
      <c r="P85" s="33"/>
      <c r="Q85" s="33"/>
      <c r="R85" s="33"/>
      <c r="S85" s="33"/>
      <c r="T85" s="33"/>
      <c r="AR85" s="33"/>
      <c r="AS85" s="33"/>
      <c r="AU85" s="33"/>
    </row>
    <row r="86" spans="1:48" ht="30" customHeight="1" x14ac:dyDescent="0.3">
      <c r="A86" s="36"/>
      <c r="B86" s="36"/>
      <c r="C86" s="36"/>
      <c r="D86" s="21"/>
      <c r="E86" s="35"/>
      <c r="F86" s="35"/>
      <c r="G86" s="35"/>
      <c r="H86" s="35"/>
      <c r="I86" s="35"/>
      <c r="J86" s="35"/>
      <c r="K86" s="35"/>
      <c r="L86" s="35"/>
      <c r="M86" s="36"/>
      <c r="N86" s="33"/>
      <c r="O86" s="33"/>
      <c r="P86" s="33"/>
      <c r="Q86" s="33"/>
      <c r="R86" s="33"/>
      <c r="S86" s="33"/>
      <c r="T86" s="33"/>
      <c r="AR86" s="33"/>
      <c r="AS86" s="33"/>
      <c r="AU86" s="33"/>
    </row>
    <row r="87" spans="1:48" ht="30" customHeight="1" x14ac:dyDescent="0.3">
      <c r="A87" s="36"/>
      <c r="B87" s="36"/>
      <c r="C87" s="36"/>
      <c r="D87" s="21"/>
      <c r="E87" s="35"/>
      <c r="F87" s="35"/>
      <c r="G87" s="35"/>
      <c r="H87" s="35"/>
      <c r="I87" s="35"/>
      <c r="J87" s="35"/>
      <c r="K87" s="35"/>
      <c r="L87" s="35"/>
      <c r="M87" s="36"/>
      <c r="N87" s="33"/>
      <c r="O87" s="33"/>
      <c r="P87" s="33"/>
      <c r="Q87" s="33"/>
      <c r="R87" s="33"/>
      <c r="S87" s="33"/>
      <c r="T87" s="33"/>
      <c r="AR87" s="33"/>
      <c r="AS87" s="33"/>
      <c r="AU87" s="33"/>
    </row>
    <row r="88" spans="1:48" ht="30" customHeight="1" x14ac:dyDescent="0.3">
      <c r="A88" s="36"/>
      <c r="B88" s="36"/>
      <c r="C88" s="36"/>
      <c r="D88" s="21"/>
      <c r="E88" s="35"/>
      <c r="F88" s="35"/>
      <c r="G88" s="35"/>
      <c r="H88" s="35"/>
      <c r="I88" s="35"/>
      <c r="J88" s="35"/>
      <c r="K88" s="35"/>
      <c r="L88" s="35"/>
      <c r="M88" s="36"/>
      <c r="N88" s="33"/>
      <c r="O88" s="33"/>
      <c r="P88" s="33"/>
      <c r="Q88" s="33"/>
      <c r="R88" s="33"/>
      <c r="S88" s="33"/>
      <c r="T88" s="33"/>
      <c r="AR88" s="33"/>
      <c r="AS88" s="33"/>
      <c r="AU88" s="33"/>
    </row>
    <row r="89" spans="1:48" ht="30" customHeight="1" x14ac:dyDescent="0.3">
      <c r="A89" s="36"/>
      <c r="B89" s="36"/>
      <c r="C89" s="36"/>
      <c r="D89" s="21"/>
      <c r="E89" s="35"/>
      <c r="F89" s="35"/>
      <c r="G89" s="35"/>
      <c r="H89" s="35"/>
      <c r="I89" s="35"/>
      <c r="J89" s="35"/>
      <c r="K89" s="35"/>
      <c r="L89" s="35"/>
      <c r="M89" s="36"/>
      <c r="N89" s="33"/>
      <c r="O89" s="33"/>
      <c r="P89" s="33"/>
      <c r="Q89" s="33"/>
      <c r="R89" s="33"/>
      <c r="S89" s="33"/>
      <c r="T89" s="33"/>
      <c r="AR89" s="33"/>
      <c r="AS89" s="33"/>
      <c r="AU89" s="33"/>
    </row>
    <row r="90" spans="1:48" ht="30" customHeight="1" x14ac:dyDescent="0.3">
      <c r="A90" s="36"/>
      <c r="B90" s="36"/>
      <c r="C90" s="36"/>
      <c r="D90" s="21"/>
      <c r="E90" s="35"/>
      <c r="F90" s="35"/>
      <c r="G90" s="35"/>
      <c r="H90" s="35"/>
      <c r="I90" s="35"/>
      <c r="J90" s="35"/>
      <c r="K90" s="35"/>
      <c r="L90" s="35"/>
      <c r="M90" s="36"/>
      <c r="N90" s="33"/>
      <c r="O90" s="33"/>
      <c r="P90" s="33"/>
      <c r="Q90" s="33"/>
      <c r="R90" s="33"/>
      <c r="S90" s="33"/>
      <c r="T90" s="33"/>
      <c r="AR90" s="33"/>
      <c r="AS90" s="33"/>
      <c r="AU90" s="33"/>
    </row>
    <row r="91" spans="1:48" ht="30" customHeight="1" x14ac:dyDescent="0.3">
      <c r="A91" s="36"/>
      <c r="B91" s="36"/>
      <c r="C91" s="36"/>
      <c r="D91" s="21"/>
      <c r="E91" s="35"/>
      <c r="F91" s="35"/>
      <c r="G91" s="35"/>
      <c r="H91" s="35"/>
      <c r="I91" s="35"/>
      <c r="J91" s="35"/>
      <c r="K91" s="35"/>
      <c r="L91" s="35"/>
      <c r="M91" s="36"/>
      <c r="N91" s="33"/>
      <c r="O91" s="33"/>
      <c r="P91" s="33"/>
      <c r="Q91" s="33"/>
      <c r="R91" s="33"/>
      <c r="S91" s="33"/>
      <c r="T91" s="33"/>
      <c r="AR91" s="33"/>
      <c r="AS91" s="33"/>
      <c r="AU91" s="33"/>
    </row>
    <row r="92" spans="1:48" ht="30" customHeight="1" x14ac:dyDescent="0.3">
      <c r="A92" s="36"/>
      <c r="B92" s="36"/>
      <c r="C92" s="36"/>
      <c r="D92" s="21"/>
      <c r="E92" s="35"/>
      <c r="F92" s="35"/>
      <c r="G92" s="35"/>
      <c r="H92" s="35"/>
      <c r="I92" s="35"/>
      <c r="J92" s="35"/>
      <c r="K92" s="35"/>
      <c r="L92" s="35"/>
      <c r="M92" s="36"/>
      <c r="N92" s="33"/>
      <c r="O92" s="33"/>
      <c r="P92" s="33"/>
      <c r="Q92" s="33"/>
      <c r="R92" s="33"/>
      <c r="S92" s="33"/>
      <c r="T92" s="33"/>
      <c r="AR92" s="33"/>
      <c r="AS92" s="33"/>
      <c r="AU92" s="33"/>
    </row>
    <row r="93" spans="1:48" ht="30" customHeight="1" x14ac:dyDescent="0.3">
      <c r="A93" s="36"/>
      <c r="B93" s="36"/>
      <c r="C93" s="36"/>
      <c r="D93" s="21"/>
      <c r="E93" s="35"/>
      <c r="F93" s="35"/>
      <c r="G93" s="35"/>
      <c r="H93" s="35"/>
      <c r="I93" s="35"/>
      <c r="J93" s="35"/>
      <c r="K93" s="35"/>
      <c r="L93" s="35"/>
      <c r="M93" s="36"/>
      <c r="N93" s="33"/>
      <c r="O93" s="33"/>
      <c r="P93" s="33"/>
      <c r="Q93" s="33"/>
      <c r="R93" s="33"/>
      <c r="S93" s="33"/>
      <c r="T93" s="33"/>
      <c r="AR93" s="33"/>
      <c r="AS93" s="33"/>
      <c r="AU93" s="33"/>
    </row>
    <row r="94" spans="1:48" ht="30" customHeight="1" x14ac:dyDescent="0.3">
      <c r="A94" s="36"/>
      <c r="B94" s="36"/>
      <c r="C94" s="36"/>
      <c r="D94" s="21"/>
      <c r="E94" s="35"/>
      <c r="F94" s="35"/>
      <c r="G94" s="35"/>
      <c r="H94" s="35"/>
      <c r="I94" s="35"/>
      <c r="J94" s="35"/>
      <c r="K94" s="35"/>
      <c r="L94" s="35"/>
      <c r="M94" s="36"/>
      <c r="N94" s="33"/>
      <c r="O94" s="33"/>
      <c r="P94" s="33"/>
      <c r="Q94" s="33"/>
      <c r="R94" s="33"/>
      <c r="S94" s="33"/>
      <c r="T94" s="33"/>
      <c r="AR94" s="33"/>
      <c r="AS94" s="33"/>
      <c r="AU94" s="33"/>
    </row>
    <row r="95" spans="1:48" ht="30" customHeight="1" x14ac:dyDescent="0.3">
      <c r="A95" s="11"/>
      <c r="B95" s="11"/>
      <c r="C95" s="11"/>
      <c r="D95" s="11"/>
      <c r="E95" s="12"/>
      <c r="F95" s="12"/>
      <c r="G95" s="12"/>
      <c r="H95" s="12"/>
      <c r="I95" s="12"/>
      <c r="J95" s="12"/>
      <c r="K95" s="12"/>
      <c r="L95" s="12"/>
      <c r="M95" s="11"/>
    </row>
    <row r="96" spans="1:48" ht="30" customHeight="1" x14ac:dyDescent="0.3">
      <c r="A96" s="11"/>
      <c r="B96" s="11"/>
      <c r="C96" s="11"/>
      <c r="D96" s="11"/>
      <c r="E96" s="12"/>
      <c r="F96" s="12"/>
      <c r="G96" s="12"/>
      <c r="H96" s="12"/>
      <c r="I96" s="12"/>
      <c r="J96" s="12"/>
      <c r="K96" s="12"/>
      <c r="L96" s="12"/>
      <c r="M96" s="11"/>
    </row>
    <row r="97" spans="1:14" ht="30" customHeight="1" x14ac:dyDescent="0.3">
      <c r="A97" s="11"/>
      <c r="B97" s="11"/>
      <c r="C97" s="11"/>
      <c r="D97" s="11"/>
      <c r="E97" s="12"/>
      <c r="F97" s="12"/>
      <c r="G97" s="12"/>
      <c r="H97" s="12"/>
      <c r="I97" s="12"/>
      <c r="J97" s="12"/>
      <c r="K97" s="12"/>
      <c r="L97" s="12"/>
      <c r="M97" s="11"/>
    </row>
    <row r="98" spans="1:14" ht="30" customHeight="1" x14ac:dyDescent="0.3">
      <c r="A98" s="11"/>
      <c r="B98" s="11"/>
      <c r="C98" s="11"/>
      <c r="D98" s="11"/>
      <c r="E98" s="12"/>
      <c r="F98" s="12"/>
      <c r="G98" s="12"/>
      <c r="H98" s="12"/>
      <c r="I98" s="12"/>
      <c r="J98" s="12"/>
      <c r="K98" s="12"/>
      <c r="L98" s="12"/>
      <c r="M98" s="11"/>
    </row>
    <row r="99" spans="1:14" ht="30" customHeight="1" x14ac:dyDescent="0.3">
      <c r="A99" s="11"/>
      <c r="B99" s="11"/>
      <c r="C99" s="11"/>
      <c r="D99" s="11"/>
      <c r="E99" s="12"/>
      <c r="F99" s="12"/>
      <c r="G99" s="12"/>
      <c r="H99" s="12"/>
      <c r="I99" s="12"/>
      <c r="J99" s="12"/>
      <c r="K99" s="12"/>
      <c r="L99" s="12"/>
      <c r="M99" s="11"/>
    </row>
    <row r="100" spans="1:14" ht="30" customHeight="1" x14ac:dyDescent="0.3">
      <c r="A100" s="11"/>
      <c r="B100" s="11"/>
      <c r="C100" s="11"/>
      <c r="D100" s="11"/>
      <c r="E100" s="12"/>
      <c r="F100" s="12"/>
      <c r="G100" s="12"/>
      <c r="H100" s="12"/>
      <c r="I100" s="12"/>
      <c r="J100" s="12"/>
      <c r="K100" s="12"/>
      <c r="L100" s="12"/>
      <c r="M100" s="11"/>
    </row>
    <row r="101" spans="1:14" ht="30" customHeight="1" x14ac:dyDescent="0.3">
      <c r="A101" s="11"/>
      <c r="B101" s="11"/>
      <c r="C101" s="11"/>
      <c r="D101" s="11"/>
      <c r="E101" s="12"/>
      <c r="F101" s="12"/>
      <c r="G101" s="12"/>
      <c r="H101" s="12"/>
      <c r="I101" s="12"/>
      <c r="J101" s="12"/>
      <c r="K101" s="12"/>
      <c r="L101" s="12"/>
      <c r="M101" s="11"/>
    </row>
    <row r="102" spans="1:14" ht="30" customHeight="1" x14ac:dyDescent="0.3">
      <c r="A102" s="11"/>
      <c r="B102" s="11"/>
      <c r="C102" s="11"/>
      <c r="D102" s="11"/>
      <c r="E102" s="12"/>
      <c r="F102" s="12"/>
      <c r="G102" s="12"/>
      <c r="H102" s="12"/>
      <c r="I102" s="12"/>
      <c r="J102" s="12"/>
      <c r="K102" s="12"/>
      <c r="L102" s="12"/>
      <c r="M102" s="11"/>
    </row>
    <row r="103" spans="1:14" ht="30" customHeight="1" x14ac:dyDescent="0.3">
      <c r="A103" s="52" t="s">
        <v>65</v>
      </c>
      <c r="B103" s="53"/>
      <c r="C103" s="53"/>
      <c r="D103" s="53"/>
      <c r="E103" s="54"/>
      <c r="F103" s="54">
        <f>SUM(F80:F102)</f>
        <v>-208962</v>
      </c>
      <c r="G103" s="54"/>
      <c r="H103" s="54">
        <f>SUM(H80:H102)</f>
        <v>473670</v>
      </c>
      <c r="I103" s="54"/>
      <c r="J103" s="54">
        <f>SUM(J80:J102)</f>
        <v>0</v>
      </c>
      <c r="K103" s="54"/>
      <c r="L103" s="54">
        <f>SUM(L80:L102)</f>
        <v>264708</v>
      </c>
      <c r="M103" s="53"/>
      <c r="N103" t="s">
        <v>66</v>
      </c>
    </row>
  </sheetData>
  <mergeCells count="44">
    <mergeCell ref="AU2:AU3"/>
    <mergeCell ref="AV2:AV3"/>
    <mergeCell ref="AO2:AO3"/>
    <mergeCell ref="AP2:AP3"/>
    <mergeCell ref="AQ2:AQ3"/>
    <mergeCell ref="AR2:AR3"/>
    <mergeCell ref="AS2:AS3"/>
    <mergeCell ref="AT2:AT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</mergeCells>
  <phoneticPr fontId="1" type="noConversion"/>
  <pageMargins left="0.78740157480314965" right="0" top="0.39370078740157483" bottom="0.19685039370078741" header="0" footer="0"/>
  <pageSetup paperSize="9" scale="63" fitToHeight="0" orientation="landscape" r:id="rId1"/>
  <rowBreaks count="4" manualBreakCount="4">
    <brk id="28" max="16383" man="1"/>
    <brk id="53" max="16383" man="1"/>
    <brk id="78" max="16383" man="1"/>
    <brk id="10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3AFD-69A9-4D65-95B1-90FB47D87B00}">
  <sheetPr>
    <pageSetUpPr fitToPage="1"/>
  </sheetPr>
  <dimension ref="A1:N13"/>
  <sheetViews>
    <sheetView topLeftCell="B1" workbookViewId="0">
      <selection activeCell="E6" sqref="E6"/>
    </sheetView>
  </sheetViews>
  <sheetFormatPr defaultRowHeight="16.5" x14ac:dyDescent="0.3"/>
  <cols>
    <col min="1" max="1" width="11.625" hidden="1" customWidth="1"/>
    <col min="2" max="3" width="30.625" customWidth="1"/>
    <col min="4" max="4" width="4.625" customWidth="1"/>
    <col min="5" max="8" width="13.625" customWidth="1"/>
    <col min="9" max="9" width="8.625" customWidth="1"/>
    <col min="10" max="10" width="12.625" customWidth="1"/>
    <col min="11" max="12" width="2.625" hidden="1" customWidth="1"/>
    <col min="13" max="13" width="20.625" hidden="1" customWidth="1"/>
    <col min="14" max="14" width="2.625" hidden="1" customWidth="1"/>
  </cols>
  <sheetData>
    <row r="1" spans="1:14" ht="30" customHeight="1" x14ac:dyDescent="0.3">
      <c r="A1" s="3"/>
      <c r="B1" s="2" t="s">
        <v>132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30" customHeight="1" x14ac:dyDescent="0.3">
      <c r="A2" s="14"/>
      <c r="B2" s="15" t="s">
        <v>482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4" ht="30" customHeight="1" x14ac:dyDescent="0.3">
      <c r="A3" s="7" t="s">
        <v>133</v>
      </c>
      <c r="B3" s="7" t="s">
        <v>1</v>
      </c>
      <c r="C3" s="7" t="s">
        <v>2</v>
      </c>
      <c r="D3" s="7" t="s">
        <v>3</v>
      </c>
      <c r="E3" s="7" t="s">
        <v>134</v>
      </c>
      <c r="F3" s="7" t="s">
        <v>135</v>
      </c>
      <c r="G3" s="7" t="s">
        <v>136</v>
      </c>
      <c r="H3" s="7" t="s">
        <v>137</v>
      </c>
      <c r="I3" s="7" t="s">
        <v>138</v>
      </c>
      <c r="J3" s="7" t="s">
        <v>139</v>
      </c>
      <c r="K3" s="7" t="s">
        <v>140</v>
      </c>
      <c r="L3" s="7" t="s">
        <v>141</v>
      </c>
      <c r="M3" s="7" t="s">
        <v>142</v>
      </c>
      <c r="N3" s="1" t="s">
        <v>143</v>
      </c>
    </row>
    <row r="4" spans="1:14" ht="30" customHeight="1" x14ac:dyDescent="0.3">
      <c r="A4" s="13" t="s">
        <v>63</v>
      </c>
      <c r="B4" s="13" t="s">
        <v>60</v>
      </c>
      <c r="C4" s="13" t="s">
        <v>61</v>
      </c>
      <c r="D4" s="13" t="s">
        <v>62</v>
      </c>
      <c r="E4" s="26">
        <f>일위대가!F6</f>
        <v>0</v>
      </c>
      <c r="F4" s="26">
        <f>일위대가!H6</f>
        <v>167081</v>
      </c>
      <c r="G4" s="26">
        <f>일위대가!J6</f>
        <v>0</v>
      </c>
      <c r="H4" s="26">
        <f t="shared" ref="H4:H10" si="0">E4+F4+G4</f>
        <v>167081</v>
      </c>
      <c r="I4" s="60" t="s">
        <v>484</v>
      </c>
      <c r="J4" s="13" t="s">
        <v>51</v>
      </c>
      <c r="K4" s="13" t="s">
        <v>51</v>
      </c>
      <c r="L4" s="13" t="s">
        <v>51</v>
      </c>
      <c r="M4" s="13" t="s">
        <v>51</v>
      </c>
      <c r="N4" s="1" t="s">
        <v>51</v>
      </c>
    </row>
    <row r="5" spans="1:14" ht="30" customHeight="1" x14ac:dyDescent="0.3">
      <c r="A5" s="13" t="s">
        <v>71</v>
      </c>
      <c r="B5" s="13" t="s">
        <v>68</v>
      </c>
      <c r="C5" s="13" t="s">
        <v>69</v>
      </c>
      <c r="D5" s="13" t="s">
        <v>70</v>
      </c>
      <c r="E5" s="26">
        <f>일위대가!F55</f>
        <v>0</v>
      </c>
      <c r="F5" s="26">
        <f>일위대가!H55</f>
        <v>5120</v>
      </c>
      <c r="G5" s="26">
        <f>일위대가!J55</f>
        <v>0</v>
      </c>
      <c r="H5" s="26">
        <f t="shared" si="0"/>
        <v>5120</v>
      </c>
      <c r="I5" s="60" t="s">
        <v>485</v>
      </c>
      <c r="J5" s="13" t="s">
        <v>51</v>
      </c>
      <c r="K5" s="13" t="s">
        <v>51</v>
      </c>
      <c r="L5" s="13" t="s">
        <v>51</v>
      </c>
      <c r="M5" s="13" t="s">
        <v>51</v>
      </c>
      <c r="N5" s="1" t="s">
        <v>51</v>
      </c>
    </row>
    <row r="6" spans="1:14" ht="30" customHeight="1" x14ac:dyDescent="0.3">
      <c r="A6" s="13" t="s">
        <v>77</v>
      </c>
      <c r="B6" s="13" t="s">
        <v>74</v>
      </c>
      <c r="C6" s="13" t="s">
        <v>75</v>
      </c>
      <c r="D6" s="13" t="s">
        <v>76</v>
      </c>
      <c r="E6" s="26">
        <f>일위대가!F11</f>
        <v>474000</v>
      </c>
      <c r="F6" s="26">
        <f>일위대가!H11</f>
        <v>74889</v>
      </c>
      <c r="G6" s="26">
        <f>일위대가!J11</f>
        <v>2246</v>
      </c>
      <c r="H6" s="26">
        <f t="shared" si="0"/>
        <v>551135</v>
      </c>
      <c r="I6" s="60" t="s">
        <v>486</v>
      </c>
      <c r="J6" s="13" t="s">
        <v>51</v>
      </c>
      <c r="K6" s="13" t="s">
        <v>51</v>
      </c>
      <c r="L6" s="13" t="s">
        <v>51</v>
      </c>
      <c r="M6" s="13" t="s">
        <v>51</v>
      </c>
      <c r="N6" s="1" t="s">
        <v>51</v>
      </c>
    </row>
    <row r="7" spans="1:14" ht="30" customHeight="1" x14ac:dyDescent="0.3">
      <c r="A7" s="13" t="s">
        <v>77</v>
      </c>
      <c r="B7" s="13" t="s">
        <v>477</v>
      </c>
      <c r="C7" s="13" t="s">
        <v>75</v>
      </c>
      <c r="D7" s="13" t="s">
        <v>76</v>
      </c>
      <c r="E7" s="26">
        <f>일위대가!F66</f>
        <v>186100</v>
      </c>
      <c r="F7" s="26">
        <f>F6</f>
        <v>74889</v>
      </c>
      <c r="G7" s="26">
        <f>G6</f>
        <v>2246</v>
      </c>
      <c r="H7" s="26">
        <f t="shared" ref="H7" si="1">E7+F7+G7</f>
        <v>263235</v>
      </c>
      <c r="I7" s="60" t="s">
        <v>487</v>
      </c>
      <c r="J7" s="13" t="s">
        <v>51</v>
      </c>
      <c r="K7" s="13" t="s">
        <v>51</v>
      </c>
      <c r="L7" s="13" t="s">
        <v>51</v>
      </c>
      <c r="M7" s="13" t="s">
        <v>51</v>
      </c>
      <c r="N7" s="33" t="s">
        <v>51</v>
      </c>
    </row>
    <row r="8" spans="1:14" ht="30" customHeight="1" x14ac:dyDescent="0.3">
      <c r="A8" s="13" t="s">
        <v>86</v>
      </c>
      <c r="B8" s="13" t="s">
        <v>84</v>
      </c>
      <c r="C8" s="13" t="s">
        <v>85</v>
      </c>
      <c r="D8" s="13" t="s">
        <v>76</v>
      </c>
      <c r="E8" s="26">
        <f>일위대가!F16</f>
        <v>0</v>
      </c>
      <c r="F8" s="26">
        <f>일위대가!H16</f>
        <v>20622</v>
      </c>
      <c r="G8" s="26">
        <f>일위대가!J16</f>
        <v>412</v>
      </c>
      <c r="H8" s="26">
        <f t="shared" si="0"/>
        <v>21034</v>
      </c>
      <c r="I8" s="60" t="s">
        <v>488</v>
      </c>
      <c r="J8" s="13" t="s">
        <v>51</v>
      </c>
      <c r="K8" s="13" t="s">
        <v>51</v>
      </c>
      <c r="L8" s="13" t="s">
        <v>51</v>
      </c>
      <c r="M8" s="13" t="s">
        <v>51</v>
      </c>
      <c r="N8" s="1" t="s">
        <v>51</v>
      </c>
    </row>
    <row r="9" spans="1:14" ht="30" customHeight="1" x14ac:dyDescent="0.3">
      <c r="A9" s="13" t="s">
        <v>97</v>
      </c>
      <c r="B9" s="13" t="s">
        <v>96</v>
      </c>
      <c r="C9" s="13" t="s">
        <v>85</v>
      </c>
      <c r="D9" s="13" t="s">
        <v>76</v>
      </c>
      <c r="E9" s="26">
        <f>일위대가!F21</f>
        <v>0</v>
      </c>
      <c r="F9" s="26">
        <f>일위대가!H21</f>
        <v>10710</v>
      </c>
      <c r="G9" s="26">
        <f>일위대가!J21</f>
        <v>214</v>
      </c>
      <c r="H9" s="26">
        <f t="shared" si="0"/>
        <v>10924</v>
      </c>
      <c r="I9" s="60" t="s">
        <v>489</v>
      </c>
      <c r="J9" s="13" t="s">
        <v>51</v>
      </c>
      <c r="K9" s="13" t="s">
        <v>51</v>
      </c>
      <c r="L9" s="13" t="s">
        <v>51</v>
      </c>
      <c r="M9" s="13" t="s">
        <v>51</v>
      </c>
      <c r="N9" s="1" t="s">
        <v>51</v>
      </c>
    </row>
    <row r="10" spans="1:14" ht="30" customHeight="1" x14ac:dyDescent="0.3">
      <c r="A10" s="13" t="s">
        <v>103</v>
      </c>
      <c r="B10" s="13" t="s">
        <v>102</v>
      </c>
      <c r="C10" s="13" t="s">
        <v>85</v>
      </c>
      <c r="D10" s="13" t="s">
        <v>76</v>
      </c>
      <c r="E10" s="26">
        <f>일위대가!F26</f>
        <v>0</v>
      </c>
      <c r="F10" s="26">
        <f>일위대가!H26</f>
        <v>5978</v>
      </c>
      <c r="G10" s="26">
        <f>일위대가!J26</f>
        <v>119</v>
      </c>
      <c r="H10" s="26">
        <f t="shared" si="0"/>
        <v>6097</v>
      </c>
      <c r="I10" s="60" t="s">
        <v>490</v>
      </c>
      <c r="J10" s="13" t="s">
        <v>51</v>
      </c>
      <c r="K10" s="13" t="s">
        <v>51</v>
      </c>
      <c r="L10" s="13" t="s">
        <v>51</v>
      </c>
      <c r="M10" s="13" t="s">
        <v>51</v>
      </c>
      <c r="N10" s="1" t="s">
        <v>51</v>
      </c>
    </row>
    <row r="11" spans="1:14" ht="30" customHeight="1" x14ac:dyDescent="0.3">
      <c r="A11" s="13" t="s">
        <v>114</v>
      </c>
      <c r="B11" s="13" t="s">
        <v>112</v>
      </c>
      <c r="C11" s="13" t="s">
        <v>113</v>
      </c>
      <c r="D11" s="13" t="s">
        <v>76</v>
      </c>
      <c r="E11" s="26">
        <f>일위대가!F31</f>
        <v>631</v>
      </c>
      <c r="F11" s="26">
        <f>일위대가!H31</f>
        <v>21052</v>
      </c>
      <c r="G11" s="26">
        <f>일위대가!J31</f>
        <v>0</v>
      </c>
      <c r="H11" s="26">
        <f t="shared" ref="H11" si="2">E11+F11+G11</f>
        <v>21683</v>
      </c>
      <c r="I11" s="60" t="s">
        <v>491</v>
      </c>
      <c r="J11" s="13" t="s">
        <v>51</v>
      </c>
      <c r="K11" s="13" t="s">
        <v>51</v>
      </c>
      <c r="L11" s="13" t="s">
        <v>51</v>
      </c>
      <c r="M11" s="13" t="s">
        <v>51</v>
      </c>
      <c r="N11" s="1" t="s">
        <v>51</v>
      </c>
    </row>
    <row r="12" spans="1:14" ht="30" customHeight="1" x14ac:dyDescent="0.3">
      <c r="A12" s="13" t="s">
        <v>170</v>
      </c>
      <c r="B12" s="13" t="s">
        <v>169</v>
      </c>
      <c r="C12" s="13" t="s">
        <v>85</v>
      </c>
      <c r="D12" s="13" t="s">
        <v>70</v>
      </c>
      <c r="E12" s="26">
        <f>일위대가!F55</f>
        <v>0</v>
      </c>
      <c r="F12" s="26">
        <f>일위대가!H55</f>
        <v>5120</v>
      </c>
      <c r="G12" s="26">
        <f>일위대가!J55</f>
        <v>0</v>
      </c>
      <c r="H12" s="26">
        <f t="shared" ref="H12:H13" si="3">E12+F12+G12</f>
        <v>5120</v>
      </c>
      <c r="I12" s="60" t="s">
        <v>492</v>
      </c>
      <c r="J12" s="13" t="s">
        <v>51</v>
      </c>
      <c r="K12" s="13" t="s">
        <v>51</v>
      </c>
      <c r="L12" s="13" t="s">
        <v>51</v>
      </c>
      <c r="M12" s="13" t="s">
        <v>51</v>
      </c>
      <c r="N12" s="1" t="s">
        <v>51</v>
      </c>
    </row>
    <row r="13" spans="1:14" ht="30" customHeight="1" x14ac:dyDescent="0.3">
      <c r="A13" s="13" t="s">
        <v>184</v>
      </c>
      <c r="B13" s="13" t="s">
        <v>182</v>
      </c>
      <c r="C13" s="13" t="s">
        <v>183</v>
      </c>
      <c r="D13" s="13" t="s">
        <v>76</v>
      </c>
      <c r="E13" s="26">
        <f>일위대가!F61</f>
        <v>0</v>
      </c>
      <c r="F13" s="26">
        <f>일위대가!H61</f>
        <v>74889</v>
      </c>
      <c r="G13" s="26">
        <f>일위대가!J61</f>
        <v>2246</v>
      </c>
      <c r="H13" s="26">
        <f t="shared" si="3"/>
        <v>77135</v>
      </c>
      <c r="I13" s="60" t="s">
        <v>493</v>
      </c>
      <c r="J13" s="13" t="s">
        <v>51</v>
      </c>
      <c r="K13" s="13" t="s">
        <v>51</v>
      </c>
      <c r="L13" s="13" t="s">
        <v>51</v>
      </c>
      <c r="M13" s="13" t="s">
        <v>51</v>
      </c>
      <c r="N13" s="1" t="s">
        <v>51</v>
      </c>
    </row>
  </sheetData>
  <phoneticPr fontId="1" type="noConversion"/>
  <pageMargins left="0.78740157480314954" right="0" top="0.39370078740157477" bottom="0.39370078740157477" header="0" footer="0"/>
  <pageSetup paperSize="9" scale="9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651B-F628-45EE-A95C-1180C972AC54}">
  <sheetPr>
    <pageSetUpPr fitToPage="1"/>
  </sheetPr>
  <dimension ref="A1:AZ67"/>
  <sheetViews>
    <sheetView topLeftCell="A11" workbookViewId="0">
      <selection activeCell="F11" sqref="F11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7" width="2.625" hidden="1" customWidth="1"/>
    <col min="48" max="48" width="1.625" hidden="1" customWidth="1"/>
    <col min="49" max="49" width="24.625" hidden="1" customWidth="1"/>
    <col min="50" max="51" width="2.625" hidden="1" customWidth="1"/>
    <col min="52" max="52" width="1.625" hidden="1" customWidth="1"/>
  </cols>
  <sheetData>
    <row r="1" spans="1:52" ht="30" customHeight="1" x14ac:dyDescent="0.3">
      <c r="A1" s="4" t="s">
        <v>482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 spans="1:52" ht="30" customHeight="1" x14ac:dyDescent="0.3">
      <c r="A2" s="67" t="s">
        <v>1</v>
      </c>
      <c r="B2" s="67" t="s">
        <v>2</v>
      </c>
      <c r="C2" s="67" t="s">
        <v>3</v>
      </c>
      <c r="D2" s="67" t="s">
        <v>4</v>
      </c>
      <c r="E2" s="67" t="s">
        <v>5</v>
      </c>
      <c r="F2" s="67"/>
      <c r="G2" s="67" t="s">
        <v>8</v>
      </c>
      <c r="H2" s="67"/>
      <c r="I2" s="67" t="s">
        <v>9</v>
      </c>
      <c r="J2" s="67"/>
      <c r="K2" s="67" t="s">
        <v>10</v>
      </c>
      <c r="L2" s="67"/>
      <c r="M2" s="67" t="s">
        <v>11</v>
      </c>
      <c r="N2" s="62" t="s">
        <v>144</v>
      </c>
      <c r="O2" s="62" t="s">
        <v>19</v>
      </c>
      <c r="P2" s="62" t="s">
        <v>21</v>
      </c>
      <c r="Q2" s="62" t="s">
        <v>22</v>
      </c>
      <c r="R2" s="62" t="s">
        <v>23</v>
      </c>
      <c r="S2" s="62" t="s">
        <v>24</v>
      </c>
      <c r="T2" s="62" t="s">
        <v>25</v>
      </c>
      <c r="U2" s="62" t="s">
        <v>26</v>
      </c>
      <c r="V2" s="62" t="s">
        <v>27</v>
      </c>
      <c r="W2" s="62" t="s">
        <v>28</v>
      </c>
      <c r="X2" s="62" t="s">
        <v>29</v>
      </c>
      <c r="Y2" s="62" t="s">
        <v>30</v>
      </c>
      <c r="Z2" s="62" t="s">
        <v>31</v>
      </c>
      <c r="AA2" s="62" t="s">
        <v>32</v>
      </c>
      <c r="AB2" s="62" t="s">
        <v>33</v>
      </c>
      <c r="AC2" s="62" t="s">
        <v>34</v>
      </c>
      <c r="AD2" s="62" t="s">
        <v>35</v>
      </c>
      <c r="AE2" s="62" t="s">
        <v>36</v>
      </c>
      <c r="AF2" s="62" t="s">
        <v>37</v>
      </c>
      <c r="AG2" s="62" t="s">
        <v>38</v>
      </c>
      <c r="AH2" s="62" t="s">
        <v>39</v>
      </c>
      <c r="AI2" s="62" t="s">
        <v>40</v>
      </c>
      <c r="AJ2" s="62" t="s">
        <v>41</v>
      </c>
      <c r="AK2" s="62" t="s">
        <v>42</v>
      </c>
      <c r="AL2" s="62" t="s">
        <v>43</v>
      </c>
      <c r="AM2" s="62" t="s">
        <v>44</v>
      </c>
      <c r="AN2" s="62" t="s">
        <v>45</v>
      </c>
      <c r="AO2" s="62" t="s">
        <v>46</v>
      </c>
      <c r="AP2" s="62" t="s">
        <v>145</v>
      </c>
      <c r="AQ2" s="62" t="s">
        <v>146</v>
      </c>
      <c r="AR2" s="62" t="s">
        <v>147</v>
      </c>
      <c r="AS2" s="62" t="s">
        <v>148</v>
      </c>
      <c r="AT2" s="62" t="s">
        <v>149</v>
      </c>
      <c r="AU2" s="62" t="s">
        <v>150</v>
      </c>
      <c r="AV2" s="62" t="s">
        <v>47</v>
      </c>
      <c r="AW2" s="62" t="s">
        <v>151</v>
      </c>
      <c r="AX2" s="1" t="s">
        <v>143</v>
      </c>
      <c r="AY2" s="1" t="s">
        <v>20</v>
      </c>
      <c r="AZ2" s="1" t="s">
        <v>152</v>
      </c>
    </row>
    <row r="3" spans="1:52" ht="30" customHeight="1" x14ac:dyDescent="0.3">
      <c r="A3" s="72"/>
      <c r="B3" s="72"/>
      <c r="C3" s="72"/>
      <c r="D3" s="72"/>
      <c r="E3" s="16" t="s">
        <v>6</v>
      </c>
      <c r="F3" s="16" t="s">
        <v>7</v>
      </c>
      <c r="G3" s="16" t="s">
        <v>6</v>
      </c>
      <c r="H3" s="16" t="s">
        <v>7</v>
      </c>
      <c r="I3" s="16" t="s">
        <v>6</v>
      </c>
      <c r="J3" s="16" t="s">
        <v>7</v>
      </c>
      <c r="K3" s="16" t="s">
        <v>6</v>
      </c>
      <c r="L3" s="16" t="s">
        <v>7</v>
      </c>
      <c r="M3" s="7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</row>
    <row r="4" spans="1:52" ht="30" customHeight="1" x14ac:dyDescent="0.3">
      <c r="A4" s="17" t="s">
        <v>156</v>
      </c>
      <c r="B4" s="18"/>
      <c r="C4" s="18"/>
      <c r="D4" s="18"/>
      <c r="E4" s="23"/>
      <c r="F4" s="27"/>
      <c r="G4" s="23"/>
      <c r="H4" s="27"/>
      <c r="I4" s="23"/>
      <c r="J4" s="27"/>
      <c r="K4" s="23"/>
      <c r="L4" s="27"/>
      <c r="M4" s="19"/>
      <c r="N4" s="1" t="s">
        <v>63</v>
      </c>
    </row>
    <row r="5" spans="1:52" ht="30" customHeight="1" x14ac:dyDescent="0.3">
      <c r="A5" s="20" t="s">
        <v>157</v>
      </c>
      <c r="B5" s="20" t="s">
        <v>158</v>
      </c>
      <c r="C5" s="20" t="s">
        <v>62</v>
      </c>
      <c r="D5" s="21">
        <v>1</v>
      </c>
      <c r="E5" s="24">
        <f>단가대비표!O27</f>
        <v>0</v>
      </c>
      <c r="F5" s="28">
        <f>TRUNC(E5*D5,1)</f>
        <v>0</v>
      </c>
      <c r="G5" s="24">
        <f>단가대비표!P27</f>
        <v>167081</v>
      </c>
      <c r="H5" s="28">
        <f>TRUNC(G5*D5,1)</f>
        <v>167081</v>
      </c>
      <c r="I5" s="24">
        <f>단가대비표!V27</f>
        <v>0</v>
      </c>
      <c r="J5" s="28">
        <f>TRUNC(I5*D5,1)</f>
        <v>0</v>
      </c>
      <c r="K5" s="24">
        <f>TRUNC(E5+G5+I5,1)</f>
        <v>167081</v>
      </c>
      <c r="L5" s="28">
        <f>TRUNC(F5+H5+J5,1)</f>
        <v>167081</v>
      </c>
      <c r="M5" s="20" t="s">
        <v>51</v>
      </c>
      <c r="N5" s="1" t="s">
        <v>63</v>
      </c>
      <c r="O5" s="1" t="s">
        <v>159</v>
      </c>
      <c r="P5" s="1" t="s">
        <v>59</v>
      </c>
      <c r="Q5" s="1" t="s">
        <v>59</v>
      </c>
      <c r="R5" s="1" t="s">
        <v>58</v>
      </c>
      <c r="AV5" s="1" t="s">
        <v>51</v>
      </c>
      <c r="AW5" s="1" t="s">
        <v>160</v>
      </c>
      <c r="AX5" s="1" t="s">
        <v>51</v>
      </c>
      <c r="AY5" s="1" t="s">
        <v>51</v>
      </c>
      <c r="AZ5" s="1" t="s">
        <v>51</v>
      </c>
    </row>
    <row r="6" spans="1:52" ht="30" customHeight="1" x14ac:dyDescent="0.3">
      <c r="A6" s="20" t="s">
        <v>154</v>
      </c>
      <c r="B6" s="20" t="s">
        <v>51</v>
      </c>
      <c r="C6" s="20" t="s">
        <v>51</v>
      </c>
      <c r="D6" s="21"/>
      <c r="E6" s="24"/>
      <c r="F6" s="28">
        <f>TRUNC(SUMIF(N5:N5, N4, F5:F5),0)</f>
        <v>0</v>
      </c>
      <c r="G6" s="24"/>
      <c r="H6" s="28">
        <f>TRUNC(SUMIF(N5:N5, N4, H5:H5),0)</f>
        <v>167081</v>
      </c>
      <c r="I6" s="24"/>
      <c r="J6" s="28">
        <f>TRUNC(SUMIF(N5:N5, N4, J5:J5),0)</f>
        <v>0</v>
      </c>
      <c r="K6" s="24"/>
      <c r="L6" s="28">
        <f>F6+H6+J6</f>
        <v>167081</v>
      </c>
      <c r="M6" s="20" t="s">
        <v>51</v>
      </c>
      <c r="N6" s="1" t="s">
        <v>66</v>
      </c>
      <c r="O6" s="1" t="s">
        <v>66</v>
      </c>
      <c r="P6" s="1" t="s">
        <v>51</v>
      </c>
      <c r="Q6" s="1" t="s">
        <v>51</v>
      </c>
      <c r="R6" s="1" t="s">
        <v>51</v>
      </c>
      <c r="AV6" s="1" t="s">
        <v>51</v>
      </c>
      <c r="AW6" s="1" t="s">
        <v>51</v>
      </c>
      <c r="AX6" s="1" t="s">
        <v>51</v>
      </c>
      <c r="AY6" s="1" t="s">
        <v>51</v>
      </c>
      <c r="AZ6" s="1" t="s">
        <v>51</v>
      </c>
    </row>
    <row r="7" spans="1:52" ht="30" customHeight="1" x14ac:dyDescent="0.3">
      <c r="A7" s="22"/>
      <c r="B7" s="22"/>
      <c r="C7" s="22"/>
      <c r="D7" s="22"/>
      <c r="E7" s="25"/>
      <c r="F7" s="29"/>
      <c r="G7" s="25"/>
      <c r="H7" s="29"/>
      <c r="I7" s="25"/>
      <c r="J7" s="29"/>
      <c r="K7" s="25"/>
      <c r="L7" s="29"/>
      <c r="M7" s="22"/>
    </row>
    <row r="8" spans="1:52" ht="30" customHeight="1" x14ac:dyDescent="0.3">
      <c r="A8" s="17" t="s">
        <v>177</v>
      </c>
      <c r="B8" s="18"/>
      <c r="C8" s="18"/>
      <c r="D8" s="18"/>
      <c r="E8" s="23"/>
      <c r="F8" s="27"/>
      <c r="G8" s="23"/>
      <c r="H8" s="27"/>
      <c r="I8" s="23"/>
      <c r="J8" s="27"/>
      <c r="K8" s="23"/>
      <c r="L8" s="27"/>
      <c r="M8" s="19"/>
      <c r="N8" s="1" t="s">
        <v>77</v>
      </c>
    </row>
    <row r="9" spans="1:52" ht="30" customHeight="1" x14ac:dyDescent="0.3">
      <c r="A9" s="20" t="s">
        <v>178</v>
      </c>
      <c r="B9" s="20" t="s">
        <v>179</v>
      </c>
      <c r="C9" s="20" t="s">
        <v>81</v>
      </c>
      <c r="D9" s="21">
        <v>1</v>
      </c>
      <c r="E9" s="24">
        <f>단가대비표!O7</f>
        <v>474000</v>
      </c>
      <c r="F9" s="28">
        <f>TRUNC(E9*D9,1)</f>
        <v>474000</v>
      </c>
      <c r="G9" s="24">
        <f>단가대비표!P7</f>
        <v>0</v>
      </c>
      <c r="H9" s="28">
        <f>TRUNC(G9*D9,1)</f>
        <v>0</v>
      </c>
      <c r="I9" s="24">
        <f>단가대비표!V7</f>
        <v>0</v>
      </c>
      <c r="J9" s="28">
        <f>TRUNC(I9*D9,1)</f>
        <v>0</v>
      </c>
      <c r="K9" s="24">
        <f>TRUNC(E9+G9+I9,1)</f>
        <v>474000</v>
      </c>
      <c r="L9" s="28">
        <f>TRUNC(F9+H9+J9,1)</f>
        <v>474000</v>
      </c>
      <c r="M9" s="20" t="s">
        <v>51</v>
      </c>
      <c r="N9" s="1" t="s">
        <v>77</v>
      </c>
      <c r="O9" s="1" t="s">
        <v>180</v>
      </c>
      <c r="P9" s="1" t="s">
        <v>59</v>
      </c>
      <c r="Q9" s="1" t="s">
        <v>59</v>
      </c>
      <c r="R9" s="1" t="s">
        <v>58</v>
      </c>
      <c r="AV9" s="1" t="s">
        <v>51</v>
      </c>
      <c r="AW9" s="1" t="s">
        <v>181</v>
      </c>
      <c r="AX9" s="1" t="s">
        <v>51</v>
      </c>
      <c r="AY9" s="1" t="s">
        <v>51</v>
      </c>
      <c r="AZ9" s="1" t="s">
        <v>51</v>
      </c>
    </row>
    <row r="10" spans="1:52" ht="30" customHeight="1" x14ac:dyDescent="0.3">
      <c r="A10" s="20" t="s">
        <v>182</v>
      </c>
      <c r="B10" s="20" t="s">
        <v>183</v>
      </c>
      <c r="C10" s="20" t="s">
        <v>76</v>
      </c>
      <c r="D10" s="21">
        <v>1</v>
      </c>
      <c r="E10" s="24">
        <f>일위대가목록!E13</f>
        <v>0</v>
      </c>
      <c r="F10" s="28">
        <f>TRUNC(E10*D10,1)</f>
        <v>0</v>
      </c>
      <c r="G10" s="24">
        <f>일위대가목록!F13</f>
        <v>74889</v>
      </c>
      <c r="H10" s="28">
        <f>TRUNC(G10*D10,1)</f>
        <v>74889</v>
      </c>
      <c r="I10" s="24">
        <f>일위대가목록!G13</f>
        <v>2246</v>
      </c>
      <c r="J10" s="28">
        <f>TRUNC(I10*D10,1)</f>
        <v>2246</v>
      </c>
      <c r="K10" s="24">
        <f>TRUNC(E10+G10+I10,1)</f>
        <v>77135</v>
      </c>
      <c r="L10" s="28">
        <f>TRUNC(F10+H10+J10,1)</f>
        <v>77135</v>
      </c>
      <c r="M10" s="20" t="s">
        <v>51</v>
      </c>
      <c r="N10" s="1" t="s">
        <v>77</v>
      </c>
      <c r="O10" s="1" t="s">
        <v>184</v>
      </c>
      <c r="P10" s="1" t="s">
        <v>58</v>
      </c>
      <c r="Q10" s="1" t="s">
        <v>59</v>
      </c>
      <c r="R10" s="1" t="s">
        <v>59</v>
      </c>
      <c r="AV10" s="1" t="s">
        <v>51</v>
      </c>
      <c r="AW10" s="1" t="s">
        <v>185</v>
      </c>
      <c r="AX10" s="1" t="s">
        <v>51</v>
      </c>
      <c r="AY10" s="1" t="s">
        <v>51</v>
      </c>
      <c r="AZ10" s="1" t="s">
        <v>51</v>
      </c>
    </row>
    <row r="11" spans="1:52" ht="30" customHeight="1" x14ac:dyDescent="0.3">
      <c r="A11" s="20" t="s">
        <v>154</v>
      </c>
      <c r="B11" s="20" t="s">
        <v>51</v>
      </c>
      <c r="C11" s="20" t="s">
        <v>51</v>
      </c>
      <c r="D11" s="21"/>
      <c r="E11" s="24"/>
      <c r="F11" s="28">
        <f>TRUNC(SUMIF(N9:N10, N8, F9:F10),0)</f>
        <v>474000</v>
      </c>
      <c r="G11" s="24"/>
      <c r="H11" s="28">
        <f>TRUNC(SUMIF(N9:N10, N8, H9:H10),0)</f>
        <v>74889</v>
      </c>
      <c r="I11" s="24"/>
      <c r="J11" s="28">
        <f>TRUNC(SUMIF(N9:N10, N8, J9:J10),0)</f>
        <v>2246</v>
      </c>
      <c r="K11" s="24"/>
      <c r="L11" s="28">
        <f>F11+H11+J11</f>
        <v>551135</v>
      </c>
      <c r="M11" s="20" t="s">
        <v>51</v>
      </c>
      <c r="N11" s="1" t="s">
        <v>66</v>
      </c>
      <c r="O11" s="1" t="s">
        <v>66</v>
      </c>
      <c r="P11" s="1" t="s">
        <v>51</v>
      </c>
      <c r="Q11" s="1" t="s">
        <v>51</v>
      </c>
      <c r="R11" s="1" t="s">
        <v>51</v>
      </c>
      <c r="AV11" s="1" t="s">
        <v>51</v>
      </c>
      <c r="AW11" s="1" t="s">
        <v>51</v>
      </c>
      <c r="AX11" s="1" t="s">
        <v>51</v>
      </c>
      <c r="AY11" s="1" t="s">
        <v>51</v>
      </c>
      <c r="AZ11" s="1" t="s">
        <v>51</v>
      </c>
    </row>
    <row r="12" spans="1:52" ht="30" customHeight="1" x14ac:dyDescent="0.3">
      <c r="A12" s="17" t="s">
        <v>186</v>
      </c>
      <c r="B12" s="18"/>
      <c r="C12" s="18"/>
      <c r="D12" s="18"/>
      <c r="E12" s="23"/>
      <c r="F12" s="27"/>
      <c r="G12" s="23"/>
      <c r="H12" s="27"/>
      <c r="I12" s="23"/>
      <c r="J12" s="27"/>
      <c r="K12" s="23"/>
      <c r="L12" s="27"/>
      <c r="M12" s="19"/>
      <c r="N12" s="1" t="s">
        <v>86</v>
      </c>
    </row>
    <row r="13" spans="1:52" ht="30" customHeight="1" x14ac:dyDescent="0.3">
      <c r="A13" s="20" t="s">
        <v>187</v>
      </c>
      <c r="B13" s="20" t="s">
        <v>158</v>
      </c>
      <c r="C13" s="20" t="s">
        <v>62</v>
      </c>
      <c r="D13" s="21">
        <v>6.2E-2</v>
      </c>
      <c r="E13" s="24">
        <f>단가대비표!O31</f>
        <v>0</v>
      </c>
      <c r="F13" s="28">
        <f>TRUNC(E13*D13,1)</f>
        <v>0</v>
      </c>
      <c r="G13" s="24">
        <f>단가대비표!P31</f>
        <v>249088</v>
      </c>
      <c r="H13" s="28">
        <f>TRUNC(G13*D13,1)</f>
        <v>15443.4</v>
      </c>
      <c r="I13" s="24">
        <f>단가대비표!V31</f>
        <v>0</v>
      </c>
      <c r="J13" s="28">
        <f>TRUNC(I13*D13,1)</f>
        <v>0</v>
      </c>
      <c r="K13" s="24">
        <f t="shared" ref="K13:L15" si="0">TRUNC(E13+G13+I13,1)</f>
        <v>249088</v>
      </c>
      <c r="L13" s="28">
        <f t="shared" si="0"/>
        <v>15443.4</v>
      </c>
      <c r="M13" s="20" t="s">
        <v>51</v>
      </c>
      <c r="N13" s="1" t="s">
        <v>86</v>
      </c>
      <c r="O13" s="1" t="s">
        <v>188</v>
      </c>
      <c r="P13" s="1" t="s">
        <v>59</v>
      </c>
      <c r="Q13" s="1" t="s">
        <v>59</v>
      </c>
      <c r="R13" s="1" t="s">
        <v>58</v>
      </c>
      <c r="V13">
        <v>1</v>
      </c>
      <c r="AV13" s="1" t="s">
        <v>51</v>
      </c>
      <c r="AW13" s="1" t="s">
        <v>189</v>
      </c>
      <c r="AX13" s="1" t="s">
        <v>51</v>
      </c>
      <c r="AY13" s="1" t="s">
        <v>51</v>
      </c>
      <c r="AZ13" s="1" t="s">
        <v>51</v>
      </c>
    </row>
    <row r="14" spans="1:52" ht="30" customHeight="1" x14ac:dyDescent="0.3">
      <c r="A14" s="20" t="s">
        <v>157</v>
      </c>
      <c r="B14" s="20" t="s">
        <v>158</v>
      </c>
      <c r="C14" s="20" t="s">
        <v>62</v>
      </c>
      <c r="D14" s="21">
        <v>3.1E-2</v>
      </c>
      <c r="E14" s="24">
        <f>단가대비표!O27</f>
        <v>0</v>
      </c>
      <c r="F14" s="28">
        <f>TRUNC(E14*D14,1)</f>
        <v>0</v>
      </c>
      <c r="G14" s="24">
        <f>단가대비표!P27</f>
        <v>167081</v>
      </c>
      <c r="H14" s="28">
        <f>TRUNC(G14*D14,1)</f>
        <v>5179.5</v>
      </c>
      <c r="I14" s="24">
        <f>단가대비표!V27</f>
        <v>0</v>
      </c>
      <c r="J14" s="28">
        <f>TRUNC(I14*D14,1)</f>
        <v>0</v>
      </c>
      <c r="K14" s="24">
        <f t="shared" si="0"/>
        <v>167081</v>
      </c>
      <c r="L14" s="28">
        <f t="shared" si="0"/>
        <v>5179.5</v>
      </c>
      <c r="M14" s="20" t="s">
        <v>51</v>
      </c>
      <c r="N14" s="1" t="s">
        <v>86</v>
      </c>
      <c r="O14" s="1" t="s">
        <v>159</v>
      </c>
      <c r="P14" s="1" t="s">
        <v>59</v>
      </c>
      <c r="Q14" s="1" t="s">
        <v>59</v>
      </c>
      <c r="R14" s="1" t="s">
        <v>58</v>
      </c>
      <c r="V14">
        <v>1</v>
      </c>
      <c r="AV14" s="1" t="s">
        <v>51</v>
      </c>
      <c r="AW14" s="1" t="s">
        <v>190</v>
      </c>
      <c r="AX14" s="1" t="s">
        <v>51</v>
      </c>
      <c r="AY14" s="1" t="s">
        <v>51</v>
      </c>
      <c r="AZ14" s="1" t="s">
        <v>51</v>
      </c>
    </row>
    <row r="15" spans="1:52" ht="30" customHeight="1" x14ac:dyDescent="0.3">
      <c r="A15" s="20" t="s">
        <v>163</v>
      </c>
      <c r="B15" s="20" t="s">
        <v>164</v>
      </c>
      <c r="C15" s="20" t="s">
        <v>125</v>
      </c>
      <c r="D15" s="21">
        <v>1</v>
      </c>
      <c r="E15" s="24">
        <v>0</v>
      </c>
      <c r="F15" s="28">
        <f>TRUNC(E15*D15,1)</f>
        <v>0</v>
      </c>
      <c r="G15" s="24">
        <v>0</v>
      </c>
      <c r="H15" s="28">
        <f>TRUNC(G15*D15,1)</f>
        <v>0</v>
      </c>
      <c r="I15" s="24">
        <f>TRUNC(SUMIF(V13:V15, RIGHTB(O15, 1), H13:H15)*U15, 2)</f>
        <v>412.45</v>
      </c>
      <c r="J15" s="28">
        <f>TRUNC(I15*D15,1)</f>
        <v>412.4</v>
      </c>
      <c r="K15" s="24">
        <f t="shared" si="0"/>
        <v>412.4</v>
      </c>
      <c r="L15" s="28">
        <f t="shared" si="0"/>
        <v>412.4</v>
      </c>
      <c r="M15" s="20" t="s">
        <v>51</v>
      </c>
      <c r="N15" s="1" t="s">
        <v>86</v>
      </c>
      <c r="O15" s="1" t="s">
        <v>155</v>
      </c>
      <c r="P15" s="1" t="s">
        <v>59</v>
      </c>
      <c r="Q15" s="1" t="s">
        <v>59</v>
      </c>
      <c r="R15" s="1" t="s">
        <v>59</v>
      </c>
      <c r="S15">
        <v>1</v>
      </c>
      <c r="T15">
        <v>2</v>
      </c>
      <c r="U15">
        <v>0.02</v>
      </c>
      <c r="AV15" s="1" t="s">
        <v>51</v>
      </c>
      <c r="AW15" s="1" t="s">
        <v>191</v>
      </c>
      <c r="AX15" s="1" t="s">
        <v>51</v>
      </c>
      <c r="AY15" s="1" t="s">
        <v>51</v>
      </c>
      <c r="AZ15" s="1" t="s">
        <v>51</v>
      </c>
    </row>
    <row r="16" spans="1:52" ht="30" customHeight="1" x14ac:dyDescent="0.3">
      <c r="A16" s="20" t="s">
        <v>154</v>
      </c>
      <c r="B16" s="20" t="s">
        <v>51</v>
      </c>
      <c r="C16" s="20" t="s">
        <v>51</v>
      </c>
      <c r="D16" s="21"/>
      <c r="E16" s="24"/>
      <c r="F16" s="28">
        <f>TRUNC(SUMIF(N13:N15, N12, F13:F15),0)</f>
        <v>0</v>
      </c>
      <c r="G16" s="24"/>
      <c r="H16" s="28">
        <f>TRUNC(SUMIF(N13:N15, N12, H13:H15),0)</f>
        <v>20622</v>
      </c>
      <c r="I16" s="24"/>
      <c r="J16" s="28">
        <f>TRUNC(SUMIF(N13:N15, N12, J13:J15),0)</f>
        <v>412</v>
      </c>
      <c r="K16" s="24"/>
      <c r="L16" s="28">
        <f>F16+H16+J16</f>
        <v>21034</v>
      </c>
      <c r="M16" s="20" t="s">
        <v>51</v>
      </c>
      <c r="N16" s="1" t="s">
        <v>66</v>
      </c>
      <c r="O16" s="1" t="s">
        <v>66</v>
      </c>
      <c r="P16" s="1" t="s">
        <v>51</v>
      </c>
      <c r="Q16" s="1" t="s">
        <v>51</v>
      </c>
      <c r="R16" s="1" t="s">
        <v>51</v>
      </c>
      <c r="AV16" s="1" t="s">
        <v>51</v>
      </c>
      <c r="AW16" s="1" t="s">
        <v>51</v>
      </c>
      <c r="AX16" s="1" t="s">
        <v>51</v>
      </c>
      <c r="AY16" s="1" t="s">
        <v>51</v>
      </c>
      <c r="AZ16" s="1" t="s">
        <v>51</v>
      </c>
    </row>
    <row r="17" spans="1:52" ht="30" customHeight="1" x14ac:dyDescent="0.3">
      <c r="A17" s="22"/>
      <c r="B17" s="22"/>
      <c r="C17" s="22"/>
      <c r="D17" s="22"/>
      <c r="E17" s="25"/>
      <c r="F17" s="29"/>
      <c r="G17" s="25"/>
      <c r="H17" s="29"/>
      <c r="I17" s="25"/>
      <c r="J17" s="29"/>
      <c r="K17" s="25"/>
      <c r="L17" s="29"/>
      <c r="M17" s="22"/>
    </row>
    <row r="18" spans="1:52" ht="30" customHeight="1" x14ac:dyDescent="0.3">
      <c r="A18" s="17" t="s">
        <v>192</v>
      </c>
      <c r="B18" s="18"/>
      <c r="C18" s="18"/>
      <c r="D18" s="18"/>
      <c r="E18" s="23"/>
      <c r="F18" s="27"/>
      <c r="G18" s="23"/>
      <c r="H18" s="27"/>
      <c r="I18" s="23"/>
      <c r="J18" s="27"/>
      <c r="K18" s="23"/>
      <c r="L18" s="27"/>
      <c r="M18" s="19"/>
      <c r="N18" s="1" t="s">
        <v>97</v>
      </c>
    </row>
    <row r="19" spans="1:52" ht="30" customHeight="1" x14ac:dyDescent="0.3">
      <c r="A19" s="20" t="s">
        <v>187</v>
      </c>
      <c r="B19" s="20" t="s">
        <v>158</v>
      </c>
      <c r="C19" s="20" t="s">
        <v>62</v>
      </c>
      <c r="D19" s="21">
        <v>4.2999999999999997E-2</v>
      </c>
      <c r="E19" s="24">
        <f>단가대비표!O31</f>
        <v>0</v>
      </c>
      <c r="F19" s="28">
        <f>TRUNC(E19*D19,1)</f>
        <v>0</v>
      </c>
      <c r="G19" s="24">
        <f>단가대비표!P31</f>
        <v>249088</v>
      </c>
      <c r="H19" s="28">
        <f>TRUNC(G19*D19,1)</f>
        <v>10710.7</v>
      </c>
      <c r="I19" s="24">
        <f>단가대비표!V31</f>
        <v>0</v>
      </c>
      <c r="J19" s="28">
        <f>TRUNC(I19*D19,1)</f>
        <v>0</v>
      </c>
      <c r="K19" s="24">
        <f>TRUNC(E19+G19+I19,1)</f>
        <v>249088</v>
      </c>
      <c r="L19" s="28">
        <f>TRUNC(F19+H19+J19,1)</f>
        <v>10710.7</v>
      </c>
      <c r="M19" s="20" t="s">
        <v>51</v>
      </c>
      <c r="N19" s="1" t="s">
        <v>97</v>
      </c>
      <c r="O19" s="1" t="s">
        <v>188</v>
      </c>
      <c r="P19" s="1" t="s">
        <v>59</v>
      </c>
      <c r="Q19" s="1" t="s">
        <v>59</v>
      </c>
      <c r="R19" s="1" t="s">
        <v>58</v>
      </c>
      <c r="V19">
        <v>1</v>
      </c>
      <c r="AV19" s="1" t="s">
        <v>51</v>
      </c>
      <c r="AW19" s="1" t="s">
        <v>193</v>
      </c>
      <c r="AX19" s="1" t="s">
        <v>51</v>
      </c>
      <c r="AY19" s="1" t="s">
        <v>51</v>
      </c>
      <c r="AZ19" s="1" t="s">
        <v>51</v>
      </c>
    </row>
    <row r="20" spans="1:52" ht="30" customHeight="1" x14ac:dyDescent="0.3">
      <c r="A20" s="20" t="s">
        <v>163</v>
      </c>
      <c r="B20" s="20" t="s">
        <v>164</v>
      </c>
      <c r="C20" s="20" t="s">
        <v>125</v>
      </c>
      <c r="D20" s="21">
        <v>1</v>
      </c>
      <c r="E20" s="24">
        <v>0</v>
      </c>
      <c r="F20" s="28">
        <f>TRUNC(E20*D20,1)</f>
        <v>0</v>
      </c>
      <c r="G20" s="24">
        <v>0</v>
      </c>
      <c r="H20" s="28">
        <f>TRUNC(G20*D20,1)</f>
        <v>0</v>
      </c>
      <c r="I20" s="24">
        <f>TRUNC(SUMIF(V19:V20, RIGHTB(O20, 1), H19:H20)*U20, 2)</f>
        <v>214.21</v>
      </c>
      <c r="J20" s="28">
        <f>TRUNC(I20*D20,1)</f>
        <v>214.2</v>
      </c>
      <c r="K20" s="24">
        <f>TRUNC(E20+G20+I20,1)</f>
        <v>214.2</v>
      </c>
      <c r="L20" s="28">
        <f>TRUNC(F20+H20+J20,1)</f>
        <v>214.2</v>
      </c>
      <c r="M20" s="20" t="s">
        <v>51</v>
      </c>
      <c r="N20" s="1" t="s">
        <v>97</v>
      </c>
      <c r="O20" s="1" t="s">
        <v>155</v>
      </c>
      <c r="P20" s="1" t="s">
        <v>59</v>
      </c>
      <c r="Q20" s="1" t="s">
        <v>59</v>
      </c>
      <c r="R20" s="1" t="s">
        <v>59</v>
      </c>
      <c r="S20">
        <v>1</v>
      </c>
      <c r="T20">
        <v>2</v>
      </c>
      <c r="U20">
        <v>0.02</v>
      </c>
      <c r="AV20" s="1" t="s">
        <v>51</v>
      </c>
      <c r="AW20" s="1" t="s">
        <v>194</v>
      </c>
      <c r="AX20" s="1" t="s">
        <v>51</v>
      </c>
      <c r="AY20" s="1" t="s">
        <v>51</v>
      </c>
      <c r="AZ20" s="1" t="s">
        <v>51</v>
      </c>
    </row>
    <row r="21" spans="1:52" ht="30" customHeight="1" x14ac:dyDescent="0.3">
      <c r="A21" s="20" t="s">
        <v>154</v>
      </c>
      <c r="B21" s="20" t="s">
        <v>51</v>
      </c>
      <c r="C21" s="20" t="s">
        <v>51</v>
      </c>
      <c r="D21" s="21"/>
      <c r="E21" s="24"/>
      <c r="F21" s="28">
        <f>TRUNC(SUMIF(N19:N20, N18, F19:F20),0)</f>
        <v>0</v>
      </c>
      <c r="G21" s="24"/>
      <c r="H21" s="28">
        <f>TRUNC(SUMIF(N19:N20, N18, H19:H20),0)</f>
        <v>10710</v>
      </c>
      <c r="I21" s="24"/>
      <c r="J21" s="28">
        <f>TRUNC(SUMIF(N19:N20, N18, J19:J20),0)</f>
        <v>214</v>
      </c>
      <c r="K21" s="24"/>
      <c r="L21" s="28">
        <f>F21+H21+J21</f>
        <v>10924</v>
      </c>
      <c r="M21" s="20" t="s">
        <v>51</v>
      </c>
      <c r="N21" s="1" t="s">
        <v>66</v>
      </c>
      <c r="O21" s="1" t="s">
        <v>66</v>
      </c>
      <c r="P21" s="1" t="s">
        <v>51</v>
      </c>
      <c r="Q21" s="1" t="s">
        <v>51</v>
      </c>
      <c r="R21" s="1" t="s">
        <v>51</v>
      </c>
      <c r="AV21" s="1" t="s">
        <v>51</v>
      </c>
      <c r="AW21" s="1" t="s">
        <v>51</v>
      </c>
      <c r="AX21" s="1" t="s">
        <v>51</v>
      </c>
      <c r="AY21" s="1" t="s">
        <v>51</v>
      </c>
      <c r="AZ21" s="1" t="s">
        <v>51</v>
      </c>
    </row>
    <row r="22" spans="1:52" ht="30" customHeight="1" x14ac:dyDescent="0.3">
      <c r="A22" s="22"/>
      <c r="B22" s="22"/>
      <c r="C22" s="22"/>
      <c r="D22" s="22"/>
      <c r="E22" s="25"/>
      <c r="F22" s="29"/>
      <c r="G22" s="25"/>
      <c r="H22" s="29"/>
      <c r="I22" s="25"/>
      <c r="J22" s="29"/>
      <c r="K22" s="25"/>
      <c r="L22" s="29"/>
      <c r="M22" s="22"/>
    </row>
    <row r="23" spans="1:52" ht="30" customHeight="1" x14ac:dyDescent="0.3">
      <c r="A23" s="17" t="s">
        <v>195</v>
      </c>
      <c r="B23" s="18"/>
      <c r="C23" s="18"/>
      <c r="D23" s="18"/>
      <c r="E23" s="23"/>
      <c r="F23" s="27"/>
      <c r="G23" s="23"/>
      <c r="H23" s="27"/>
      <c r="I23" s="23"/>
      <c r="J23" s="27"/>
      <c r="K23" s="23"/>
      <c r="L23" s="27"/>
      <c r="M23" s="19"/>
      <c r="N23" s="1" t="s">
        <v>103</v>
      </c>
    </row>
    <row r="24" spans="1:52" ht="30" customHeight="1" x14ac:dyDescent="0.3">
      <c r="A24" s="20" t="s">
        <v>187</v>
      </c>
      <c r="B24" s="20" t="s">
        <v>158</v>
      </c>
      <c r="C24" s="20" t="s">
        <v>62</v>
      </c>
      <c r="D24" s="21">
        <v>2.4E-2</v>
      </c>
      <c r="E24" s="24">
        <f>단가대비표!O31</f>
        <v>0</v>
      </c>
      <c r="F24" s="28">
        <f>TRUNC(E24*D24,1)</f>
        <v>0</v>
      </c>
      <c r="G24" s="24">
        <f>단가대비표!P31</f>
        <v>249088</v>
      </c>
      <c r="H24" s="28">
        <f>TRUNC(G24*D24,1)</f>
        <v>5978.1</v>
      </c>
      <c r="I24" s="24">
        <f>단가대비표!V31</f>
        <v>0</v>
      </c>
      <c r="J24" s="28">
        <f>TRUNC(I24*D24,1)</f>
        <v>0</v>
      </c>
      <c r="K24" s="24">
        <f>TRUNC(E24+G24+I24,1)</f>
        <v>249088</v>
      </c>
      <c r="L24" s="28">
        <f>TRUNC(F24+H24+J24,1)</f>
        <v>5978.1</v>
      </c>
      <c r="M24" s="20" t="s">
        <v>51</v>
      </c>
      <c r="N24" s="1" t="s">
        <v>103</v>
      </c>
      <c r="O24" s="1" t="s">
        <v>188</v>
      </c>
      <c r="P24" s="1" t="s">
        <v>59</v>
      </c>
      <c r="Q24" s="1" t="s">
        <v>59</v>
      </c>
      <c r="R24" s="1" t="s">
        <v>58</v>
      </c>
      <c r="V24">
        <v>1</v>
      </c>
      <c r="AV24" s="1" t="s">
        <v>51</v>
      </c>
      <c r="AW24" s="1" t="s">
        <v>196</v>
      </c>
      <c r="AX24" s="1" t="s">
        <v>51</v>
      </c>
      <c r="AY24" s="1" t="s">
        <v>51</v>
      </c>
      <c r="AZ24" s="1" t="s">
        <v>51</v>
      </c>
    </row>
    <row r="25" spans="1:52" ht="30" customHeight="1" x14ac:dyDescent="0.3">
      <c r="A25" s="20" t="s">
        <v>163</v>
      </c>
      <c r="B25" s="20" t="s">
        <v>164</v>
      </c>
      <c r="C25" s="20" t="s">
        <v>125</v>
      </c>
      <c r="D25" s="21">
        <v>1</v>
      </c>
      <c r="E25" s="24">
        <v>0</v>
      </c>
      <c r="F25" s="28">
        <f>TRUNC(E25*D25,1)</f>
        <v>0</v>
      </c>
      <c r="G25" s="24">
        <v>0</v>
      </c>
      <c r="H25" s="28">
        <f>TRUNC(G25*D25,1)</f>
        <v>0</v>
      </c>
      <c r="I25" s="24">
        <f>TRUNC(SUMIF(V24:V25, RIGHTB(O25, 1), H24:H25)*U25, 2)</f>
        <v>119.56</v>
      </c>
      <c r="J25" s="28">
        <f>TRUNC(I25*D25,1)</f>
        <v>119.5</v>
      </c>
      <c r="K25" s="24">
        <f>TRUNC(E25+G25+I25,1)</f>
        <v>119.5</v>
      </c>
      <c r="L25" s="28">
        <f>TRUNC(F25+H25+J25,1)</f>
        <v>119.5</v>
      </c>
      <c r="M25" s="20" t="s">
        <v>51</v>
      </c>
      <c r="N25" s="1" t="s">
        <v>103</v>
      </c>
      <c r="O25" s="1" t="s">
        <v>155</v>
      </c>
      <c r="P25" s="1" t="s">
        <v>59</v>
      </c>
      <c r="Q25" s="1" t="s">
        <v>59</v>
      </c>
      <c r="R25" s="1" t="s">
        <v>59</v>
      </c>
      <c r="S25">
        <v>1</v>
      </c>
      <c r="T25">
        <v>2</v>
      </c>
      <c r="U25">
        <v>0.02</v>
      </c>
      <c r="AV25" s="1" t="s">
        <v>51</v>
      </c>
      <c r="AW25" s="1" t="s">
        <v>197</v>
      </c>
      <c r="AX25" s="1" t="s">
        <v>51</v>
      </c>
      <c r="AY25" s="1" t="s">
        <v>51</v>
      </c>
      <c r="AZ25" s="1" t="s">
        <v>51</v>
      </c>
    </row>
    <row r="26" spans="1:52" ht="30" customHeight="1" x14ac:dyDescent="0.3">
      <c r="A26" s="20" t="s">
        <v>154</v>
      </c>
      <c r="B26" s="20" t="s">
        <v>51</v>
      </c>
      <c r="C26" s="20" t="s">
        <v>51</v>
      </c>
      <c r="D26" s="21"/>
      <c r="E26" s="24"/>
      <c r="F26" s="28">
        <f>TRUNC(SUMIF(N24:N25, N23, F24:F25),0)</f>
        <v>0</v>
      </c>
      <c r="G26" s="24"/>
      <c r="H26" s="28">
        <f>TRUNC(SUMIF(N24:N25, N23, H24:H25),0)</f>
        <v>5978</v>
      </c>
      <c r="I26" s="24"/>
      <c r="J26" s="28">
        <f>TRUNC(SUMIF(N24:N25, N23, J24:J25),0)</f>
        <v>119</v>
      </c>
      <c r="K26" s="24"/>
      <c r="L26" s="28">
        <f>F26+H26+J26</f>
        <v>6097</v>
      </c>
      <c r="M26" s="20" t="s">
        <v>51</v>
      </c>
      <c r="N26" s="1" t="s">
        <v>66</v>
      </c>
      <c r="O26" s="1" t="s">
        <v>66</v>
      </c>
      <c r="P26" s="1" t="s">
        <v>51</v>
      </c>
      <c r="Q26" s="1" t="s">
        <v>51</v>
      </c>
      <c r="R26" s="1" t="s">
        <v>51</v>
      </c>
      <c r="AV26" s="1" t="s">
        <v>51</v>
      </c>
      <c r="AW26" s="1" t="s">
        <v>51</v>
      </c>
      <c r="AX26" s="1" t="s">
        <v>51</v>
      </c>
      <c r="AY26" s="1" t="s">
        <v>51</v>
      </c>
      <c r="AZ26" s="1" t="s">
        <v>51</v>
      </c>
    </row>
    <row r="27" spans="1:52" ht="30" customHeight="1" x14ac:dyDescent="0.3">
      <c r="A27" s="22"/>
      <c r="B27" s="22"/>
      <c r="C27" s="22"/>
      <c r="D27" s="22"/>
      <c r="E27" s="25"/>
      <c r="F27" s="29"/>
      <c r="G27" s="25"/>
      <c r="H27" s="29"/>
      <c r="I27" s="25"/>
      <c r="J27" s="29"/>
      <c r="K27" s="25"/>
      <c r="L27" s="29"/>
      <c r="M27" s="22"/>
    </row>
    <row r="28" spans="1:52" ht="30" customHeight="1" x14ac:dyDescent="0.3">
      <c r="A28" s="17" t="s">
        <v>210</v>
      </c>
      <c r="B28" s="18"/>
      <c r="C28" s="18"/>
      <c r="D28" s="18"/>
      <c r="E28" s="23"/>
      <c r="F28" s="27"/>
      <c r="G28" s="23"/>
      <c r="H28" s="27"/>
      <c r="I28" s="23"/>
      <c r="J28" s="27"/>
      <c r="K28" s="23"/>
      <c r="L28" s="27"/>
      <c r="M28" s="19"/>
      <c r="N28" s="1" t="s">
        <v>114</v>
      </c>
    </row>
    <row r="29" spans="1:52" ht="30" customHeight="1" x14ac:dyDescent="0.3">
      <c r="A29" s="20" t="s">
        <v>157</v>
      </c>
      <c r="B29" s="20" t="s">
        <v>158</v>
      </c>
      <c r="C29" s="20" t="s">
        <v>62</v>
      </c>
      <c r="D29" s="21">
        <v>0.126</v>
      </c>
      <c r="E29" s="24">
        <f>단가대비표!O27</f>
        <v>0</v>
      </c>
      <c r="F29" s="28">
        <f>TRUNC(E29*D29,1)</f>
        <v>0</v>
      </c>
      <c r="G29" s="24">
        <f>단가대비표!P27</f>
        <v>167081</v>
      </c>
      <c r="H29" s="28">
        <f>TRUNC(G29*D29,1)</f>
        <v>21052.2</v>
      </c>
      <c r="I29" s="24">
        <f>단가대비표!V27</f>
        <v>0</v>
      </c>
      <c r="J29" s="28">
        <f>TRUNC(I29*D29,1)</f>
        <v>0</v>
      </c>
      <c r="K29" s="24">
        <f>TRUNC(E29+G29+I29,1)</f>
        <v>167081</v>
      </c>
      <c r="L29" s="28">
        <f>TRUNC(F29+H29+J29,1)</f>
        <v>21052.2</v>
      </c>
      <c r="M29" s="20" t="s">
        <v>51</v>
      </c>
      <c r="N29" s="1" t="s">
        <v>114</v>
      </c>
      <c r="O29" s="1" t="s">
        <v>159</v>
      </c>
      <c r="P29" s="1" t="s">
        <v>59</v>
      </c>
      <c r="Q29" s="1" t="s">
        <v>59</v>
      </c>
      <c r="R29" s="1" t="s">
        <v>58</v>
      </c>
      <c r="V29">
        <v>1</v>
      </c>
      <c r="AV29" s="1" t="s">
        <v>51</v>
      </c>
      <c r="AW29" s="1" t="s">
        <v>211</v>
      </c>
      <c r="AX29" s="1" t="s">
        <v>51</v>
      </c>
      <c r="AY29" s="1" t="s">
        <v>51</v>
      </c>
      <c r="AZ29" s="1" t="s">
        <v>51</v>
      </c>
    </row>
    <row r="30" spans="1:52" ht="30" customHeight="1" x14ac:dyDescent="0.3">
      <c r="A30" s="20" t="s">
        <v>163</v>
      </c>
      <c r="B30" s="20" t="s">
        <v>209</v>
      </c>
      <c r="C30" s="20" t="s">
        <v>125</v>
      </c>
      <c r="D30" s="21">
        <v>1</v>
      </c>
      <c r="E30" s="24">
        <f>TRUNC(SUMIF(V29:V30, RIGHTB(O30, 1), H29:H30)*U30, 2)</f>
        <v>631.55999999999995</v>
      </c>
      <c r="F30" s="28">
        <f>TRUNC(E30*D30,1)</f>
        <v>631.5</v>
      </c>
      <c r="G30" s="24">
        <v>0</v>
      </c>
      <c r="H30" s="28">
        <f>TRUNC(G30*D30,1)</f>
        <v>0</v>
      </c>
      <c r="I30" s="24">
        <v>0</v>
      </c>
      <c r="J30" s="28">
        <f>TRUNC(I30*D30,1)</f>
        <v>0</v>
      </c>
      <c r="K30" s="24">
        <f>TRUNC(E30+G30+I30,1)</f>
        <v>631.5</v>
      </c>
      <c r="L30" s="28">
        <f>TRUNC(F30+H30+J30,1)</f>
        <v>631.5</v>
      </c>
      <c r="M30" s="20" t="s">
        <v>51</v>
      </c>
      <c r="N30" s="1" t="s">
        <v>114</v>
      </c>
      <c r="O30" s="1" t="s">
        <v>155</v>
      </c>
      <c r="P30" s="1" t="s">
        <v>59</v>
      </c>
      <c r="Q30" s="1" t="s">
        <v>59</v>
      </c>
      <c r="R30" s="1" t="s">
        <v>59</v>
      </c>
      <c r="S30">
        <v>1</v>
      </c>
      <c r="T30">
        <v>0</v>
      </c>
      <c r="U30">
        <v>0.03</v>
      </c>
      <c r="AV30" s="1" t="s">
        <v>51</v>
      </c>
      <c r="AW30" s="1" t="s">
        <v>212</v>
      </c>
      <c r="AX30" s="1" t="s">
        <v>51</v>
      </c>
      <c r="AY30" s="1" t="s">
        <v>51</v>
      </c>
      <c r="AZ30" s="1" t="s">
        <v>51</v>
      </c>
    </row>
    <row r="31" spans="1:52" ht="30" customHeight="1" x14ac:dyDescent="0.3">
      <c r="A31" s="20" t="s">
        <v>154</v>
      </c>
      <c r="B31" s="20" t="s">
        <v>51</v>
      </c>
      <c r="C31" s="20" t="s">
        <v>51</v>
      </c>
      <c r="D31" s="21"/>
      <c r="E31" s="24"/>
      <c r="F31" s="28">
        <f>TRUNC(SUMIF(N29:N30, N28, F29:F30),0)</f>
        <v>631</v>
      </c>
      <c r="G31" s="24"/>
      <c r="H31" s="28">
        <f>TRUNC(SUMIF(N29:N30, N28, H29:H30),0)</f>
        <v>21052</v>
      </c>
      <c r="I31" s="24"/>
      <c r="J31" s="28">
        <f>TRUNC(SUMIF(N29:N30, N28, J29:J30),0)</f>
        <v>0</v>
      </c>
      <c r="K31" s="24"/>
      <c r="L31" s="28">
        <f>F31+H31+J31</f>
        <v>21683</v>
      </c>
      <c r="M31" s="20" t="s">
        <v>51</v>
      </c>
      <c r="N31" s="1" t="s">
        <v>66</v>
      </c>
      <c r="O31" s="1" t="s">
        <v>66</v>
      </c>
      <c r="P31" s="1" t="s">
        <v>51</v>
      </c>
      <c r="Q31" s="1" t="s">
        <v>51</v>
      </c>
      <c r="R31" s="1" t="s">
        <v>51</v>
      </c>
      <c r="AV31" s="1" t="s">
        <v>51</v>
      </c>
      <c r="AW31" s="1" t="s">
        <v>51</v>
      </c>
      <c r="AX31" s="1" t="s">
        <v>51</v>
      </c>
      <c r="AY31" s="1" t="s">
        <v>51</v>
      </c>
      <c r="AZ31" s="1" t="s">
        <v>51</v>
      </c>
    </row>
    <row r="32" spans="1:52" ht="30" customHeight="1" x14ac:dyDescent="0.3">
      <c r="A32" s="22"/>
      <c r="B32" s="22"/>
      <c r="C32" s="22"/>
      <c r="D32" s="22"/>
      <c r="E32" s="25"/>
      <c r="F32" s="29"/>
      <c r="G32" s="25"/>
      <c r="H32" s="29"/>
      <c r="I32" s="25"/>
      <c r="J32" s="29"/>
      <c r="K32" s="25"/>
      <c r="L32" s="29"/>
      <c r="M32" s="22"/>
    </row>
    <row r="33" spans="1:52" ht="30" customHeight="1" x14ac:dyDescent="0.3">
      <c r="A33" s="17" t="s">
        <v>213</v>
      </c>
      <c r="B33" s="18"/>
      <c r="C33" s="18"/>
      <c r="D33" s="18"/>
      <c r="E33" s="23"/>
      <c r="F33" s="27"/>
      <c r="G33" s="23"/>
      <c r="H33" s="27"/>
      <c r="I33" s="23"/>
      <c r="J33" s="27"/>
      <c r="K33" s="23"/>
      <c r="L33" s="27"/>
      <c r="M33" s="19"/>
      <c r="N33" s="1" t="s">
        <v>123</v>
      </c>
    </row>
    <row r="34" spans="1:52" ht="30" customHeight="1" x14ac:dyDescent="0.3">
      <c r="A34" s="20" t="s">
        <v>214</v>
      </c>
      <c r="B34" s="20" t="s">
        <v>215</v>
      </c>
      <c r="C34" s="20" t="s">
        <v>122</v>
      </c>
      <c r="D34" s="21">
        <v>1</v>
      </c>
      <c r="E34" s="24">
        <f>단가대비표!O25</f>
        <v>0</v>
      </c>
      <c r="F34" s="28">
        <f>TRUNC(E34*D34,1)</f>
        <v>0</v>
      </c>
      <c r="G34" s="24">
        <f>단가대비표!P25</f>
        <v>0</v>
      </c>
      <c r="H34" s="28">
        <f>TRUNC(G34*D34,1)</f>
        <v>0</v>
      </c>
      <c r="I34" s="24">
        <f>단가대비표!V25</f>
        <v>3520</v>
      </c>
      <c r="J34" s="28">
        <f>TRUNC(I34*D34,1)</f>
        <v>3520</v>
      </c>
      <c r="K34" s="24">
        <f>TRUNC(E34+G34+I34,1)</f>
        <v>3520</v>
      </c>
      <c r="L34" s="28">
        <f>TRUNC(F34+H34+J34,1)</f>
        <v>3520</v>
      </c>
      <c r="M34" s="20" t="s">
        <v>51</v>
      </c>
      <c r="N34" s="1" t="s">
        <v>123</v>
      </c>
      <c r="O34" s="1" t="s">
        <v>216</v>
      </c>
      <c r="P34" s="1" t="s">
        <v>59</v>
      </c>
      <c r="Q34" s="1" t="s">
        <v>59</v>
      </c>
      <c r="R34" s="1" t="s">
        <v>58</v>
      </c>
      <c r="AV34" s="1" t="s">
        <v>51</v>
      </c>
      <c r="AW34" s="1" t="s">
        <v>217</v>
      </c>
      <c r="AX34" s="1" t="s">
        <v>51</v>
      </c>
      <c r="AY34" s="1" t="s">
        <v>51</v>
      </c>
      <c r="AZ34" s="1" t="s">
        <v>51</v>
      </c>
    </row>
    <row r="35" spans="1:52" ht="30" customHeight="1" x14ac:dyDescent="0.3">
      <c r="A35" s="20" t="s">
        <v>154</v>
      </c>
      <c r="B35" s="20" t="s">
        <v>51</v>
      </c>
      <c r="C35" s="20" t="s">
        <v>51</v>
      </c>
      <c r="D35" s="21"/>
      <c r="E35" s="24"/>
      <c r="F35" s="28">
        <f>TRUNC(SUMIF(N34:N34, N33, F34:F34),0)</f>
        <v>0</v>
      </c>
      <c r="G35" s="24"/>
      <c r="H35" s="28">
        <f>TRUNC(SUMIF(N34:N34, N33, H34:H34),0)</f>
        <v>0</v>
      </c>
      <c r="I35" s="24"/>
      <c r="J35" s="28">
        <f>TRUNC(SUMIF(N34:N34, N33, J34:J34),0)</f>
        <v>3520</v>
      </c>
      <c r="K35" s="24"/>
      <c r="L35" s="28">
        <f>F35+H35+J35</f>
        <v>3520</v>
      </c>
      <c r="M35" s="20" t="s">
        <v>51</v>
      </c>
      <c r="N35" s="1" t="s">
        <v>66</v>
      </c>
      <c r="O35" s="1" t="s">
        <v>66</v>
      </c>
      <c r="P35" s="1" t="s">
        <v>51</v>
      </c>
      <c r="Q35" s="1" t="s">
        <v>51</v>
      </c>
      <c r="R35" s="1" t="s">
        <v>51</v>
      </c>
      <c r="AV35" s="1" t="s">
        <v>51</v>
      </c>
      <c r="AW35" s="1" t="s">
        <v>51</v>
      </c>
      <c r="AX35" s="1" t="s">
        <v>51</v>
      </c>
      <c r="AY35" s="1" t="s">
        <v>51</v>
      </c>
      <c r="AZ35" s="1" t="s">
        <v>51</v>
      </c>
    </row>
    <row r="36" spans="1:52" ht="30" customHeight="1" x14ac:dyDescent="0.3">
      <c r="A36" s="22"/>
      <c r="B36" s="22"/>
      <c r="C36" s="22"/>
      <c r="D36" s="22"/>
      <c r="E36" s="25"/>
      <c r="F36" s="29"/>
      <c r="G36" s="25"/>
      <c r="H36" s="29"/>
      <c r="I36" s="25"/>
      <c r="J36" s="29"/>
      <c r="K36" s="25"/>
      <c r="L36" s="29"/>
      <c r="M36" s="22"/>
    </row>
    <row r="37" spans="1:52" ht="30" customHeight="1" x14ac:dyDescent="0.3">
      <c r="A37" s="17" t="s">
        <v>218</v>
      </c>
      <c r="B37" s="18"/>
      <c r="C37" s="18"/>
      <c r="D37" s="18"/>
      <c r="E37" s="23"/>
      <c r="F37" s="27"/>
      <c r="G37" s="23"/>
      <c r="H37" s="27"/>
      <c r="I37" s="23"/>
      <c r="J37" s="27"/>
      <c r="K37" s="23"/>
      <c r="L37" s="27"/>
      <c r="M37" s="19"/>
      <c r="N37" s="1" t="s">
        <v>127</v>
      </c>
    </row>
    <row r="38" spans="1:52" ht="30" customHeight="1" x14ac:dyDescent="0.3">
      <c r="A38" s="20" t="s">
        <v>219</v>
      </c>
      <c r="B38" s="20" t="s">
        <v>220</v>
      </c>
      <c r="C38" s="20" t="s">
        <v>122</v>
      </c>
      <c r="D38" s="21">
        <v>1</v>
      </c>
      <c r="E38" s="24">
        <f>단가대비표!O22</f>
        <v>0</v>
      </c>
      <c r="F38" s="28">
        <f>TRUNC(E38*D38,1)</f>
        <v>0</v>
      </c>
      <c r="G38" s="24">
        <f>단가대비표!P22</f>
        <v>0</v>
      </c>
      <c r="H38" s="28">
        <f>TRUNC(G38*D38,1)</f>
        <v>0</v>
      </c>
      <c r="I38" s="24">
        <f>단가대비표!V22</f>
        <v>47205</v>
      </c>
      <c r="J38" s="28">
        <f>TRUNC(I38*D38,1)</f>
        <v>47205</v>
      </c>
      <c r="K38" s="24">
        <f>TRUNC(E38+G38+I38,1)</f>
        <v>47205</v>
      </c>
      <c r="L38" s="28">
        <f>TRUNC(F38+H38+J38,1)</f>
        <v>47205</v>
      </c>
      <c r="M38" s="20" t="s">
        <v>51</v>
      </c>
      <c r="N38" s="1" t="s">
        <v>127</v>
      </c>
      <c r="O38" s="1" t="s">
        <v>221</v>
      </c>
      <c r="P38" s="1" t="s">
        <v>59</v>
      </c>
      <c r="Q38" s="1" t="s">
        <v>59</v>
      </c>
      <c r="R38" s="1" t="s">
        <v>58</v>
      </c>
      <c r="AV38" s="1" t="s">
        <v>51</v>
      </c>
      <c r="AW38" s="1" t="s">
        <v>222</v>
      </c>
      <c r="AX38" s="1" t="s">
        <v>51</v>
      </c>
      <c r="AY38" s="1" t="s">
        <v>51</v>
      </c>
      <c r="AZ38" s="1" t="s">
        <v>51</v>
      </c>
    </row>
    <row r="39" spans="1:52" ht="30" customHeight="1" x14ac:dyDescent="0.3">
      <c r="A39" s="20" t="s">
        <v>154</v>
      </c>
      <c r="B39" s="20" t="s">
        <v>51</v>
      </c>
      <c r="C39" s="20" t="s">
        <v>51</v>
      </c>
      <c r="D39" s="21"/>
      <c r="E39" s="24"/>
      <c r="F39" s="28">
        <f>TRUNC(SUMIF(N38:N38, N37, F38:F38),0)</f>
        <v>0</v>
      </c>
      <c r="G39" s="24"/>
      <c r="H39" s="28">
        <f>TRUNC(SUMIF(N38:N38, N37, H38:H38),0)</f>
        <v>0</v>
      </c>
      <c r="I39" s="24"/>
      <c r="J39" s="28">
        <f>TRUNC(SUMIF(N38:N38, N37, J38:J38),0)</f>
        <v>47205</v>
      </c>
      <c r="K39" s="24"/>
      <c r="L39" s="28">
        <f>F39+H39+J39</f>
        <v>47205</v>
      </c>
      <c r="M39" s="20" t="s">
        <v>51</v>
      </c>
      <c r="N39" s="1" t="s">
        <v>66</v>
      </c>
      <c r="O39" s="1" t="s">
        <v>66</v>
      </c>
      <c r="P39" s="1" t="s">
        <v>51</v>
      </c>
      <c r="Q39" s="1" t="s">
        <v>51</v>
      </c>
      <c r="R39" s="1" t="s">
        <v>51</v>
      </c>
      <c r="AV39" s="1" t="s">
        <v>51</v>
      </c>
      <c r="AW39" s="1" t="s">
        <v>51</v>
      </c>
      <c r="AX39" s="1" t="s">
        <v>51</v>
      </c>
      <c r="AY39" s="1" t="s">
        <v>51</v>
      </c>
      <c r="AZ39" s="1" t="s">
        <v>51</v>
      </c>
    </row>
    <row r="40" spans="1:52" ht="30" customHeight="1" x14ac:dyDescent="0.3">
      <c r="A40" s="22"/>
      <c r="B40" s="22"/>
      <c r="C40" s="22"/>
      <c r="D40" s="22"/>
      <c r="E40" s="25"/>
      <c r="F40" s="29"/>
      <c r="G40" s="25"/>
      <c r="H40" s="29"/>
      <c r="I40" s="25"/>
      <c r="J40" s="29"/>
      <c r="K40" s="25"/>
      <c r="L40" s="29"/>
      <c r="M40" s="22"/>
    </row>
    <row r="41" spans="1:52" ht="30" customHeight="1" x14ac:dyDescent="0.3">
      <c r="A41" s="17" t="s">
        <v>223</v>
      </c>
      <c r="B41" s="18"/>
      <c r="C41" s="18"/>
      <c r="D41" s="18"/>
      <c r="E41" s="23"/>
      <c r="F41" s="27"/>
      <c r="G41" s="23"/>
      <c r="H41" s="27"/>
      <c r="I41" s="23"/>
      <c r="J41" s="27"/>
      <c r="K41" s="23"/>
      <c r="L41" s="27"/>
      <c r="M41" s="19"/>
      <c r="N41" s="1" t="s">
        <v>128</v>
      </c>
    </row>
    <row r="42" spans="1:52" ht="30" customHeight="1" x14ac:dyDescent="0.3">
      <c r="A42" s="20" t="s">
        <v>224</v>
      </c>
      <c r="B42" s="20" t="s">
        <v>225</v>
      </c>
      <c r="C42" s="20" t="s">
        <v>122</v>
      </c>
      <c r="D42" s="21">
        <v>1</v>
      </c>
      <c r="E42" s="24">
        <f>단가대비표!O24</f>
        <v>0</v>
      </c>
      <c r="F42" s="28">
        <f>TRUNC(E42*D42,1)</f>
        <v>0</v>
      </c>
      <c r="G42" s="24">
        <f>단가대비표!P24</f>
        <v>0</v>
      </c>
      <c r="H42" s="28">
        <f>TRUNC(G42*D42,1)</f>
        <v>0</v>
      </c>
      <c r="I42" s="24">
        <f>단가대비표!V24</f>
        <v>166426</v>
      </c>
      <c r="J42" s="28">
        <f>TRUNC(I42*D42,1)</f>
        <v>166426</v>
      </c>
      <c r="K42" s="24">
        <f>TRUNC(E42+G42+I42,1)</f>
        <v>166426</v>
      </c>
      <c r="L42" s="28">
        <f>TRUNC(F42+H42+J42,1)</f>
        <v>166426</v>
      </c>
      <c r="M42" s="20" t="s">
        <v>51</v>
      </c>
      <c r="N42" s="1" t="s">
        <v>128</v>
      </c>
      <c r="O42" s="1" t="s">
        <v>226</v>
      </c>
      <c r="P42" s="1" t="s">
        <v>59</v>
      </c>
      <c r="Q42" s="1" t="s">
        <v>59</v>
      </c>
      <c r="R42" s="1" t="s">
        <v>58</v>
      </c>
      <c r="AV42" s="1" t="s">
        <v>51</v>
      </c>
      <c r="AW42" s="1" t="s">
        <v>227</v>
      </c>
      <c r="AX42" s="1" t="s">
        <v>51</v>
      </c>
      <c r="AY42" s="1" t="s">
        <v>51</v>
      </c>
      <c r="AZ42" s="1" t="s">
        <v>51</v>
      </c>
    </row>
    <row r="43" spans="1:52" ht="30" customHeight="1" x14ac:dyDescent="0.3">
      <c r="A43" s="20" t="s">
        <v>154</v>
      </c>
      <c r="B43" s="20" t="s">
        <v>51</v>
      </c>
      <c r="C43" s="20" t="s">
        <v>51</v>
      </c>
      <c r="D43" s="21"/>
      <c r="E43" s="24"/>
      <c r="F43" s="28">
        <f>TRUNC(SUMIF(N42:N42, N41, F42:F42),0)</f>
        <v>0</v>
      </c>
      <c r="G43" s="24"/>
      <c r="H43" s="28">
        <f>TRUNC(SUMIF(N42:N42, N41, H42:H42),0)</f>
        <v>0</v>
      </c>
      <c r="I43" s="24"/>
      <c r="J43" s="28">
        <f>TRUNC(SUMIF(N42:N42, N41, J42:J42),0)</f>
        <v>166426</v>
      </c>
      <c r="K43" s="24"/>
      <c r="L43" s="28">
        <f>F43+H43+J43</f>
        <v>166426</v>
      </c>
      <c r="M43" s="20" t="s">
        <v>51</v>
      </c>
      <c r="N43" s="1" t="s">
        <v>66</v>
      </c>
      <c r="O43" s="1" t="s">
        <v>66</v>
      </c>
      <c r="P43" s="1" t="s">
        <v>51</v>
      </c>
      <c r="Q43" s="1" t="s">
        <v>51</v>
      </c>
      <c r="R43" s="1" t="s">
        <v>51</v>
      </c>
      <c r="AV43" s="1" t="s">
        <v>51</v>
      </c>
      <c r="AW43" s="1" t="s">
        <v>51</v>
      </c>
      <c r="AX43" s="1" t="s">
        <v>51</v>
      </c>
      <c r="AY43" s="1" t="s">
        <v>51</v>
      </c>
      <c r="AZ43" s="1" t="s">
        <v>51</v>
      </c>
    </row>
    <row r="44" spans="1:52" ht="30" customHeight="1" x14ac:dyDescent="0.3">
      <c r="A44" s="22"/>
      <c r="B44" s="22"/>
      <c r="C44" s="22"/>
      <c r="D44" s="22"/>
      <c r="E44" s="25"/>
      <c r="F44" s="29"/>
      <c r="G44" s="25"/>
      <c r="H44" s="29"/>
      <c r="I44" s="25"/>
      <c r="J44" s="29"/>
      <c r="K44" s="25"/>
      <c r="L44" s="29"/>
      <c r="M44" s="22"/>
    </row>
    <row r="45" spans="1:52" ht="30" customHeight="1" x14ac:dyDescent="0.3">
      <c r="A45" s="17" t="s">
        <v>228</v>
      </c>
      <c r="B45" s="18"/>
      <c r="C45" s="18"/>
      <c r="D45" s="18"/>
      <c r="E45" s="23"/>
      <c r="F45" s="27"/>
      <c r="G45" s="23"/>
      <c r="H45" s="27"/>
      <c r="I45" s="23"/>
      <c r="J45" s="27"/>
      <c r="K45" s="23"/>
      <c r="L45" s="27"/>
      <c r="M45" s="19"/>
      <c r="N45" s="1" t="s">
        <v>129</v>
      </c>
    </row>
    <row r="46" spans="1:52" ht="30" customHeight="1" x14ac:dyDescent="0.3">
      <c r="A46" s="20" t="s">
        <v>229</v>
      </c>
      <c r="B46" s="20" t="s">
        <v>230</v>
      </c>
      <c r="C46" s="20" t="s">
        <v>122</v>
      </c>
      <c r="D46" s="21">
        <v>1</v>
      </c>
      <c r="E46" s="24">
        <f>단가대비표!O26</f>
        <v>0</v>
      </c>
      <c r="F46" s="28">
        <f>TRUNC(E46*D46,1)</f>
        <v>0</v>
      </c>
      <c r="G46" s="24">
        <f>단가대비표!P26</f>
        <v>0</v>
      </c>
      <c r="H46" s="28">
        <f>TRUNC(G46*D46,1)</f>
        <v>0</v>
      </c>
      <c r="I46" s="24">
        <f>단가대비표!V26</f>
        <v>15990</v>
      </c>
      <c r="J46" s="28">
        <f>TRUNC(I46*D46,1)</f>
        <v>15990</v>
      </c>
      <c r="K46" s="24">
        <f>TRUNC(E46+G46+I46,1)</f>
        <v>15990</v>
      </c>
      <c r="L46" s="28">
        <f>TRUNC(F46+H46+J46,1)</f>
        <v>15990</v>
      </c>
      <c r="M46" s="20" t="s">
        <v>51</v>
      </c>
      <c r="N46" s="1" t="s">
        <v>129</v>
      </c>
      <c r="O46" s="1" t="s">
        <v>231</v>
      </c>
      <c r="P46" s="1" t="s">
        <v>59</v>
      </c>
      <c r="Q46" s="1" t="s">
        <v>59</v>
      </c>
      <c r="R46" s="1" t="s">
        <v>58</v>
      </c>
      <c r="AV46" s="1" t="s">
        <v>51</v>
      </c>
      <c r="AW46" s="1" t="s">
        <v>232</v>
      </c>
      <c r="AX46" s="1" t="s">
        <v>51</v>
      </c>
      <c r="AY46" s="1" t="s">
        <v>51</v>
      </c>
      <c r="AZ46" s="1" t="s">
        <v>51</v>
      </c>
    </row>
    <row r="47" spans="1:52" ht="30" customHeight="1" x14ac:dyDescent="0.3">
      <c r="A47" s="20" t="s">
        <v>154</v>
      </c>
      <c r="B47" s="20" t="s">
        <v>51</v>
      </c>
      <c r="C47" s="20" t="s">
        <v>51</v>
      </c>
      <c r="D47" s="21"/>
      <c r="E47" s="24"/>
      <c r="F47" s="28">
        <f>TRUNC(SUMIF(N46:N46, N45, F46:F46),0)</f>
        <v>0</v>
      </c>
      <c r="G47" s="24"/>
      <c r="H47" s="28">
        <f>TRUNC(SUMIF(N46:N46, N45, H46:H46),0)</f>
        <v>0</v>
      </c>
      <c r="I47" s="24"/>
      <c r="J47" s="28">
        <f>TRUNC(SUMIF(N46:N46, N45, J46:J46),0)</f>
        <v>15990</v>
      </c>
      <c r="K47" s="24"/>
      <c r="L47" s="28">
        <f>F47+H47+J47</f>
        <v>15990</v>
      </c>
      <c r="M47" s="20" t="s">
        <v>51</v>
      </c>
      <c r="N47" s="1" t="s">
        <v>66</v>
      </c>
      <c r="O47" s="1" t="s">
        <v>66</v>
      </c>
      <c r="P47" s="1" t="s">
        <v>51</v>
      </c>
      <c r="Q47" s="1" t="s">
        <v>51</v>
      </c>
      <c r="R47" s="1" t="s">
        <v>51</v>
      </c>
      <c r="AV47" s="1" t="s">
        <v>51</v>
      </c>
      <c r="AW47" s="1" t="s">
        <v>51</v>
      </c>
      <c r="AX47" s="1" t="s">
        <v>51</v>
      </c>
      <c r="AY47" s="1" t="s">
        <v>51</v>
      </c>
      <c r="AZ47" s="1" t="s">
        <v>51</v>
      </c>
    </row>
    <row r="48" spans="1:52" ht="30" customHeight="1" x14ac:dyDescent="0.3">
      <c r="A48" s="22"/>
      <c r="B48" s="22"/>
      <c r="C48" s="22"/>
      <c r="D48" s="22"/>
      <c r="E48" s="25"/>
      <c r="F48" s="29"/>
      <c r="G48" s="25"/>
      <c r="H48" s="29"/>
      <c r="I48" s="25"/>
      <c r="J48" s="29"/>
      <c r="K48" s="25"/>
      <c r="L48" s="29"/>
      <c r="M48" s="22"/>
    </row>
    <row r="49" spans="1:52" ht="30" customHeight="1" x14ac:dyDescent="0.3">
      <c r="A49" s="17" t="s">
        <v>233</v>
      </c>
      <c r="B49" s="18"/>
      <c r="C49" s="18"/>
      <c r="D49" s="18"/>
      <c r="E49" s="23"/>
      <c r="F49" s="27"/>
      <c r="G49" s="23"/>
      <c r="H49" s="27"/>
      <c r="I49" s="23"/>
      <c r="J49" s="27"/>
      <c r="K49" s="23"/>
      <c r="L49" s="27"/>
      <c r="M49" s="19"/>
      <c r="N49" s="1" t="s">
        <v>131</v>
      </c>
    </row>
    <row r="50" spans="1:52" ht="30" customHeight="1" x14ac:dyDescent="0.3">
      <c r="A50" s="20" t="s">
        <v>224</v>
      </c>
      <c r="B50" s="20" t="s">
        <v>130</v>
      </c>
      <c r="C50" s="20" t="s">
        <v>122</v>
      </c>
      <c r="D50" s="21">
        <v>1</v>
      </c>
      <c r="E50" s="24">
        <f>단가대비표!O23</f>
        <v>0</v>
      </c>
      <c r="F50" s="28">
        <f>TRUNC(E50*D50,1)</f>
        <v>0</v>
      </c>
      <c r="G50" s="24">
        <f>단가대비표!P23</f>
        <v>0</v>
      </c>
      <c r="H50" s="28">
        <f>TRUNC(G50*D50,1)</f>
        <v>0</v>
      </c>
      <c r="I50" s="24">
        <f>단가대비표!V23</f>
        <v>68359</v>
      </c>
      <c r="J50" s="28">
        <f>TRUNC(I50*D50,1)</f>
        <v>68359</v>
      </c>
      <c r="K50" s="24">
        <f>TRUNC(E50+G50+I50,1)</f>
        <v>68359</v>
      </c>
      <c r="L50" s="28">
        <f>TRUNC(F50+H50+J50,1)</f>
        <v>68359</v>
      </c>
      <c r="M50" s="20" t="s">
        <v>51</v>
      </c>
      <c r="N50" s="1" t="s">
        <v>131</v>
      </c>
      <c r="O50" s="1" t="s">
        <v>234</v>
      </c>
      <c r="P50" s="1" t="s">
        <v>59</v>
      </c>
      <c r="Q50" s="1" t="s">
        <v>59</v>
      </c>
      <c r="R50" s="1" t="s">
        <v>58</v>
      </c>
      <c r="AV50" s="1" t="s">
        <v>51</v>
      </c>
      <c r="AW50" s="1" t="s">
        <v>235</v>
      </c>
      <c r="AX50" s="1" t="s">
        <v>51</v>
      </c>
      <c r="AY50" s="1" t="s">
        <v>51</v>
      </c>
      <c r="AZ50" s="1" t="s">
        <v>51</v>
      </c>
    </row>
    <row r="51" spans="1:52" ht="30" customHeight="1" x14ac:dyDescent="0.3">
      <c r="A51" s="20" t="s">
        <v>154</v>
      </c>
      <c r="B51" s="20" t="s">
        <v>51</v>
      </c>
      <c r="C51" s="20" t="s">
        <v>51</v>
      </c>
      <c r="D51" s="21"/>
      <c r="E51" s="24"/>
      <c r="F51" s="28">
        <f>TRUNC(SUMIF(N50:N50, N49, F50:F50),0)</f>
        <v>0</v>
      </c>
      <c r="G51" s="24"/>
      <c r="H51" s="28">
        <f>TRUNC(SUMIF(N50:N50, N49, H50:H50),0)</f>
        <v>0</v>
      </c>
      <c r="I51" s="24"/>
      <c r="J51" s="28">
        <f>TRUNC(SUMIF(N50:N50, N49, J50:J50),0)</f>
        <v>68359</v>
      </c>
      <c r="K51" s="24"/>
      <c r="L51" s="28">
        <f>F51+H51+J51</f>
        <v>68359</v>
      </c>
      <c r="M51" s="20" t="s">
        <v>51</v>
      </c>
      <c r="N51" s="1" t="s">
        <v>66</v>
      </c>
      <c r="O51" s="1" t="s">
        <v>66</v>
      </c>
      <c r="P51" s="1" t="s">
        <v>51</v>
      </c>
      <c r="Q51" s="1" t="s">
        <v>51</v>
      </c>
      <c r="R51" s="1" t="s">
        <v>51</v>
      </c>
      <c r="AV51" s="1" t="s">
        <v>51</v>
      </c>
      <c r="AW51" s="1" t="s">
        <v>51</v>
      </c>
      <c r="AX51" s="1" t="s">
        <v>51</v>
      </c>
      <c r="AY51" s="1" t="s">
        <v>51</v>
      </c>
      <c r="AZ51" s="1" t="s">
        <v>51</v>
      </c>
    </row>
    <row r="52" spans="1:52" ht="30" customHeight="1" x14ac:dyDescent="0.3">
      <c r="A52" s="22"/>
      <c r="B52" s="22"/>
      <c r="C52" s="22"/>
      <c r="D52" s="22"/>
      <c r="E52" s="25"/>
      <c r="F52" s="29"/>
      <c r="G52" s="25"/>
      <c r="H52" s="29"/>
      <c r="I52" s="25"/>
      <c r="J52" s="29"/>
      <c r="K52" s="25"/>
      <c r="L52" s="29"/>
      <c r="M52" s="22"/>
    </row>
    <row r="53" spans="1:52" ht="30" customHeight="1" x14ac:dyDescent="0.3">
      <c r="A53" s="17" t="s">
        <v>242</v>
      </c>
      <c r="B53" s="18"/>
      <c r="C53" s="18"/>
      <c r="D53" s="18"/>
      <c r="E53" s="23"/>
      <c r="F53" s="27"/>
      <c r="G53" s="23"/>
      <c r="H53" s="27"/>
      <c r="I53" s="23"/>
      <c r="J53" s="27"/>
      <c r="K53" s="23"/>
      <c r="L53" s="27"/>
      <c r="M53" s="19"/>
      <c r="N53" s="1" t="s">
        <v>170</v>
      </c>
    </row>
    <row r="54" spans="1:52" ht="30" customHeight="1" x14ac:dyDescent="0.3">
      <c r="A54" s="20" t="s">
        <v>243</v>
      </c>
      <c r="B54" s="20" t="s">
        <v>244</v>
      </c>
      <c r="C54" s="20" t="s">
        <v>62</v>
      </c>
      <c r="D54" s="21">
        <v>2.5000000000000001E-2</v>
      </c>
      <c r="E54" s="24">
        <f>단가대비표!O41</f>
        <v>0</v>
      </c>
      <c r="F54" s="28">
        <f>TRUNC(E54*D54,1)</f>
        <v>0</v>
      </c>
      <c r="G54" s="24">
        <f>단가대비표!P41</f>
        <v>204830</v>
      </c>
      <c r="H54" s="28">
        <f>TRUNC(G54*D54,1)</f>
        <v>5120.7</v>
      </c>
      <c r="I54" s="24">
        <f>단가대비표!V41</f>
        <v>0</v>
      </c>
      <c r="J54" s="28">
        <f>TRUNC(I54*D54,1)</f>
        <v>0</v>
      </c>
      <c r="K54" s="24">
        <f>TRUNC(E54+G54+I54,1)</f>
        <v>204830</v>
      </c>
      <c r="L54" s="28">
        <f>TRUNC(F54+H54+J54,1)</f>
        <v>5120.7</v>
      </c>
      <c r="M54" s="20" t="s">
        <v>51</v>
      </c>
      <c r="N54" s="1" t="s">
        <v>170</v>
      </c>
      <c r="O54" s="1" t="s">
        <v>245</v>
      </c>
      <c r="P54" s="1" t="s">
        <v>59</v>
      </c>
      <c r="Q54" s="1" t="s">
        <v>59</v>
      </c>
      <c r="R54" s="1" t="s">
        <v>58</v>
      </c>
      <c r="AV54" s="1" t="s">
        <v>51</v>
      </c>
      <c r="AW54" s="1" t="s">
        <v>246</v>
      </c>
      <c r="AX54" s="1" t="s">
        <v>51</v>
      </c>
      <c r="AY54" s="1" t="s">
        <v>51</v>
      </c>
      <c r="AZ54" s="1" t="s">
        <v>51</v>
      </c>
    </row>
    <row r="55" spans="1:52" ht="30" customHeight="1" x14ac:dyDescent="0.3">
      <c r="A55" s="20" t="s">
        <v>154</v>
      </c>
      <c r="B55" s="20" t="s">
        <v>51</v>
      </c>
      <c r="C55" s="20" t="s">
        <v>51</v>
      </c>
      <c r="D55" s="21"/>
      <c r="E55" s="24"/>
      <c r="F55" s="28">
        <f>TRUNC(SUMIF(N54:N54, N53, F54:F54),0)</f>
        <v>0</v>
      </c>
      <c r="G55" s="24"/>
      <c r="H55" s="28">
        <f>TRUNC(SUMIF(N54:N54, N53, H54:H54),0)</f>
        <v>5120</v>
      </c>
      <c r="I55" s="24"/>
      <c r="J55" s="28">
        <f>TRUNC(SUMIF(N54:N54, N53, J54:J54),0)</f>
        <v>0</v>
      </c>
      <c r="K55" s="24"/>
      <c r="L55" s="28">
        <f>F55+H55+J55</f>
        <v>5120</v>
      </c>
      <c r="M55" s="20" t="s">
        <v>51</v>
      </c>
      <c r="N55" s="1" t="s">
        <v>66</v>
      </c>
      <c r="O55" s="1" t="s">
        <v>66</v>
      </c>
      <c r="P55" s="1" t="s">
        <v>51</v>
      </c>
      <c r="Q55" s="1" t="s">
        <v>51</v>
      </c>
      <c r="R55" s="1" t="s">
        <v>51</v>
      </c>
      <c r="AV55" s="1" t="s">
        <v>51</v>
      </c>
      <c r="AW55" s="1" t="s">
        <v>51</v>
      </c>
      <c r="AX55" s="1" t="s">
        <v>51</v>
      </c>
      <c r="AY55" s="1" t="s">
        <v>51</v>
      </c>
      <c r="AZ55" s="1" t="s">
        <v>51</v>
      </c>
    </row>
    <row r="56" spans="1:52" ht="30" customHeight="1" x14ac:dyDescent="0.3">
      <c r="A56" s="22"/>
      <c r="B56" s="22"/>
      <c r="C56" s="22"/>
      <c r="D56" s="22"/>
      <c r="E56" s="25"/>
      <c r="F56" s="29"/>
      <c r="G56" s="25"/>
      <c r="H56" s="29"/>
      <c r="I56" s="25"/>
      <c r="J56" s="29"/>
      <c r="K56" s="25"/>
      <c r="L56" s="29"/>
      <c r="M56" s="22"/>
    </row>
    <row r="57" spans="1:52" ht="30" customHeight="1" x14ac:dyDescent="0.3">
      <c r="A57" s="17" t="s">
        <v>251</v>
      </c>
      <c r="B57" s="18"/>
      <c r="C57" s="18"/>
      <c r="D57" s="18"/>
      <c r="E57" s="23"/>
      <c r="F57" s="27"/>
      <c r="G57" s="23"/>
      <c r="H57" s="27"/>
      <c r="I57" s="23"/>
      <c r="J57" s="27"/>
      <c r="K57" s="23"/>
      <c r="L57" s="27"/>
      <c r="M57" s="19"/>
      <c r="N57" s="1" t="s">
        <v>184</v>
      </c>
    </row>
    <row r="58" spans="1:52" ht="30" customHeight="1" x14ac:dyDescent="0.3">
      <c r="A58" s="20" t="s">
        <v>187</v>
      </c>
      <c r="B58" s="20" t="s">
        <v>158</v>
      </c>
      <c r="C58" s="20" t="s">
        <v>62</v>
      </c>
      <c r="D58" s="21">
        <v>0.25919999999999999</v>
      </c>
      <c r="E58" s="24">
        <f>단가대비표!O31</f>
        <v>0</v>
      </c>
      <c r="F58" s="28">
        <f>TRUNC(E58*D58,1)</f>
        <v>0</v>
      </c>
      <c r="G58" s="24">
        <f>단가대비표!P31</f>
        <v>249088</v>
      </c>
      <c r="H58" s="28">
        <f>TRUNC(G58*D58,1)</f>
        <v>64563.6</v>
      </c>
      <c r="I58" s="24">
        <f>단가대비표!V31</f>
        <v>0</v>
      </c>
      <c r="J58" s="28">
        <f>TRUNC(I58*D58,1)</f>
        <v>0</v>
      </c>
      <c r="K58" s="24">
        <f t="shared" ref="K58:L60" si="1">TRUNC(E58+G58+I58,1)</f>
        <v>249088</v>
      </c>
      <c r="L58" s="28">
        <f t="shared" si="1"/>
        <v>64563.6</v>
      </c>
      <c r="M58" s="20" t="s">
        <v>51</v>
      </c>
      <c r="N58" s="1" t="s">
        <v>184</v>
      </c>
      <c r="O58" s="1" t="s">
        <v>188</v>
      </c>
      <c r="P58" s="1" t="s">
        <v>59</v>
      </c>
      <c r="Q58" s="1" t="s">
        <v>59</v>
      </c>
      <c r="R58" s="1" t="s">
        <v>58</v>
      </c>
      <c r="V58">
        <v>1</v>
      </c>
      <c r="AV58" s="1" t="s">
        <v>51</v>
      </c>
      <c r="AW58" s="1" t="s">
        <v>252</v>
      </c>
      <c r="AX58" s="1" t="s">
        <v>51</v>
      </c>
      <c r="AY58" s="1" t="s">
        <v>51</v>
      </c>
      <c r="AZ58" s="1" t="s">
        <v>51</v>
      </c>
    </row>
    <row r="59" spans="1:52" ht="30" customHeight="1" x14ac:dyDescent="0.3">
      <c r="A59" s="20" t="s">
        <v>157</v>
      </c>
      <c r="B59" s="20" t="s">
        <v>158</v>
      </c>
      <c r="C59" s="20" t="s">
        <v>62</v>
      </c>
      <c r="D59" s="21">
        <v>6.1800000000000001E-2</v>
      </c>
      <c r="E59" s="24">
        <f>단가대비표!O27</f>
        <v>0</v>
      </c>
      <c r="F59" s="28">
        <f>TRUNC(E59*D59,1)</f>
        <v>0</v>
      </c>
      <c r="G59" s="24">
        <f>단가대비표!P27</f>
        <v>167081</v>
      </c>
      <c r="H59" s="28">
        <f>TRUNC(G59*D59,1)</f>
        <v>10325.6</v>
      </c>
      <c r="I59" s="24">
        <f>단가대비표!V27</f>
        <v>0</v>
      </c>
      <c r="J59" s="28">
        <f>TRUNC(I59*D59,1)</f>
        <v>0</v>
      </c>
      <c r="K59" s="24">
        <f t="shared" si="1"/>
        <v>167081</v>
      </c>
      <c r="L59" s="28">
        <f t="shared" si="1"/>
        <v>10325.6</v>
      </c>
      <c r="M59" s="20" t="s">
        <v>51</v>
      </c>
      <c r="N59" s="1" t="s">
        <v>184</v>
      </c>
      <c r="O59" s="1" t="s">
        <v>159</v>
      </c>
      <c r="P59" s="1" t="s">
        <v>59</v>
      </c>
      <c r="Q59" s="1" t="s">
        <v>59</v>
      </c>
      <c r="R59" s="1" t="s">
        <v>58</v>
      </c>
      <c r="V59">
        <v>1</v>
      </c>
      <c r="AV59" s="1" t="s">
        <v>51</v>
      </c>
      <c r="AW59" s="1" t="s">
        <v>253</v>
      </c>
      <c r="AX59" s="1" t="s">
        <v>51</v>
      </c>
      <c r="AY59" s="1" t="s">
        <v>51</v>
      </c>
      <c r="AZ59" s="1" t="s">
        <v>51</v>
      </c>
    </row>
    <row r="60" spans="1:52" ht="30" customHeight="1" x14ac:dyDescent="0.3">
      <c r="A60" s="20" t="s">
        <v>163</v>
      </c>
      <c r="B60" s="20" t="s">
        <v>209</v>
      </c>
      <c r="C60" s="20" t="s">
        <v>125</v>
      </c>
      <c r="D60" s="21">
        <v>1</v>
      </c>
      <c r="E60" s="24">
        <v>0</v>
      </c>
      <c r="F60" s="28">
        <f>TRUNC(E60*D60,1)</f>
        <v>0</v>
      </c>
      <c r="G60" s="24">
        <v>0</v>
      </c>
      <c r="H60" s="28">
        <f>TRUNC(G60*D60,1)</f>
        <v>0</v>
      </c>
      <c r="I60" s="24">
        <f>TRUNC(SUMIF(V58:V60, RIGHTB(O60, 1), H58:H60)*U60, 2)</f>
        <v>2246.67</v>
      </c>
      <c r="J60" s="28">
        <f>TRUNC(I60*D60,1)</f>
        <v>2246.6</v>
      </c>
      <c r="K60" s="24">
        <f t="shared" si="1"/>
        <v>2246.6</v>
      </c>
      <c r="L60" s="28">
        <f t="shared" si="1"/>
        <v>2246.6</v>
      </c>
      <c r="M60" s="20" t="s">
        <v>51</v>
      </c>
      <c r="N60" s="1" t="s">
        <v>184</v>
      </c>
      <c r="O60" s="1" t="s">
        <v>155</v>
      </c>
      <c r="P60" s="1" t="s">
        <v>59</v>
      </c>
      <c r="Q60" s="1" t="s">
        <v>59</v>
      </c>
      <c r="R60" s="1" t="s">
        <v>59</v>
      </c>
      <c r="S60">
        <v>1</v>
      </c>
      <c r="T60">
        <v>2</v>
      </c>
      <c r="U60">
        <v>0.03</v>
      </c>
      <c r="AV60" s="1" t="s">
        <v>51</v>
      </c>
      <c r="AW60" s="1" t="s">
        <v>254</v>
      </c>
      <c r="AX60" s="1" t="s">
        <v>51</v>
      </c>
      <c r="AY60" s="1" t="s">
        <v>51</v>
      </c>
      <c r="AZ60" s="1" t="s">
        <v>51</v>
      </c>
    </row>
    <row r="61" spans="1:52" ht="30" customHeight="1" x14ac:dyDescent="0.3">
      <c r="A61" s="20" t="s">
        <v>154</v>
      </c>
      <c r="B61" s="20" t="s">
        <v>51</v>
      </c>
      <c r="C61" s="20" t="s">
        <v>51</v>
      </c>
      <c r="D61" s="21"/>
      <c r="E61" s="24"/>
      <c r="F61" s="28">
        <f>TRUNC(SUMIF(N58:N60, N57, F58:F60),0)</f>
        <v>0</v>
      </c>
      <c r="G61" s="24"/>
      <c r="H61" s="28">
        <f>TRUNC(SUMIF(N58:N60, N57, H58:H60),0)</f>
        <v>74889</v>
      </c>
      <c r="I61" s="24"/>
      <c r="J61" s="28">
        <f>TRUNC(SUMIF(N58:N60, N57, J58:J60),0)</f>
        <v>2246</v>
      </c>
      <c r="K61" s="24"/>
      <c r="L61" s="28">
        <f>F61+H61+J61</f>
        <v>77135</v>
      </c>
      <c r="M61" s="20" t="s">
        <v>51</v>
      </c>
      <c r="N61" s="1" t="s">
        <v>66</v>
      </c>
      <c r="O61" s="1" t="s">
        <v>66</v>
      </c>
      <c r="P61" s="1" t="s">
        <v>51</v>
      </c>
      <c r="Q61" s="1" t="s">
        <v>51</v>
      </c>
      <c r="R61" s="1" t="s">
        <v>51</v>
      </c>
      <c r="AV61" s="1" t="s">
        <v>51</v>
      </c>
      <c r="AW61" s="1" t="s">
        <v>51</v>
      </c>
      <c r="AX61" s="1" t="s">
        <v>51</v>
      </c>
      <c r="AY61" s="1" t="s">
        <v>51</v>
      </c>
      <c r="AZ61" s="1" t="s">
        <v>51</v>
      </c>
    </row>
    <row r="62" spans="1:52" ht="30" customHeight="1" x14ac:dyDescent="0.3">
      <c r="A62" s="22"/>
      <c r="B62" s="22"/>
      <c r="C62" s="22"/>
      <c r="D62" s="22"/>
      <c r="E62" s="25"/>
      <c r="F62" s="29"/>
      <c r="G62" s="25"/>
      <c r="H62" s="29"/>
      <c r="I62" s="25"/>
      <c r="J62" s="29"/>
      <c r="K62" s="25"/>
      <c r="L62" s="29"/>
      <c r="M62" s="22"/>
    </row>
    <row r="63" spans="1:52" ht="30" customHeight="1" x14ac:dyDescent="0.3">
      <c r="A63" s="69" t="s">
        <v>470</v>
      </c>
      <c r="B63" s="70"/>
      <c r="C63" s="70"/>
      <c r="D63" s="71"/>
      <c r="E63" s="71"/>
      <c r="F63" s="71"/>
      <c r="G63" s="71"/>
      <c r="H63" s="71"/>
      <c r="I63" s="71"/>
      <c r="J63" s="71"/>
      <c r="K63" s="71"/>
      <c r="L63" s="71"/>
      <c r="M63" s="39"/>
    </row>
    <row r="64" spans="1:52" ht="30" customHeight="1" x14ac:dyDescent="0.3">
      <c r="A64" s="40" t="s">
        <v>471</v>
      </c>
      <c r="B64" s="40" t="s">
        <v>472</v>
      </c>
      <c r="C64" s="41" t="s">
        <v>76</v>
      </c>
      <c r="D64" s="42">
        <v>1</v>
      </c>
      <c r="E64" s="42">
        <f>단가대비표!O43</f>
        <v>186100</v>
      </c>
      <c r="F64" s="42">
        <f>ROUNDDOWN(D64*E64, 1)</f>
        <v>186100</v>
      </c>
      <c r="G64" s="42">
        <v>0</v>
      </c>
      <c r="H64" s="42">
        <f>ROUNDDOWN(D64*G64, 1)</f>
        <v>0</v>
      </c>
      <c r="I64" s="42">
        <v>0</v>
      </c>
      <c r="J64" s="42">
        <f>ROUNDDOWN(D64*I64, 1)</f>
        <v>0</v>
      </c>
      <c r="K64" s="42">
        <f>E64+G64+I64</f>
        <v>186100</v>
      </c>
      <c r="L64" s="42">
        <f>F64+H64+J64</f>
        <v>186100</v>
      </c>
      <c r="M64" s="39"/>
      <c r="O64" s="33" t="s">
        <v>52</v>
      </c>
      <c r="P64" s="33" t="s">
        <v>473</v>
      </c>
      <c r="Q64">
        <v>1</v>
      </c>
    </row>
    <row r="65" spans="1:17" ht="30" customHeight="1" x14ac:dyDescent="0.3">
      <c r="A65" s="40" t="s">
        <v>469</v>
      </c>
      <c r="B65" s="40" t="s">
        <v>183</v>
      </c>
      <c r="C65" s="41" t="s">
        <v>76</v>
      </c>
      <c r="D65" s="42">
        <v>1</v>
      </c>
      <c r="E65" s="42">
        <f>ROUNDDOWN([1]일위대가목록!G402, 2)</f>
        <v>0</v>
      </c>
      <c r="F65" s="42">
        <f>ROUNDDOWN(D65*E65, 1)</f>
        <v>0</v>
      </c>
      <c r="G65" s="42">
        <f>ROUNDDOWN([1]일위대가목록!I402, 0)</f>
        <v>0</v>
      </c>
      <c r="H65" s="42">
        <f>ROUNDDOWN(D65*G65, 1)</f>
        <v>0</v>
      </c>
      <c r="I65" s="42">
        <f>ROUNDDOWN([1]일위대가목록!K402, 0)</f>
        <v>0</v>
      </c>
      <c r="J65" s="42">
        <f>ROUNDDOWN(D65*I65, 1)</f>
        <v>0</v>
      </c>
      <c r="K65" s="42">
        <f>E65+G65+I65</f>
        <v>0</v>
      </c>
      <c r="L65" s="42">
        <f>F65+H65+J65</f>
        <v>0</v>
      </c>
      <c r="M65" s="40"/>
      <c r="P65" s="33" t="s">
        <v>473</v>
      </c>
      <c r="Q65">
        <v>1</v>
      </c>
    </row>
    <row r="66" spans="1:17" ht="30" customHeight="1" x14ac:dyDescent="0.3">
      <c r="A66" s="43" t="s">
        <v>474</v>
      </c>
      <c r="B66" s="44"/>
      <c r="C66" s="45"/>
      <c r="D66" s="46"/>
      <c r="E66" s="42"/>
      <c r="F66" s="46">
        <f>ROUNDDOWN(SUMIF(Q64:Q65, "1", F64:F65), 0)</f>
        <v>186100</v>
      </c>
      <c r="G66" s="42"/>
      <c r="H66" s="46">
        <f>ROUNDDOWN(SUMIF(Q64:Q65, "1", H64:H65), 0)</f>
        <v>0</v>
      </c>
      <c r="I66" s="42"/>
      <c r="J66" s="46">
        <f>ROUNDDOWN(SUMIF(Q64:Q65, "1", J64:J65), 0)</f>
        <v>0</v>
      </c>
      <c r="K66" s="42"/>
      <c r="L66" s="46">
        <f>F66+H66+J66</f>
        <v>186100</v>
      </c>
      <c r="M66" s="44"/>
    </row>
    <row r="67" spans="1:17" ht="30" customHeight="1" x14ac:dyDescent="0.3">
      <c r="A67" s="39"/>
      <c r="B67" s="39"/>
      <c r="C67" s="47"/>
      <c r="D67" s="42"/>
      <c r="E67" s="42"/>
      <c r="F67" s="42"/>
      <c r="G67" s="42"/>
      <c r="H67" s="42"/>
      <c r="I67" s="42"/>
      <c r="J67" s="42"/>
      <c r="K67" s="42"/>
      <c r="L67" s="42"/>
      <c r="M67" s="39"/>
    </row>
  </sheetData>
  <mergeCells count="46">
    <mergeCell ref="AU2:AU3"/>
    <mergeCell ref="AV2:AV3"/>
    <mergeCell ref="AW2:AW3"/>
    <mergeCell ref="AO2:AO3"/>
    <mergeCell ref="AP2:AP3"/>
    <mergeCell ref="AQ2:AQ3"/>
    <mergeCell ref="AR2:AR3"/>
    <mergeCell ref="AS2:AS3"/>
    <mergeCell ref="AT2:AT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B2:AB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63:L63"/>
    <mergeCell ref="P2:P3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</mergeCells>
  <phoneticPr fontId="1" type="noConversion"/>
  <conditionalFormatting sqref="A63:M67">
    <cfRule type="containsText" dxfId="3" priority="1" stopIfTrue="1" operator="containsText" text=".">
      <formula>NOT(ISERROR(SEARCH(".",A63)))</formula>
    </cfRule>
    <cfRule type="notContainsText" dxfId="2" priority="2" stopIfTrue="1" operator="notContains" text=".">
      <formula>ISERROR(SEARCH(".",A63))</formula>
    </cfRule>
  </conditionalFormatting>
  <pageMargins left="0.78740157480314954" right="0" top="0.39370078740157477" bottom="0.39370078740157477" header="0" footer="0"/>
  <pageSetup paperSize="9" scale="6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D745-7693-47F7-954D-AA7999676469}">
  <sheetPr>
    <pageSetUpPr fitToPage="1"/>
  </sheetPr>
  <dimension ref="A1:AB43"/>
  <sheetViews>
    <sheetView topLeftCell="B1" zoomScale="90" zoomScaleNormal="90" workbookViewId="0">
      <pane ySplit="4" topLeftCell="A14" activePane="bottomLeft" state="frozen"/>
      <selection activeCell="B1" sqref="B1"/>
      <selection pane="bottomLeft" activeCell="E14" sqref="E14"/>
    </sheetView>
  </sheetViews>
  <sheetFormatPr defaultRowHeight="16.5" x14ac:dyDescent="0.3"/>
  <cols>
    <col min="1" max="1" width="47.625" hidden="1" customWidth="1"/>
    <col min="2" max="2" width="29" bestFit="1" customWidth="1"/>
    <col min="3" max="3" width="45.125" bestFit="1" customWidth="1"/>
    <col min="4" max="4" width="5.5" style="51" bestFit="1" customWidth="1"/>
    <col min="5" max="5" width="11.25" bestFit="1" customWidth="1"/>
    <col min="6" max="6" width="6.625" customWidth="1"/>
    <col min="7" max="7" width="10.25" bestFit="1" customWidth="1"/>
    <col min="8" max="8" width="6.625" customWidth="1"/>
    <col min="9" max="9" width="9.25" bestFit="1" customWidth="1"/>
    <col min="10" max="10" width="6.625" bestFit="1" customWidth="1"/>
    <col min="11" max="11" width="10.25" bestFit="1" customWidth="1"/>
    <col min="12" max="12" width="6.625" customWidth="1"/>
    <col min="13" max="13" width="11.75" bestFit="1" customWidth="1"/>
    <col min="14" max="14" width="6.625" customWidth="1"/>
    <col min="15" max="16" width="11.75" bestFit="1" customWidth="1"/>
    <col min="17" max="17" width="11.25" hidden="1" customWidth="1"/>
    <col min="18" max="19" width="9.25" hidden="1" customWidth="1"/>
    <col min="20" max="21" width="10.25" hidden="1" customWidth="1"/>
    <col min="22" max="22" width="10.25" bestFit="1" customWidth="1"/>
    <col min="23" max="23" width="7.875" bestFit="1" customWidth="1"/>
    <col min="24" max="24" width="23.5" bestFit="1" customWidth="1"/>
    <col min="25" max="26" width="9" hidden="1" customWidth="1"/>
    <col min="27" max="27" width="11" hidden="1" customWidth="1"/>
    <col min="28" max="28" width="9" hidden="1" customWidth="1"/>
  </cols>
  <sheetData>
    <row r="1" spans="1:28" ht="30" customHeight="1" x14ac:dyDescent="0.3">
      <c r="A1" s="73" t="s">
        <v>279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</row>
    <row r="2" spans="1:28" ht="30" customHeight="1" x14ac:dyDescent="0.3">
      <c r="A2" s="62" t="s">
        <v>482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8" ht="30" customHeight="1" x14ac:dyDescent="0.3">
      <c r="A3" s="67" t="s">
        <v>133</v>
      </c>
      <c r="B3" s="67" t="s">
        <v>1</v>
      </c>
      <c r="C3" s="67" t="s">
        <v>278</v>
      </c>
      <c r="D3" s="67" t="s">
        <v>3</v>
      </c>
      <c r="E3" s="67" t="s">
        <v>5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 t="s">
        <v>135</v>
      </c>
      <c r="Q3" s="67" t="s">
        <v>136</v>
      </c>
      <c r="R3" s="67"/>
      <c r="S3" s="67"/>
      <c r="T3" s="67"/>
      <c r="U3" s="67"/>
      <c r="V3" s="67"/>
      <c r="W3" s="67" t="s">
        <v>138</v>
      </c>
      <c r="X3" s="67" t="s">
        <v>11</v>
      </c>
      <c r="Y3" s="62" t="s">
        <v>287</v>
      </c>
      <c r="Z3" s="62" t="s">
        <v>288</v>
      </c>
      <c r="AA3" s="62" t="s">
        <v>289</v>
      </c>
      <c r="AB3" s="62" t="s">
        <v>47</v>
      </c>
    </row>
    <row r="4" spans="1:28" ht="30" customHeight="1" x14ac:dyDescent="0.3">
      <c r="A4" s="67"/>
      <c r="B4" s="67"/>
      <c r="C4" s="67"/>
      <c r="D4" s="67"/>
      <c r="E4" s="7" t="s">
        <v>280</v>
      </c>
      <c r="F4" s="7" t="s">
        <v>281</v>
      </c>
      <c r="G4" s="7" t="s">
        <v>282</v>
      </c>
      <c r="H4" s="7" t="s">
        <v>281</v>
      </c>
      <c r="I4" s="7" t="s">
        <v>283</v>
      </c>
      <c r="J4" s="7" t="s">
        <v>281</v>
      </c>
      <c r="K4" s="7" t="s">
        <v>284</v>
      </c>
      <c r="L4" s="7" t="s">
        <v>281</v>
      </c>
      <c r="M4" s="7" t="s">
        <v>285</v>
      </c>
      <c r="N4" s="7" t="s">
        <v>281</v>
      </c>
      <c r="O4" s="7" t="s">
        <v>286</v>
      </c>
      <c r="P4" s="67"/>
      <c r="Q4" s="7" t="s">
        <v>280</v>
      </c>
      <c r="R4" s="7" t="s">
        <v>282</v>
      </c>
      <c r="S4" s="7" t="s">
        <v>283</v>
      </c>
      <c r="T4" s="7" t="s">
        <v>284</v>
      </c>
      <c r="U4" s="7" t="s">
        <v>285</v>
      </c>
      <c r="V4" s="7" t="s">
        <v>286</v>
      </c>
      <c r="W4" s="67"/>
      <c r="X4" s="67"/>
      <c r="Y4" s="62"/>
      <c r="Z4" s="62"/>
      <c r="AA4" s="62"/>
      <c r="AB4" s="62"/>
    </row>
    <row r="5" spans="1:28" ht="30" customHeight="1" x14ac:dyDescent="0.3">
      <c r="A5" s="13" t="s">
        <v>120</v>
      </c>
      <c r="B5" s="13" t="s">
        <v>116</v>
      </c>
      <c r="C5" s="13" t="s">
        <v>117</v>
      </c>
      <c r="D5" s="50" t="s">
        <v>118</v>
      </c>
      <c r="E5" s="30">
        <v>0</v>
      </c>
      <c r="F5" s="13" t="s">
        <v>51</v>
      </c>
      <c r="G5" s="30">
        <v>360</v>
      </c>
      <c r="H5" s="13" t="s">
        <v>290</v>
      </c>
      <c r="I5" s="30">
        <v>0</v>
      </c>
      <c r="J5" s="13" t="s">
        <v>51</v>
      </c>
      <c r="K5" s="30">
        <v>0</v>
      </c>
      <c r="L5" s="13" t="s">
        <v>291</v>
      </c>
      <c r="M5" s="30">
        <v>0</v>
      </c>
      <c r="N5" s="13" t="s">
        <v>51</v>
      </c>
      <c r="O5" s="30">
        <f t="shared" ref="O5" si="0">SMALL(E5:M5,COUNTIF(E5:M5,0)+1)</f>
        <v>360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13" t="s">
        <v>292</v>
      </c>
      <c r="X5" s="13" t="s">
        <v>119</v>
      </c>
      <c r="Y5" s="1" t="s">
        <v>51</v>
      </c>
      <c r="Z5" s="1" t="s">
        <v>51</v>
      </c>
      <c r="AA5" s="31"/>
      <c r="AB5" s="1" t="s">
        <v>51</v>
      </c>
    </row>
    <row r="6" spans="1:28" ht="30" customHeight="1" x14ac:dyDescent="0.3">
      <c r="A6" s="13" t="s">
        <v>82</v>
      </c>
      <c r="B6" s="55" t="s">
        <v>79</v>
      </c>
      <c r="C6" s="55" t="s">
        <v>80</v>
      </c>
      <c r="D6" s="58" t="s">
        <v>81</v>
      </c>
      <c r="E6" s="59">
        <v>100000</v>
      </c>
      <c r="F6" s="55" t="s">
        <v>51</v>
      </c>
      <c r="G6" s="59">
        <v>101000</v>
      </c>
      <c r="H6" s="55" t="s">
        <v>294</v>
      </c>
      <c r="I6" s="59">
        <v>0</v>
      </c>
      <c r="J6" s="55" t="s">
        <v>51</v>
      </c>
      <c r="K6" s="59">
        <v>0</v>
      </c>
      <c r="L6" s="55" t="s">
        <v>51</v>
      </c>
      <c r="M6" s="59">
        <v>0</v>
      </c>
      <c r="N6" s="55" t="s">
        <v>51</v>
      </c>
      <c r="O6" s="59">
        <f t="shared" ref="O6:O7" si="1">SMALL(E6:M6,COUNTIF(E6:M6,0)+1)</f>
        <v>100000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5" t="s">
        <v>295</v>
      </c>
      <c r="X6" s="55" t="s">
        <v>51</v>
      </c>
      <c r="Y6" s="1" t="s">
        <v>51</v>
      </c>
      <c r="Z6" s="1" t="s">
        <v>51</v>
      </c>
      <c r="AA6" s="31"/>
      <c r="AB6" s="1" t="s">
        <v>51</v>
      </c>
    </row>
    <row r="7" spans="1:28" ht="30" customHeight="1" x14ac:dyDescent="0.3">
      <c r="A7" s="13" t="s">
        <v>180</v>
      </c>
      <c r="B7" s="55" t="s">
        <v>178</v>
      </c>
      <c r="C7" s="55" t="s">
        <v>179</v>
      </c>
      <c r="D7" s="58" t="s">
        <v>81</v>
      </c>
      <c r="E7" s="59">
        <v>0</v>
      </c>
      <c r="F7" s="55" t="s">
        <v>51</v>
      </c>
      <c r="G7" s="59">
        <v>474000</v>
      </c>
      <c r="H7" s="55" t="s">
        <v>296</v>
      </c>
      <c r="I7" s="59">
        <v>0</v>
      </c>
      <c r="J7" s="55" t="s">
        <v>51</v>
      </c>
      <c r="K7" s="59">
        <v>0</v>
      </c>
      <c r="L7" s="55" t="s">
        <v>51</v>
      </c>
      <c r="M7" s="59">
        <v>0</v>
      </c>
      <c r="N7" s="55" t="s">
        <v>51</v>
      </c>
      <c r="O7" s="59">
        <f t="shared" si="1"/>
        <v>474000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5" t="s">
        <v>297</v>
      </c>
      <c r="X7" s="55" t="s">
        <v>51</v>
      </c>
      <c r="Y7" s="1" t="s">
        <v>51</v>
      </c>
      <c r="Z7" s="1" t="s">
        <v>51</v>
      </c>
      <c r="AA7" s="31"/>
      <c r="AB7" s="1" t="s">
        <v>51</v>
      </c>
    </row>
    <row r="8" spans="1:28" ht="30" customHeight="1" x14ac:dyDescent="0.3">
      <c r="A8" s="13" t="s">
        <v>107</v>
      </c>
      <c r="B8" s="13" t="s">
        <v>104</v>
      </c>
      <c r="C8" s="13" t="s">
        <v>105</v>
      </c>
      <c r="D8" s="50" t="s">
        <v>106</v>
      </c>
      <c r="E8" s="30">
        <v>0</v>
      </c>
      <c r="F8" s="13" t="s">
        <v>51</v>
      </c>
      <c r="G8" s="30">
        <v>0</v>
      </c>
      <c r="H8" s="13" t="s">
        <v>51</v>
      </c>
      <c r="I8" s="30">
        <v>0</v>
      </c>
      <c r="J8" s="13" t="s">
        <v>51</v>
      </c>
      <c r="K8" s="30">
        <v>8400</v>
      </c>
      <c r="L8" s="13" t="s">
        <v>298</v>
      </c>
      <c r="M8" s="30">
        <v>0</v>
      </c>
      <c r="N8" s="13" t="s">
        <v>51</v>
      </c>
      <c r="O8" s="30">
        <f t="shared" ref="O8:O21" si="2">SMALL(E8:M8,COUNTIF(E8:M8,0)+1)</f>
        <v>8400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13" t="s">
        <v>299</v>
      </c>
      <c r="X8" s="13" t="s">
        <v>51</v>
      </c>
      <c r="Y8" s="1" t="s">
        <v>51</v>
      </c>
      <c r="Z8" s="1" t="s">
        <v>51</v>
      </c>
      <c r="AA8" s="31"/>
      <c r="AB8" s="1" t="s">
        <v>51</v>
      </c>
    </row>
    <row r="9" spans="1:28" ht="30" customHeight="1" x14ac:dyDescent="0.3">
      <c r="A9" s="13" t="s">
        <v>90</v>
      </c>
      <c r="B9" s="13" t="s">
        <v>88</v>
      </c>
      <c r="C9" s="13" t="s">
        <v>89</v>
      </c>
      <c r="D9" s="50" t="s">
        <v>81</v>
      </c>
      <c r="E9" s="30">
        <v>70000</v>
      </c>
      <c r="F9" s="13" t="s">
        <v>51</v>
      </c>
      <c r="G9" s="30">
        <v>70000</v>
      </c>
      <c r="H9" s="13" t="s">
        <v>300</v>
      </c>
      <c r="I9" s="30">
        <v>70000</v>
      </c>
      <c r="J9" s="13" t="s">
        <v>301</v>
      </c>
      <c r="K9" s="30">
        <v>0</v>
      </c>
      <c r="L9" s="13" t="s">
        <v>51</v>
      </c>
      <c r="M9" s="30">
        <v>0</v>
      </c>
      <c r="N9" s="13" t="s">
        <v>51</v>
      </c>
      <c r="O9" s="30">
        <f t="shared" si="2"/>
        <v>70000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13" t="s">
        <v>302</v>
      </c>
      <c r="X9" s="13" t="s">
        <v>51</v>
      </c>
      <c r="Y9" s="1" t="s">
        <v>51</v>
      </c>
      <c r="Z9" s="1" t="s">
        <v>51</v>
      </c>
      <c r="AA9" s="31"/>
      <c r="AB9" s="1" t="s">
        <v>51</v>
      </c>
    </row>
    <row r="10" spans="1:28" ht="30" customHeight="1" x14ac:dyDescent="0.3">
      <c r="A10" s="13" t="s">
        <v>101</v>
      </c>
      <c r="B10" s="13" t="s">
        <v>99</v>
      </c>
      <c r="C10" s="13" t="s">
        <v>100</v>
      </c>
      <c r="D10" s="50" t="s">
        <v>81</v>
      </c>
      <c r="E10" s="30">
        <v>0</v>
      </c>
      <c r="F10" s="13" t="s">
        <v>51</v>
      </c>
      <c r="G10" s="30">
        <v>0</v>
      </c>
      <c r="H10" s="13" t="s">
        <v>51</v>
      </c>
      <c r="I10" s="30">
        <v>0</v>
      </c>
      <c r="J10" s="13" t="s">
        <v>51</v>
      </c>
      <c r="K10" s="30">
        <v>28000</v>
      </c>
      <c r="L10" s="13" t="s">
        <v>298</v>
      </c>
      <c r="M10" s="30">
        <v>0</v>
      </c>
      <c r="N10" s="13" t="s">
        <v>51</v>
      </c>
      <c r="O10" s="30">
        <f t="shared" si="2"/>
        <v>28000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13" t="s">
        <v>303</v>
      </c>
      <c r="X10" s="13" t="s">
        <v>51</v>
      </c>
      <c r="Y10" s="1" t="s">
        <v>51</v>
      </c>
      <c r="Z10" s="1" t="s">
        <v>51</v>
      </c>
      <c r="AA10" s="31"/>
      <c r="AB10" s="1" t="s">
        <v>51</v>
      </c>
    </row>
    <row r="11" spans="1:28" ht="30" customHeight="1" x14ac:dyDescent="0.3">
      <c r="A11" s="13" t="s">
        <v>110</v>
      </c>
      <c r="B11" s="13" t="s">
        <v>108</v>
      </c>
      <c r="C11" s="13" t="s">
        <v>109</v>
      </c>
      <c r="D11" s="50" t="s">
        <v>106</v>
      </c>
      <c r="E11" s="30">
        <v>0</v>
      </c>
      <c r="F11" s="13" t="s">
        <v>51</v>
      </c>
      <c r="G11" s="30">
        <v>2200</v>
      </c>
      <c r="H11" s="13" t="s">
        <v>304</v>
      </c>
      <c r="I11" s="30">
        <v>1800</v>
      </c>
      <c r="J11" s="13" t="s">
        <v>305</v>
      </c>
      <c r="K11" s="30">
        <v>1800</v>
      </c>
      <c r="L11" s="13" t="s">
        <v>298</v>
      </c>
      <c r="M11" s="30">
        <v>0</v>
      </c>
      <c r="N11" s="13" t="s">
        <v>51</v>
      </c>
      <c r="O11" s="30">
        <f t="shared" si="2"/>
        <v>1800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13" t="s">
        <v>306</v>
      </c>
      <c r="X11" s="13" t="s">
        <v>51</v>
      </c>
      <c r="Y11" s="1" t="s">
        <v>51</v>
      </c>
      <c r="Z11" s="1" t="s">
        <v>51</v>
      </c>
      <c r="AA11" s="31"/>
      <c r="AB11" s="1" t="s">
        <v>51</v>
      </c>
    </row>
    <row r="12" spans="1:28" ht="30" customHeight="1" x14ac:dyDescent="0.3">
      <c r="A12" s="13" t="s">
        <v>94</v>
      </c>
      <c r="B12" s="13" t="s">
        <v>92</v>
      </c>
      <c r="C12" s="13" t="s">
        <v>93</v>
      </c>
      <c r="D12" s="50" t="s">
        <v>81</v>
      </c>
      <c r="E12" s="30">
        <v>0</v>
      </c>
      <c r="F12" s="13" t="s">
        <v>51</v>
      </c>
      <c r="G12" s="30">
        <v>0</v>
      </c>
      <c r="H12" s="13" t="s">
        <v>51</v>
      </c>
      <c r="I12" s="30">
        <v>0</v>
      </c>
      <c r="J12" s="13" t="s">
        <v>51</v>
      </c>
      <c r="K12" s="30">
        <v>194000</v>
      </c>
      <c r="L12" s="13" t="s">
        <v>307</v>
      </c>
      <c r="M12" s="30">
        <v>0</v>
      </c>
      <c r="N12" s="13" t="s">
        <v>51</v>
      </c>
      <c r="O12" s="30">
        <f t="shared" si="2"/>
        <v>194000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13" t="s">
        <v>308</v>
      </c>
      <c r="X12" s="13" t="s">
        <v>51</v>
      </c>
      <c r="Y12" s="1" t="s">
        <v>51</v>
      </c>
      <c r="Z12" s="1" t="s">
        <v>51</v>
      </c>
      <c r="AA12" s="31"/>
      <c r="AB12" s="1" t="s">
        <v>51</v>
      </c>
    </row>
    <row r="13" spans="1:28" ht="30" customHeight="1" x14ac:dyDescent="0.3">
      <c r="A13" s="13" t="s">
        <v>273</v>
      </c>
      <c r="B13" s="13" t="s">
        <v>271</v>
      </c>
      <c r="C13" s="13" t="s">
        <v>272</v>
      </c>
      <c r="D13" s="50" t="s">
        <v>153</v>
      </c>
      <c r="E13" s="30">
        <v>217</v>
      </c>
      <c r="F13" s="13" t="s">
        <v>51</v>
      </c>
      <c r="G13" s="30">
        <v>230</v>
      </c>
      <c r="H13" s="13" t="s">
        <v>309</v>
      </c>
      <c r="I13" s="30">
        <v>385</v>
      </c>
      <c r="J13" s="13" t="s">
        <v>310</v>
      </c>
      <c r="K13" s="30">
        <v>0</v>
      </c>
      <c r="L13" s="13" t="s">
        <v>51</v>
      </c>
      <c r="M13" s="30">
        <v>0</v>
      </c>
      <c r="N13" s="13" t="s">
        <v>51</v>
      </c>
      <c r="O13" s="30">
        <f t="shared" si="2"/>
        <v>217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13" t="s">
        <v>311</v>
      </c>
      <c r="X13" s="13" t="s">
        <v>51</v>
      </c>
      <c r="Y13" s="1" t="s">
        <v>51</v>
      </c>
      <c r="Z13" s="1" t="s">
        <v>51</v>
      </c>
      <c r="AA13" s="31"/>
      <c r="AB13" s="1" t="s">
        <v>51</v>
      </c>
    </row>
    <row r="14" spans="1:28" ht="30" customHeight="1" x14ac:dyDescent="0.3">
      <c r="A14" s="13" t="s">
        <v>276</v>
      </c>
      <c r="B14" s="13" t="s">
        <v>274</v>
      </c>
      <c r="C14" s="13" t="s">
        <v>275</v>
      </c>
      <c r="D14" s="50" t="s">
        <v>118</v>
      </c>
      <c r="E14" s="30">
        <v>1556</v>
      </c>
      <c r="F14" s="13" t="s">
        <v>51</v>
      </c>
      <c r="G14" s="30">
        <v>2666.66</v>
      </c>
      <c r="H14" s="13" t="s">
        <v>293</v>
      </c>
      <c r="I14" s="30">
        <v>0</v>
      </c>
      <c r="J14" s="13" t="s">
        <v>51</v>
      </c>
      <c r="K14" s="30">
        <v>0</v>
      </c>
      <c r="L14" s="13" t="s">
        <v>51</v>
      </c>
      <c r="M14" s="30">
        <v>0</v>
      </c>
      <c r="N14" s="13" t="s">
        <v>51</v>
      </c>
      <c r="O14" s="30">
        <f t="shared" si="2"/>
        <v>1556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13" t="s">
        <v>312</v>
      </c>
      <c r="X14" s="13" t="s">
        <v>51</v>
      </c>
      <c r="Y14" s="1" t="s">
        <v>51</v>
      </c>
      <c r="Z14" s="1" t="s">
        <v>51</v>
      </c>
      <c r="AA14" s="31"/>
      <c r="AB14" s="1" t="s">
        <v>51</v>
      </c>
    </row>
    <row r="15" spans="1:28" ht="30" customHeight="1" x14ac:dyDescent="0.3">
      <c r="A15" s="13" t="s">
        <v>176</v>
      </c>
      <c r="B15" s="13" t="s">
        <v>174</v>
      </c>
      <c r="C15" s="13" t="s">
        <v>175</v>
      </c>
      <c r="D15" s="50" t="s">
        <v>118</v>
      </c>
      <c r="E15" s="30">
        <v>0</v>
      </c>
      <c r="F15" s="13" t="s">
        <v>51</v>
      </c>
      <c r="G15" s="30">
        <v>11000</v>
      </c>
      <c r="H15" s="13" t="s">
        <v>313</v>
      </c>
      <c r="I15" s="30">
        <v>0</v>
      </c>
      <c r="J15" s="13" t="s">
        <v>51</v>
      </c>
      <c r="K15" s="30">
        <v>0</v>
      </c>
      <c r="L15" s="13" t="s">
        <v>51</v>
      </c>
      <c r="M15" s="30">
        <v>0</v>
      </c>
      <c r="N15" s="13" t="s">
        <v>51</v>
      </c>
      <c r="O15" s="30">
        <f t="shared" si="2"/>
        <v>11000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13" t="s">
        <v>314</v>
      </c>
      <c r="X15" s="13" t="s">
        <v>51</v>
      </c>
      <c r="Y15" s="1" t="s">
        <v>51</v>
      </c>
      <c r="Z15" s="1" t="s">
        <v>51</v>
      </c>
      <c r="AA15" s="31"/>
      <c r="AB15" s="1" t="s">
        <v>51</v>
      </c>
    </row>
    <row r="16" spans="1:28" ht="30" customHeight="1" x14ac:dyDescent="0.3">
      <c r="A16" s="13" t="s">
        <v>270</v>
      </c>
      <c r="B16" s="13" t="s">
        <v>267</v>
      </c>
      <c r="C16" s="13" t="s">
        <v>268</v>
      </c>
      <c r="D16" s="50" t="s">
        <v>118</v>
      </c>
      <c r="E16" s="30">
        <v>3125.16</v>
      </c>
      <c r="F16" s="13" t="s">
        <v>51</v>
      </c>
      <c r="G16" s="30">
        <v>0</v>
      </c>
      <c r="H16" s="13" t="s">
        <v>51</v>
      </c>
      <c r="I16" s="30">
        <v>0</v>
      </c>
      <c r="J16" s="13" t="s">
        <v>51</v>
      </c>
      <c r="K16" s="30">
        <v>0</v>
      </c>
      <c r="L16" s="13" t="s">
        <v>51</v>
      </c>
      <c r="M16" s="30">
        <v>0</v>
      </c>
      <c r="N16" s="13" t="s">
        <v>51</v>
      </c>
      <c r="O16" s="30">
        <f t="shared" si="2"/>
        <v>3125.16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13" t="s">
        <v>315</v>
      </c>
      <c r="X16" s="13" t="s">
        <v>269</v>
      </c>
      <c r="Y16" s="1" t="s">
        <v>51</v>
      </c>
      <c r="Z16" s="1" t="s">
        <v>51</v>
      </c>
      <c r="AA16" s="31"/>
      <c r="AB16" s="1" t="s">
        <v>51</v>
      </c>
    </row>
    <row r="17" spans="1:28" ht="30" customHeight="1" x14ac:dyDescent="0.3">
      <c r="A17" s="13" t="s">
        <v>173</v>
      </c>
      <c r="B17" s="13" t="s">
        <v>171</v>
      </c>
      <c r="C17" s="13" t="s">
        <v>172</v>
      </c>
      <c r="D17" s="50" t="s">
        <v>118</v>
      </c>
      <c r="E17" s="30">
        <v>2644</v>
      </c>
      <c r="F17" s="13" t="s">
        <v>51</v>
      </c>
      <c r="G17" s="30">
        <v>3100</v>
      </c>
      <c r="H17" s="13" t="s">
        <v>313</v>
      </c>
      <c r="I17" s="30">
        <v>0</v>
      </c>
      <c r="J17" s="13" t="s">
        <v>51</v>
      </c>
      <c r="K17" s="30">
        <v>0</v>
      </c>
      <c r="L17" s="13" t="s">
        <v>51</v>
      </c>
      <c r="M17" s="30">
        <v>0</v>
      </c>
      <c r="N17" s="13" t="s">
        <v>51</v>
      </c>
      <c r="O17" s="30">
        <f t="shared" si="2"/>
        <v>2644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13" t="s">
        <v>316</v>
      </c>
      <c r="X17" s="13" t="s">
        <v>51</v>
      </c>
      <c r="Y17" s="1" t="s">
        <v>51</v>
      </c>
      <c r="Z17" s="1" t="s">
        <v>51</v>
      </c>
      <c r="AA17" s="31"/>
      <c r="AB17" s="1" t="s">
        <v>51</v>
      </c>
    </row>
    <row r="18" spans="1:28" ht="30" customHeight="1" x14ac:dyDescent="0.3">
      <c r="A18" s="13" t="s">
        <v>257</v>
      </c>
      <c r="B18" s="13" t="s">
        <v>255</v>
      </c>
      <c r="C18" s="13" t="s">
        <v>256</v>
      </c>
      <c r="D18" s="50" t="s">
        <v>165</v>
      </c>
      <c r="E18" s="30">
        <v>0</v>
      </c>
      <c r="F18" s="13" t="s">
        <v>51</v>
      </c>
      <c r="G18" s="30">
        <v>6250</v>
      </c>
      <c r="H18" s="13" t="s">
        <v>317</v>
      </c>
      <c r="I18" s="30">
        <v>0</v>
      </c>
      <c r="J18" s="13" t="s">
        <v>51</v>
      </c>
      <c r="K18" s="30">
        <v>6250</v>
      </c>
      <c r="L18" s="13" t="s">
        <v>318</v>
      </c>
      <c r="M18" s="30">
        <v>0</v>
      </c>
      <c r="N18" s="13" t="s">
        <v>51</v>
      </c>
      <c r="O18" s="30">
        <f t="shared" si="2"/>
        <v>6250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13" t="s">
        <v>319</v>
      </c>
      <c r="X18" s="13" t="s">
        <v>51</v>
      </c>
      <c r="Y18" s="1" t="s">
        <v>51</v>
      </c>
      <c r="Z18" s="1" t="s">
        <v>51</v>
      </c>
      <c r="AA18" s="31"/>
      <c r="AB18" s="1" t="s">
        <v>51</v>
      </c>
    </row>
    <row r="19" spans="1:28" ht="30" customHeight="1" x14ac:dyDescent="0.3">
      <c r="A19" s="13" t="s">
        <v>263</v>
      </c>
      <c r="B19" s="13" t="s">
        <v>260</v>
      </c>
      <c r="C19" s="13" t="s">
        <v>261</v>
      </c>
      <c r="D19" s="50" t="s">
        <v>165</v>
      </c>
      <c r="E19" s="30">
        <v>3727</v>
      </c>
      <c r="F19" s="13" t="s">
        <v>320</v>
      </c>
      <c r="G19" s="30">
        <v>0</v>
      </c>
      <c r="H19" s="13" t="s">
        <v>51</v>
      </c>
      <c r="I19" s="30">
        <v>0</v>
      </c>
      <c r="J19" s="13" t="s">
        <v>51</v>
      </c>
      <c r="K19" s="30">
        <v>0</v>
      </c>
      <c r="L19" s="13" t="s">
        <v>51</v>
      </c>
      <c r="M19" s="30">
        <v>0</v>
      </c>
      <c r="N19" s="13" t="s">
        <v>51</v>
      </c>
      <c r="O19" s="30">
        <f t="shared" si="2"/>
        <v>3727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13" t="s">
        <v>321</v>
      </c>
      <c r="X19" s="13" t="s">
        <v>262</v>
      </c>
      <c r="Y19" s="1" t="s">
        <v>51</v>
      </c>
      <c r="Z19" s="1" t="s">
        <v>51</v>
      </c>
      <c r="AA19" s="31"/>
      <c r="AB19" s="1" t="s">
        <v>51</v>
      </c>
    </row>
    <row r="20" spans="1:28" ht="30" customHeight="1" x14ac:dyDescent="0.3">
      <c r="A20" s="13" t="s">
        <v>168</v>
      </c>
      <c r="B20" s="13" t="s">
        <v>166</v>
      </c>
      <c r="C20" s="13" t="s">
        <v>167</v>
      </c>
      <c r="D20" s="50" t="s">
        <v>165</v>
      </c>
      <c r="E20" s="30">
        <v>12783</v>
      </c>
      <c r="F20" s="13" t="s">
        <v>51</v>
      </c>
      <c r="G20" s="30">
        <v>18500</v>
      </c>
      <c r="H20" s="13" t="s">
        <v>322</v>
      </c>
      <c r="I20" s="30">
        <v>0</v>
      </c>
      <c r="J20" s="13" t="s">
        <v>51</v>
      </c>
      <c r="K20" s="30">
        <v>0</v>
      </c>
      <c r="L20" s="13" t="s">
        <v>51</v>
      </c>
      <c r="M20" s="30">
        <v>0</v>
      </c>
      <c r="N20" s="13" t="s">
        <v>51</v>
      </c>
      <c r="O20" s="30">
        <f t="shared" si="2"/>
        <v>12783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13" t="s">
        <v>323</v>
      </c>
      <c r="X20" s="13" t="s">
        <v>51</v>
      </c>
      <c r="Y20" s="1" t="s">
        <v>51</v>
      </c>
      <c r="Z20" s="1" t="s">
        <v>51</v>
      </c>
      <c r="AA20" s="31"/>
      <c r="AB20" s="1" t="s">
        <v>51</v>
      </c>
    </row>
    <row r="21" spans="1:28" ht="30" customHeight="1" x14ac:dyDescent="0.3">
      <c r="A21" s="13" t="s">
        <v>266</v>
      </c>
      <c r="B21" s="13" t="s">
        <v>264</v>
      </c>
      <c r="C21" s="13" t="s">
        <v>265</v>
      </c>
      <c r="D21" s="50" t="s">
        <v>165</v>
      </c>
      <c r="E21" s="30">
        <v>0</v>
      </c>
      <c r="F21" s="13" t="s">
        <v>51</v>
      </c>
      <c r="G21" s="30">
        <v>3494.44</v>
      </c>
      <c r="H21" s="13" t="s">
        <v>324</v>
      </c>
      <c r="I21" s="30">
        <v>3722.22</v>
      </c>
      <c r="J21" s="13" t="s">
        <v>325</v>
      </c>
      <c r="K21" s="30">
        <v>0</v>
      </c>
      <c r="L21" s="13" t="s">
        <v>51</v>
      </c>
      <c r="M21" s="30">
        <v>0</v>
      </c>
      <c r="N21" s="13" t="s">
        <v>51</v>
      </c>
      <c r="O21" s="30">
        <f t="shared" si="2"/>
        <v>3494.44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13" t="s">
        <v>326</v>
      </c>
      <c r="X21" s="13" t="s">
        <v>51</v>
      </c>
      <c r="Y21" s="1" t="s">
        <v>51</v>
      </c>
      <c r="Z21" s="1" t="s">
        <v>51</v>
      </c>
      <c r="AA21" s="31"/>
      <c r="AB21" s="1" t="s">
        <v>51</v>
      </c>
    </row>
    <row r="22" spans="1:28" ht="30" customHeight="1" x14ac:dyDescent="0.3">
      <c r="A22" s="13" t="s">
        <v>221</v>
      </c>
      <c r="B22" s="13" t="s">
        <v>219</v>
      </c>
      <c r="C22" s="13" t="s">
        <v>220</v>
      </c>
      <c r="D22" s="50" t="s">
        <v>122</v>
      </c>
      <c r="E22" s="30">
        <v>0</v>
      </c>
      <c r="F22" s="13" t="s">
        <v>51</v>
      </c>
      <c r="G22" s="30">
        <v>0</v>
      </c>
      <c r="H22" s="13" t="s">
        <v>51</v>
      </c>
      <c r="I22" s="30">
        <v>0</v>
      </c>
      <c r="J22" s="13" t="s">
        <v>51</v>
      </c>
      <c r="K22" s="30">
        <v>0</v>
      </c>
      <c r="L22" s="13" t="s">
        <v>327</v>
      </c>
      <c r="M22" s="30">
        <v>0</v>
      </c>
      <c r="N22" s="13" t="s">
        <v>51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47205</v>
      </c>
      <c r="U22" s="30">
        <v>0</v>
      </c>
      <c r="V22" s="30">
        <f>SMALL(Q22:U22,COUNTIF(Q22:U22,0)+1)</f>
        <v>47205</v>
      </c>
      <c r="W22" s="13" t="s">
        <v>328</v>
      </c>
      <c r="X22" s="13" t="s">
        <v>51</v>
      </c>
      <c r="Y22" s="1" t="s">
        <v>329</v>
      </c>
      <c r="Z22" s="1" t="s">
        <v>51</v>
      </c>
      <c r="AA22" s="31"/>
      <c r="AB22" s="1" t="s">
        <v>51</v>
      </c>
    </row>
    <row r="23" spans="1:28" ht="30" customHeight="1" x14ac:dyDescent="0.3">
      <c r="A23" s="13" t="s">
        <v>234</v>
      </c>
      <c r="B23" s="13" t="s">
        <v>224</v>
      </c>
      <c r="C23" s="13" t="s">
        <v>130</v>
      </c>
      <c r="D23" s="50" t="s">
        <v>122</v>
      </c>
      <c r="E23" s="30">
        <v>0</v>
      </c>
      <c r="F23" s="13" t="s">
        <v>51</v>
      </c>
      <c r="G23" s="30">
        <v>0</v>
      </c>
      <c r="H23" s="13" t="s">
        <v>51</v>
      </c>
      <c r="I23" s="30">
        <v>0</v>
      </c>
      <c r="J23" s="13" t="s">
        <v>51</v>
      </c>
      <c r="K23" s="30">
        <v>0</v>
      </c>
      <c r="L23" s="13" t="s">
        <v>327</v>
      </c>
      <c r="M23" s="30">
        <v>0</v>
      </c>
      <c r="N23" s="13" t="s">
        <v>51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68359</v>
      </c>
      <c r="U23" s="30">
        <v>0</v>
      </c>
      <c r="V23" s="30">
        <f>SMALL(Q23:U23,COUNTIF(Q23:U23,0)+1)</f>
        <v>68359</v>
      </c>
      <c r="W23" s="13" t="s">
        <v>330</v>
      </c>
      <c r="X23" s="13" t="s">
        <v>51</v>
      </c>
      <c r="Y23" s="1" t="s">
        <v>329</v>
      </c>
      <c r="Z23" s="1" t="s">
        <v>51</v>
      </c>
      <c r="AA23" s="31"/>
      <c r="AB23" s="1" t="s">
        <v>51</v>
      </c>
    </row>
    <row r="24" spans="1:28" ht="30" customHeight="1" x14ac:dyDescent="0.3">
      <c r="A24" s="13" t="s">
        <v>226</v>
      </c>
      <c r="B24" s="13" t="s">
        <v>224</v>
      </c>
      <c r="C24" s="13" t="s">
        <v>225</v>
      </c>
      <c r="D24" s="50" t="s">
        <v>122</v>
      </c>
      <c r="E24" s="30">
        <v>0</v>
      </c>
      <c r="F24" s="13" t="s">
        <v>51</v>
      </c>
      <c r="G24" s="30">
        <v>0</v>
      </c>
      <c r="H24" s="13" t="s">
        <v>51</v>
      </c>
      <c r="I24" s="30">
        <v>0</v>
      </c>
      <c r="J24" s="13" t="s">
        <v>51</v>
      </c>
      <c r="K24" s="30">
        <v>0</v>
      </c>
      <c r="L24" s="13" t="s">
        <v>327</v>
      </c>
      <c r="M24" s="30">
        <v>0</v>
      </c>
      <c r="N24" s="13" t="s">
        <v>51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166426</v>
      </c>
      <c r="U24" s="30">
        <v>0</v>
      </c>
      <c r="V24" s="30">
        <f>SMALL(Q24:U24,COUNTIF(Q24:U24,0)+1)</f>
        <v>166426</v>
      </c>
      <c r="W24" s="13" t="s">
        <v>331</v>
      </c>
      <c r="X24" s="13" t="s">
        <v>51</v>
      </c>
      <c r="Y24" s="1" t="s">
        <v>329</v>
      </c>
      <c r="Z24" s="1" t="s">
        <v>51</v>
      </c>
      <c r="AA24" s="31"/>
      <c r="AB24" s="1" t="s">
        <v>51</v>
      </c>
    </row>
    <row r="25" spans="1:28" ht="30" customHeight="1" x14ac:dyDescent="0.3">
      <c r="A25" s="13" t="s">
        <v>216</v>
      </c>
      <c r="B25" s="13" t="s">
        <v>214</v>
      </c>
      <c r="C25" s="13" t="s">
        <v>215</v>
      </c>
      <c r="D25" s="50" t="s">
        <v>122</v>
      </c>
      <c r="E25" s="30">
        <v>0</v>
      </c>
      <c r="F25" s="13" t="s">
        <v>51</v>
      </c>
      <c r="G25" s="30">
        <v>0</v>
      </c>
      <c r="H25" s="13" t="s">
        <v>51</v>
      </c>
      <c r="I25" s="30">
        <v>0</v>
      </c>
      <c r="J25" s="13" t="s">
        <v>51</v>
      </c>
      <c r="K25" s="30">
        <v>0</v>
      </c>
      <c r="L25" s="13" t="s">
        <v>332</v>
      </c>
      <c r="M25" s="30">
        <v>0</v>
      </c>
      <c r="N25" s="13" t="s">
        <v>51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3520</v>
      </c>
      <c r="U25" s="30">
        <v>0</v>
      </c>
      <c r="V25" s="30">
        <f>SMALL(Q25:U25,COUNTIF(Q25:U25,0)+1)</f>
        <v>3520</v>
      </c>
      <c r="W25" s="13" t="s">
        <v>333</v>
      </c>
      <c r="X25" s="13" t="s">
        <v>51</v>
      </c>
      <c r="Y25" s="1" t="s">
        <v>51</v>
      </c>
      <c r="Z25" s="1" t="s">
        <v>51</v>
      </c>
      <c r="AA25" s="31"/>
      <c r="AB25" s="1" t="s">
        <v>51</v>
      </c>
    </row>
    <row r="26" spans="1:28" ht="30" customHeight="1" x14ac:dyDescent="0.3">
      <c r="A26" s="13" t="s">
        <v>231</v>
      </c>
      <c r="B26" s="13" t="s">
        <v>229</v>
      </c>
      <c r="C26" s="13" t="s">
        <v>230</v>
      </c>
      <c r="D26" s="50" t="s">
        <v>122</v>
      </c>
      <c r="E26" s="30">
        <v>0</v>
      </c>
      <c r="F26" s="13" t="s">
        <v>51</v>
      </c>
      <c r="G26" s="30">
        <v>0</v>
      </c>
      <c r="H26" s="13" t="s">
        <v>51</v>
      </c>
      <c r="I26" s="30">
        <v>0</v>
      </c>
      <c r="J26" s="13" t="s">
        <v>51</v>
      </c>
      <c r="K26" s="30">
        <v>0</v>
      </c>
      <c r="L26" s="13" t="s">
        <v>332</v>
      </c>
      <c r="M26" s="30">
        <v>0</v>
      </c>
      <c r="N26" s="13" t="s">
        <v>51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15990</v>
      </c>
      <c r="U26" s="30">
        <v>0</v>
      </c>
      <c r="V26" s="30">
        <f>SMALL(Q26:U26,COUNTIF(Q26:U26,0)+1)</f>
        <v>15990</v>
      </c>
      <c r="W26" s="13" t="s">
        <v>334</v>
      </c>
      <c r="X26" s="13" t="s">
        <v>51</v>
      </c>
      <c r="Y26" s="1" t="s">
        <v>51</v>
      </c>
      <c r="Z26" s="1" t="s">
        <v>51</v>
      </c>
      <c r="AA26" s="31"/>
      <c r="AB26" s="1" t="s">
        <v>51</v>
      </c>
    </row>
    <row r="27" spans="1:28" ht="30" customHeight="1" x14ac:dyDescent="0.3">
      <c r="A27" s="13" t="s">
        <v>159</v>
      </c>
      <c r="B27" s="13" t="s">
        <v>157</v>
      </c>
      <c r="C27" s="13" t="s">
        <v>158</v>
      </c>
      <c r="D27" s="50" t="s">
        <v>62</v>
      </c>
      <c r="E27" s="30">
        <v>0</v>
      </c>
      <c r="F27" s="13" t="s">
        <v>51</v>
      </c>
      <c r="G27" s="30">
        <v>0</v>
      </c>
      <c r="H27" s="13" t="s">
        <v>51</v>
      </c>
      <c r="I27" s="30">
        <v>0</v>
      </c>
      <c r="J27" s="13" t="s">
        <v>51</v>
      </c>
      <c r="K27" s="30">
        <v>0</v>
      </c>
      <c r="L27" s="13" t="s">
        <v>51</v>
      </c>
      <c r="M27" s="30">
        <v>0</v>
      </c>
      <c r="N27" s="13" t="s">
        <v>51</v>
      </c>
      <c r="O27" s="30">
        <v>0</v>
      </c>
      <c r="P27" s="30">
        <v>167081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13" t="s">
        <v>335</v>
      </c>
      <c r="X27" s="13" t="s">
        <v>51</v>
      </c>
      <c r="Y27" s="1" t="s">
        <v>336</v>
      </c>
      <c r="Z27" s="1" t="s">
        <v>51</v>
      </c>
      <c r="AA27" s="31"/>
      <c r="AB27" s="1" t="s">
        <v>51</v>
      </c>
    </row>
    <row r="28" spans="1:28" ht="30" customHeight="1" x14ac:dyDescent="0.3">
      <c r="A28" s="13" t="s">
        <v>237</v>
      </c>
      <c r="B28" s="13" t="s">
        <v>236</v>
      </c>
      <c r="C28" s="13" t="s">
        <v>158</v>
      </c>
      <c r="D28" s="50" t="s">
        <v>62</v>
      </c>
      <c r="E28" s="30">
        <v>0</v>
      </c>
      <c r="F28" s="13" t="s">
        <v>51</v>
      </c>
      <c r="G28" s="30">
        <v>0</v>
      </c>
      <c r="H28" s="13" t="s">
        <v>51</v>
      </c>
      <c r="I28" s="30">
        <v>0</v>
      </c>
      <c r="J28" s="13" t="s">
        <v>51</v>
      </c>
      <c r="K28" s="30">
        <v>0</v>
      </c>
      <c r="L28" s="13" t="s">
        <v>51</v>
      </c>
      <c r="M28" s="30">
        <v>0</v>
      </c>
      <c r="N28" s="13" t="s">
        <v>51</v>
      </c>
      <c r="O28" s="30">
        <v>0</v>
      </c>
      <c r="P28" s="30">
        <v>282352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13" t="s">
        <v>337</v>
      </c>
      <c r="X28" s="13" t="s">
        <v>51</v>
      </c>
      <c r="Y28" s="1" t="s">
        <v>336</v>
      </c>
      <c r="Z28" s="1" t="s">
        <v>51</v>
      </c>
      <c r="AA28" s="31"/>
      <c r="AB28" s="1" t="s">
        <v>51</v>
      </c>
    </row>
    <row r="29" spans="1:28" ht="30" customHeight="1" x14ac:dyDescent="0.3">
      <c r="A29" s="13" t="s">
        <v>162</v>
      </c>
      <c r="B29" s="13" t="s">
        <v>161</v>
      </c>
      <c r="C29" s="13" t="s">
        <v>158</v>
      </c>
      <c r="D29" s="50" t="s">
        <v>62</v>
      </c>
      <c r="E29" s="30">
        <v>0</v>
      </c>
      <c r="F29" s="13" t="s">
        <v>51</v>
      </c>
      <c r="G29" s="30">
        <v>0</v>
      </c>
      <c r="H29" s="13" t="s">
        <v>51</v>
      </c>
      <c r="I29" s="30">
        <v>0</v>
      </c>
      <c r="J29" s="13" t="s">
        <v>51</v>
      </c>
      <c r="K29" s="30">
        <v>0</v>
      </c>
      <c r="L29" s="13" t="s">
        <v>51</v>
      </c>
      <c r="M29" s="30">
        <v>0</v>
      </c>
      <c r="N29" s="13" t="s">
        <v>51</v>
      </c>
      <c r="O29" s="30">
        <v>0</v>
      </c>
      <c r="P29" s="30">
        <v>269836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13" t="s">
        <v>338</v>
      </c>
      <c r="X29" s="13" t="s">
        <v>51</v>
      </c>
      <c r="Y29" s="1" t="s">
        <v>336</v>
      </c>
      <c r="Z29" s="1" t="s">
        <v>51</v>
      </c>
      <c r="AA29" s="31"/>
      <c r="AB29" s="1" t="s">
        <v>51</v>
      </c>
    </row>
    <row r="30" spans="1:28" ht="30" customHeight="1" x14ac:dyDescent="0.3">
      <c r="A30" s="13" t="s">
        <v>208</v>
      </c>
      <c r="B30" s="13" t="s">
        <v>207</v>
      </c>
      <c r="C30" s="13" t="s">
        <v>158</v>
      </c>
      <c r="D30" s="50" t="s">
        <v>62</v>
      </c>
      <c r="E30" s="30">
        <v>0</v>
      </c>
      <c r="F30" s="13" t="s">
        <v>51</v>
      </c>
      <c r="G30" s="30">
        <v>0</v>
      </c>
      <c r="H30" s="13" t="s">
        <v>51</v>
      </c>
      <c r="I30" s="30">
        <v>0</v>
      </c>
      <c r="J30" s="13" t="s">
        <v>51</v>
      </c>
      <c r="K30" s="30">
        <v>0</v>
      </c>
      <c r="L30" s="13" t="s">
        <v>51</v>
      </c>
      <c r="M30" s="30">
        <v>0</v>
      </c>
      <c r="N30" s="13" t="s">
        <v>51</v>
      </c>
      <c r="O30" s="30">
        <v>0</v>
      </c>
      <c r="P30" s="30">
        <v>279267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13" t="s">
        <v>339</v>
      </c>
      <c r="X30" s="13" t="s">
        <v>51</v>
      </c>
      <c r="Y30" s="1" t="s">
        <v>336</v>
      </c>
      <c r="Z30" s="1" t="s">
        <v>51</v>
      </c>
      <c r="AA30" s="31"/>
      <c r="AB30" s="1" t="s">
        <v>51</v>
      </c>
    </row>
    <row r="31" spans="1:28" ht="30" customHeight="1" x14ac:dyDescent="0.3">
      <c r="A31" s="13" t="s">
        <v>188</v>
      </c>
      <c r="B31" s="13" t="s">
        <v>187</v>
      </c>
      <c r="C31" s="13" t="s">
        <v>158</v>
      </c>
      <c r="D31" s="50" t="s">
        <v>62</v>
      </c>
      <c r="E31" s="30">
        <v>0</v>
      </c>
      <c r="F31" s="13" t="s">
        <v>51</v>
      </c>
      <c r="G31" s="30">
        <v>0</v>
      </c>
      <c r="H31" s="13" t="s">
        <v>51</v>
      </c>
      <c r="I31" s="30">
        <v>0</v>
      </c>
      <c r="J31" s="13" t="s">
        <v>51</v>
      </c>
      <c r="K31" s="30">
        <v>0</v>
      </c>
      <c r="L31" s="13" t="s">
        <v>51</v>
      </c>
      <c r="M31" s="30">
        <v>0</v>
      </c>
      <c r="N31" s="13" t="s">
        <v>51</v>
      </c>
      <c r="O31" s="30">
        <v>0</v>
      </c>
      <c r="P31" s="30">
        <v>249088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13" t="s">
        <v>340</v>
      </c>
      <c r="X31" s="13" t="s">
        <v>51</v>
      </c>
      <c r="Y31" s="1" t="s">
        <v>336</v>
      </c>
      <c r="Z31" s="1" t="s">
        <v>51</v>
      </c>
      <c r="AA31" s="31"/>
      <c r="AB31" s="1" t="s">
        <v>51</v>
      </c>
    </row>
    <row r="32" spans="1:28" ht="30" customHeight="1" x14ac:dyDescent="0.3">
      <c r="A32" s="13" t="s">
        <v>241</v>
      </c>
      <c r="B32" s="13" t="s">
        <v>240</v>
      </c>
      <c r="C32" s="13" t="s">
        <v>158</v>
      </c>
      <c r="D32" s="50" t="s">
        <v>62</v>
      </c>
      <c r="E32" s="30">
        <v>0</v>
      </c>
      <c r="F32" s="13" t="s">
        <v>51</v>
      </c>
      <c r="G32" s="30">
        <v>0</v>
      </c>
      <c r="H32" s="13" t="s">
        <v>51</v>
      </c>
      <c r="I32" s="30">
        <v>0</v>
      </c>
      <c r="J32" s="13" t="s">
        <v>51</v>
      </c>
      <c r="K32" s="30">
        <v>0</v>
      </c>
      <c r="L32" s="13" t="s">
        <v>51</v>
      </c>
      <c r="M32" s="30">
        <v>0</v>
      </c>
      <c r="N32" s="13" t="s">
        <v>51</v>
      </c>
      <c r="O32" s="30">
        <v>0</v>
      </c>
      <c r="P32" s="30">
        <v>219996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13" t="s">
        <v>341</v>
      </c>
      <c r="X32" s="13" t="s">
        <v>51</v>
      </c>
      <c r="Y32" s="1" t="s">
        <v>336</v>
      </c>
      <c r="Z32" s="1" t="s">
        <v>51</v>
      </c>
      <c r="AA32" s="31"/>
      <c r="AB32" s="1" t="s">
        <v>51</v>
      </c>
    </row>
    <row r="33" spans="1:28" ht="30" customHeight="1" x14ac:dyDescent="0.3">
      <c r="A33" s="13" t="s">
        <v>199</v>
      </c>
      <c r="B33" s="13" t="s">
        <v>198</v>
      </c>
      <c r="C33" s="13" t="s">
        <v>158</v>
      </c>
      <c r="D33" s="50" t="s">
        <v>62</v>
      </c>
      <c r="E33" s="30">
        <v>0</v>
      </c>
      <c r="F33" s="13" t="s">
        <v>51</v>
      </c>
      <c r="G33" s="30">
        <v>0</v>
      </c>
      <c r="H33" s="13" t="s">
        <v>51</v>
      </c>
      <c r="I33" s="30">
        <v>0</v>
      </c>
      <c r="J33" s="13" t="s">
        <v>51</v>
      </c>
      <c r="K33" s="30">
        <v>0</v>
      </c>
      <c r="L33" s="13" t="s">
        <v>51</v>
      </c>
      <c r="M33" s="30">
        <v>0</v>
      </c>
      <c r="N33" s="13" t="s">
        <v>51</v>
      </c>
      <c r="O33" s="30">
        <v>0</v>
      </c>
      <c r="P33" s="30">
        <v>274502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13" t="s">
        <v>342</v>
      </c>
      <c r="X33" s="13" t="s">
        <v>51</v>
      </c>
      <c r="Y33" s="1" t="s">
        <v>336</v>
      </c>
      <c r="Z33" s="1" t="s">
        <v>51</v>
      </c>
      <c r="AA33" s="31"/>
      <c r="AB33" s="1" t="s">
        <v>51</v>
      </c>
    </row>
    <row r="34" spans="1:28" ht="30" customHeight="1" x14ac:dyDescent="0.3">
      <c r="A34" s="13" t="s">
        <v>204</v>
      </c>
      <c r="B34" s="13" t="s">
        <v>203</v>
      </c>
      <c r="C34" s="13" t="s">
        <v>158</v>
      </c>
      <c r="D34" s="50" t="s">
        <v>62</v>
      </c>
      <c r="E34" s="30">
        <v>0</v>
      </c>
      <c r="F34" s="13" t="s">
        <v>51</v>
      </c>
      <c r="G34" s="30">
        <v>0</v>
      </c>
      <c r="H34" s="13" t="s">
        <v>51</v>
      </c>
      <c r="I34" s="30">
        <v>0</v>
      </c>
      <c r="J34" s="13" t="s">
        <v>51</v>
      </c>
      <c r="K34" s="30">
        <v>0</v>
      </c>
      <c r="L34" s="13" t="s">
        <v>51</v>
      </c>
      <c r="M34" s="30">
        <v>0</v>
      </c>
      <c r="N34" s="13" t="s">
        <v>51</v>
      </c>
      <c r="O34" s="30">
        <v>0</v>
      </c>
      <c r="P34" s="30">
        <v>279575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13" t="s">
        <v>343</v>
      </c>
      <c r="X34" s="13" t="s">
        <v>51</v>
      </c>
      <c r="Y34" s="1" t="s">
        <v>336</v>
      </c>
      <c r="Z34" s="1" t="s">
        <v>51</v>
      </c>
      <c r="AA34" s="31"/>
      <c r="AB34" s="1" t="s">
        <v>51</v>
      </c>
    </row>
    <row r="35" spans="1:28" ht="30" customHeight="1" x14ac:dyDescent="0.3">
      <c r="A35" s="13" t="s">
        <v>259</v>
      </c>
      <c r="B35" s="13" t="s">
        <v>258</v>
      </c>
      <c r="C35" s="13" t="s">
        <v>158</v>
      </c>
      <c r="D35" s="50" t="s">
        <v>62</v>
      </c>
      <c r="E35" s="30">
        <v>0</v>
      </c>
      <c r="F35" s="13" t="s">
        <v>51</v>
      </c>
      <c r="G35" s="30">
        <v>0</v>
      </c>
      <c r="H35" s="13" t="s">
        <v>51</v>
      </c>
      <c r="I35" s="30">
        <v>0</v>
      </c>
      <c r="J35" s="13" t="s">
        <v>51</v>
      </c>
      <c r="K35" s="30">
        <v>0</v>
      </c>
      <c r="L35" s="13" t="s">
        <v>51</v>
      </c>
      <c r="M35" s="30">
        <v>0</v>
      </c>
      <c r="N35" s="13" t="s">
        <v>51</v>
      </c>
      <c r="O35" s="30">
        <v>0</v>
      </c>
      <c r="P35" s="30">
        <v>256854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13" t="s">
        <v>344</v>
      </c>
      <c r="X35" s="13" t="s">
        <v>51</v>
      </c>
      <c r="Y35" s="1" t="s">
        <v>336</v>
      </c>
      <c r="Z35" s="1" t="s">
        <v>51</v>
      </c>
      <c r="AA35" s="31"/>
      <c r="AB35" s="1" t="s">
        <v>51</v>
      </c>
    </row>
    <row r="36" spans="1:28" ht="30" customHeight="1" x14ac:dyDescent="0.3">
      <c r="A36" s="13" t="s">
        <v>202</v>
      </c>
      <c r="B36" s="13" t="s">
        <v>201</v>
      </c>
      <c r="C36" s="13" t="s">
        <v>158</v>
      </c>
      <c r="D36" s="50" t="s">
        <v>62</v>
      </c>
      <c r="E36" s="30">
        <v>0</v>
      </c>
      <c r="F36" s="13" t="s">
        <v>51</v>
      </c>
      <c r="G36" s="30">
        <v>0</v>
      </c>
      <c r="H36" s="13" t="s">
        <v>51</v>
      </c>
      <c r="I36" s="30">
        <v>0</v>
      </c>
      <c r="J36" s="13" t="s">
        <v>51</v>
      </c>
      <c r="K36" s="30">
        <v>0</v>
      </c>
      <c r="L36" s="13" t="s">
        <v>51</v>
      </c>
      <c r="M36" s="30">
        <v>0</v>
      </c>
      <c r="N36" s="13" t="s">
        <v>51</v>
      </c>
      <c r="O36" s="30">
        <v>0</v>
      </c>
      <c r="P36" s="30">
        <v>245524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13" t="s">
        <v>345</v>
      </c>
      <c r="X36" s="13" t="s">
        <v>51</v>
      </c>
      <c r="Y36" s="1" t="s">
        <v>336</v>
      </c>
      <c r="Z36" s="1" t="s">
        <v>51</v>
      </c>
      <c r="AA36" s="31"/>
      <c r="AB36" s="1" t="s">
        <v>51</v>
      </c>
    </row>
    <row r="37" spans="1:28" ht="30" customHeight="1" x14ac:dyDescent="0.3">
      <c r="A37" s="13" t="s">
        <v>206</v>
      </c>
      <c r="B37" s="13" t="s">
        <v>205</v>
      </c>
      <c r="C37" s="13" t="s">
        <v>158</v>
      </c>
      <c r="D37" s="50" t="s">
        <v>62</v>
      </c>
      <c r="E37" s="30">
        <v>0</v>
      </c>
      <c r="F37" s="13" t="s">
        <v>51</v>
      </c>
      <c r="G37" s="30">
        <v>0</v>
      </c>
      <c r="H37" s="13" t="s">
        <v>51</v>
      </c>
      <c r="I37" s="30">
        <v>0</v>
      </c>
      <c r="J37" s="13" t="s">
        <v>51</v>
      </c>
      <c r="K37" s="30">
        <v>0</v>
      </c>
      <c r="L37" s="13" t="s">
        <v>51</v>
      </c>
      <c r="M37" s="30">
        <v>0</v>
      </c>
      <c r="N37" s="13" t="s">
        <v>51</v>
      </c>
      <c r="O37" s="30">
        <v>0</v>
      </c>
      <c r="P37" s="30">
        <v>221362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13" t="s">
        <v>346</v>
      </c>
      <c r="X37" s="13" t="s">
        <v>51</v>
      </c>
      <c r="Y37" s="1" t="s">
        <v>336</v>
      </c>
      <c r="Z37" s="1" t="s">
        <v>51</v>
      </c>
      <c r="AA37" s="31"/>
      <c r="AB37" s="1" t="s">
        <v>51</v>
      </c>
    </row>
    <row r="38" spans="1:28" ht="30" customHeight="1" x14ac:dyDescent="0.3">
      <c r="A38" s="13" t="s">
        <v>248</v>
      </c>
      <c r="B38" s="13" t="s">
        <v>247</v>
      </c>
      <c r="C38" s="13" t="s">
        <v>158</v>
      </c>
      <c r="D38" s="50" t="s">
        <v>62</v>
      </c>
      <c r="E38" s="30">
        <v>0</v>
      </c>
      <c r="F38" s="13" t="s">
        <v>51</v>
      </c>
      <c r="G38" s="30">
        <v>0</v>
      </c>
      <c r="H38" s="13" t="s">
        <v>51</v>
      </c>
      <c r="I38" s="30">
        <v>0</v>
      </c>
      <c r="J38" s="13" t="s">
        <v>51</v>
      </c>
      <c r="K38" s="30">
        <v>0</v>
      </c>
      <c r="L38" s="13" t="s">
        <v>51</v>
      </c>
      <c r="M38" s="30">
        <v>0</v>
      </c>
      <c r="N38" s="13" t="s">
        <v>51</v>
      </c>
      <c r="O38" s="30">
        <v>0</v>
      </c>
      <c r="P38" s="30">
        <v>263972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13" t="s">
        <v>347</v>
      </c>
      <c r="X38" s="13" t="s">
        <v>51</v>
      </c>
      <c r="Y38" s="1" t="s">
        <v>336</v>
      </c>
      <c r="Z38" s="1" t="s">
        <v>51</v>
      </c>
      <c r="AA38" s="31"/>
      <c r="AB38" s="1" t="s">
        <v>51</v>
      </c>
    </row>
    <row r="39" spans="1:28" ht="30" customHeight="1" x14ac:dyDescent="0.3">
      <c r="A39" s="13" t="s">
        <v>250</v>
      </c>
      <c r="B39" s="13" t="s">
        <v>249</v>
      </c>
      <c r="C39" s="13" t="s">
        <v>158</v>
      </c>
      <c r="D39" s="50" t="s">
        <v>62</v>
      </c>
      <c r="E39" s="30">
        <v>0</v>
      </c>
      <c r="F39" s="13" t="s">
        <v>51</v>
      </c>
      <c r="G39" s="30">
        <v>0</v>
      </c>
      <c r="H39" s="13" t="s">
        <v>51</v>
      </c>
      <c r="I39" s="30">
        <v>0</v>
      </c>
      <c r="J39" s="13" t="s">
        <v>51</v>
      </c>
      <c r="K39" s="30">
        <v>0</v>
      </c>
      <c r="L39" s="13" t="s">
        <v>51</v>
      </c>
      <c r="M39" s="30">
        <v>0</v>
      </c>
      <c r="N39" s="13" t="s">
        <v>51</v>
      </c>
      <c r="O39" s="30">
        <v>0</v>
      </c>
      <c r="P39" s="30">
        <v>200341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13" t="s">
        <v>348</v>
      </c>
      <c r="X39" s="13" t="s">
        <v>51</v>
      </c>
      <c r="Y39" s="1" t="s">
        <v>336</v>
      </c>
      <c r="Z39" s="1" t="s">
        <v>51</v>
      </c>
      <c r="AA39" s="31"/>
      <c r="AB39" s="1" t="s">
        <v>51</v>
      </c>
    </row>
    <row r="40" spans="1:28" ht="30" customHeight="1" x14ac:dyDescent="0.3">
      <c r="A40" s="13" t="s">
        <v>239</v>
      </c>
      <c r="B40" s="13" t="s">
        <v>238</v>
      </c>
      <c r="C40" s="13" t="s">
        <v>158</v>
      </c>
      <c r="D40" s="50" t="s">
        <v>62</v>
      </c>
      <c r="E40" s="30">
        <v>0</v>
      </c>
      <c r="F40" s="13" t="s">
        <v>51</v>
      </c>
      <c r="G40" s="30">
        <v>0</v>
      </c>
      <c r="H40" s="13" t="s">
        <v>51</v>
      </c>
      <c r="I40" s="30">
        <v>0</v>
      </c>
      <c r="J40" s="13" t="s">
        <v>51</v>
      </c>
      <c r="K40" s="30">
        <v>0</v>
      </c>
      <c r="L40" s="13" t="s">
        <v>51</v>
      </c>
      <c r="M40" s="30">
        <v>0</v>
      </c>
      <c r="N40" s="13" t="s">
        <v>51</v>
      </c>
      <c r="O40" s="30">
        <v>0</v>
      </c>
      <c r="P40" s="30">
        <v>233960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13" t="s">
        <v>349</v>
      </c>
      <c r="X40" s="13" t="s">
        <v>51</v>
      </c>
      <c r="Y40" s="1" t="s">
        <v>336</v>
      </c>
      <c r="Z40" s="1" t="s">
        <v>51</v>
      </c>
      <c r="AA40" s="31"/>
      <c r="AB40" s="1" t="s">
        <v>51</v>
      </c>
    </row>
    <row r="41" spans="1:28" ht="30" customHeight="1" x14ac:dyDescent="0.3">
      <c r="A41" s="13" t="s">
        <v>245</v>
      </c>
      <c r="B41" s="13" t="s">
        <v>243</v>
      </c>
      <c r="C41" s="13" t="s">
        <v>244</v>
      </c>
      <c r="D41" s="50" t="s">
        <v>62</v>
      </c>
      <c r="E41" s="30">
        <v>0</v>
      </c>
      <c r="F41" s="13" t="s">
        <v>51</v>
      </c>
      <c r="G41" s="30">
        <v>0</v>
      </c>
      <c r="H41" s="13" t="s">
        <v>51</v>
      </c>
      <c r="I41" s="30">
        <v>0</v>
      </c>
      <c r="J41" s="13" t="s">
        <v>51</v>
      </c>
      <c r="K41" s="30">
        <v>0</v>
      </c>
      <c r="L41" s="13" t="s">
        <v>51</v>
      </c>
      <c r="M41" s="30">
        <v>0</v>
      </c>
      <c r="N41" s="13" t="s">
        <v>51</v>
      </c>
      <c r="O41" s="30">
        <v>0</v>
      </c>
      <c r="P41" s="30">
        <v>204830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13" t="s">
        <v>350</v>
      </c>
      <c r="X41" s="13" t="s">
        <v>51</v>
      </c>
      <c r="Y41" s="1" t="s">
        <v>336</v>
      </c>
      <c r="Z41" s="1" t="s">
        <v>51</v>
      </c>
      <c r="AA41" s="31"/>
      <c r="AB41" s="1" t="s">
        <v>51</v>
      </c>
    </row>
    <row r="42" spans="1:28" ht="30" customHeight="1" x14ac:dyDescent="0.3">
      <c r="A42" s="13" t="s">
        <v>126</v>
      </c>
      <c r="B42" s="13" t="s">
        <v>124</v>
      </c>
      <c r="C42" s="13" t="s">
        <v>51</v>
      </c>
      <c r="D42" s="50" t="s">
        <v>125</v>
      </c>
      <c r="E42" s="30">
        <v>0</v>
      </c>
      <c r="F42" s="13" t="s">
        <v>51</v>
      </c>
      <c r="G42" s="30">
        <v>0</v>
      </c>
      <c r="H42" s="13" t="s">
        <v>51</v>
      </c>
      <c r="I42" s="30">
        <v>0</v>
      </c>
      <c r="J42" s="13" t="s">
        <v>51</v>
      </c>
      <c r="K42" s="30">
        <v>0</v>
      </c>
      <c r="L42" s="13" t="s">
        <v>51</v>
      </c>
      <c r="M42" s="30">
        <v>1741783</v>
      </c>
      <c r="N42" s="13" t="s">
        <v>51</v>
      </c>
      <c r="O42" s="30">
        <f>SMALL(E42:M42,COUNTIF(E42:M42,0)+1)</f>
        <v>1741783</v>
      </c>
      <c r="P42" s="30">
        <v>1422722</v>
      </c>
      <c r="Q42" s="30">
        <v>0</v>
      </c>
      <c r="R42" s="30">
        <v>0</v>
      </c>
      <c r="S42" s="30">
        <v>0</v>
      </c>
      <c r="T42" s="30">
        <v>0</v>
      </c>
      <c r="U42" s="30">
        <v>7042</v>
      </c>
      <c r="V42" s="30">
        <f>SMALL(Q42:U42,COUNTIF(Q42:U42,0)+1)</f>
        <v>7042</v>
      </c>
      <c r="W42" s="13" t="s">
        <v>351</v>
      </c>
      <c r="X42" s="13" t="s">
        <v>51</v>
      </c>
      <c r="Y42" s="1" t="s">
        <v>51</v>
      </c>
      <c r="Z42" s="1" t="s">
        <v>51</v>
      </c>
      <c r="AA42" s="31"/>
      <c r="AB42" s="1" t="s">
        <v>51</v>
      </c>
    </row>
    <row r="43" spans="1:28" ht="30" customHeight="1" x14ac:dyDescent="0.3">
      <c r="A43" s="41" t="s">
        <v>475</v>
      </c>
      <c r="B43" s="40" t="s">
        <v>471</v>
      </c>
      <c r="C43" s="40" t="s">
        <v>472</v>
      </c>
      <c r="D43" s="41" t="s">
        <v>200</v>
      </c>
      <c r="E43" s="48"/>
      <c r="F43" s="48"/>
      <c r="G43" s="48"/>
      <c r="H43" s="48"/>
      <c r="I43" s="48"/>
      <c r="J43" s="49"/>
      <c r="K43" s="48"/>
      <c r="L43" s="48"/>
      <c r="M43" s="48">
        <v>186100</v>
      </c>
      <c r="N43" s="48"/>
      <c r="O43" s="48">
        <f>M43</f>
        <v>186100</v>
      </c>
      <c r="P43" s="48">
        <f>I43</f>
        <v>0</v>
      </c>
      <c r="Q43" s="48">
        <f t="shared" ref="Q43:W43" si="3">J43</f>
        <v>0</v>
      </c>
      <c r="R43" s="48">
        <f t="shared" si="3"/>
        <v>0</v>
      </c>
      <c r="S43" s="48">
        <f t="shared" si="3"/>
        <v>0</v>
      </c>
      <c r="T43" s="48">
        <f t="shared" si="3"/>
        <v>186100</v>
      </c>
      <c r="U43" s="48">
        <f t="shared" si="3"/>
        <v>0</v>
      </c>
      <c r="V43" s="48">
        <f t="shared" si="3"/>
        <v>186100</v>
      </c>
      <c r="W43" s="48">
        <f t="shared" si="3"/>
        <v>0</v>
      </c>
      <c r="X43" s="13" t="s">
        <v>476</v>
      </c>
    </row>
  </sheetData>
  <mergeCells count="15">
    <mergeCell ref="Y3:Y4"/>
    <mergeCell ref="Z3:Z4"/>
    <mergeCell ref="AA3:AA4"/>
    <mergeCell ref="AB3:AB4"/>
    <mergeCell ref="A1:X1"/>
    <mergeCell ref="A2:X2"/>
    <mergeCell ref="A3:A4"/>
    <mergeCell ref="B3:B4"/>
    <mergeCell ref="C3:C4"/>
    <mergeCell ref="D3:D4"/>
    <mergeCell ref="E3:O3"/>
    <mergeCell ref="P3:P4"/>
    <mergeCell ref="Q3:V3"/>
    <mergeCell ref="W3:W4"/>
    <mergeCell ref="X3:X4"/>
  </mergeCells>
  <phoneticPr fontId="1" type="noConversion"/>
  <conditionalFormatting sqref="A43:W43">
    <cfRule type="containsText" dxfId="1" priority="1" stopIfTrue="1" operator="containsText" text=".">
      <formula>NOT(ISERROR(SEARCH(".",A43)))</formula>
    </cfRule>
    <cfRule type="notContainsText" dxfId="0" priority="2" stopIfTrue="1" operator="notContains" text=".">
      <formula>ISERROR(SEARCH(".",A43))</formula>
    </cfRule>
  </conditionalFormatting>
  <pageMargins left="0.59055118110236227" right="0" top="0.59055118110236227" bottom="0.39370078740157483" header="0" footer="0"/>
  <pageSetup paperSize="9" scale="5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B2A6-7E54-45F3-AFAC-16D1A4F258E4}">
  <dimension ref="A1:M43"/>
  <sheetViews>
    <sheetView workbookViewId="0">
      <selection activeCell="H19" sqref="H19"/>
    </sheetView>
  </sheetViews>
  <sheetFormatPr defaultRowHeight="16.5" x14ac:dyDescent="0.3"/>
  <sheetData>
    <row r="1" spans="1:7" x14ac:dyDescent="0.3">
      <c r="A1" t="s">
        <v>418</v>
      </c>
    </row>
    <row r="2" spans="1:7" x14ac:dyDescent="0.3">
      <c r="A2" s="1" t="s">
        <v>419</v>
      </c>
      <c r="B2" t="s">
        <v>420</v>
      </c>
      <c r="C2" s="1" t="s">
        <v>421</v>
      </c>
    </row>
    <row r="3" spans="1:7" x14ac:dyDescent="0.3">
      <c r="A3" s="1" t="s">
        <v>422</v>
      </c>
      <c r="B3" t="s">
        <v>423</v>
      </c>
    </row>
    <row r="4" spans="1:7" x14ac:dyDescent="0.3">
      <c r="A4" s="1" t="s">
        <v>424</v>
      </c>
      <c r="B4">
        <v>5</v>
      </c>
    </row>
    <row r="5" spans="1:7" x14ac:dyDescent="0.3">
      <c r="A5" s="1" t="s">
        <v>425</v>
      </c>
      <c r="B5">
        <v>5</v>
      </c>
    </row>
    <row r="6" spans="1:7" x14ac:dyDescent="0.3">
      <c r="A6" s="1" t="s">
        <v>426</v>
      </c>
      <c r="B6" t="s">
        <v>427</v>
      </c>
    </row>
    <row r="7" spans="1:7" x14ac:dyDescent="0.3">
      <c r="A7" s="1" t="s">
        <v>428</v>
      </c>
      <c r="B7" t="s">
        <v>329</v>
      </c>
      <c r="C7" t="s">
        <v>58</v>
      </c>
    </row>
    <row r="8" spans="1:7" x14ac:dyDescent="0.3">
      <c r="A8" s="1" t="s">
        <v>429</v>
      </c>
      <c r="B8" t="s">
        <v>329</v>
      </c>
      <c r="C8">
        <v>2</v>
      </c>
    </row>
    <row r="9" spans="1:7" x14ac:dyDescent="0.3">
      <c r="A9" s="1" t="s">
        <v>430</v>
      </c>
      <c r="B9" t="s">
        <v>280</v>
      </c>
      <c r="C9" t="s">
        <v>282</v>
      </c>
      <c r="D9" t="s">
        <v>283</v>
      </c>
      <c r="E9" t="s">
        <v>284</v>
      </c>
      <c r="F9" t="s">
        <v>285</v>
      </c>
      <c r="G9" t="s">
        <v>431</v>
      </c>
    </row>
    <row r="10" spans="1:7" x14ac:dyDescent="0.3">
      <c r="A10" s="1" t="s">
        <v>432</v>
      </c>
      <c r="B10">
        <v>1289</v>
      </c>
      <c r="C10">
        <v>0</v>
      </c>
      <c r="D10">
        <v>0</v>
      </c>
    </row>
    <row r="11" spans="1:7" x14ac:dyDescent="0.3">
      <c r="A11" s="1" t="s">
        <v>433</v>
      </c>
      <c r="B11" t="s">
        <v>434</v>
      </c>
      <c r="C11">
        <v>4</v>
      </c>
    </row>
    <row r="12" spans="1:7" x14ac:dyDescent="0.3">
      <c r="A12" s="1" t="s">
        <v>435</v>
      </c>
      <c r="B12" t="s">
        <v>434</v>
      </c>
      <c r="C12">
        <v>4</v>
      </c>
    </row>
    <row r="13" spans="1:7" x14ac:dyDescent="0.3">
      <c r="A13" s="1" t="s">
        <v>436</v>
      </c>
      <c r="B13" t="s">
        <v>434</v>
      </c>
      <c r="C13">
        <v>3</v>
      </c>
    </row>
    <row r="14" spans="1:7" x14ac:dyDescent="0.3">
      <c r="A14" s="1" t="s">
        <v>437</v>
      </c>
      <c r="B14" t="s">
        <v>434</v>
      </c>
      <c r="C14">
        <v>5</v>
      </c>
    </row>
    <row r="15" spans="1:7" x14ac:dyDescent="0.3">
      <c r="A15" s="1" t="s">
        <v>438</v>
      </c>
      <c r="B15" t="s">
        <v>420</v>
      </c>
      <c r="C15" t="s">
        <v>439</v>
      </c>
      <c r="D15" t="s">
        <v>439</v>
      </c>
      <c r="E15" t="s">
        <v>439</v>
      </c>
      <c r="F15">
        <v>1</v>
      </c>
    </row>
    <row r="16" spans="1:7" x14ac:dyDescent="0.3">
      <c r="A16" s="1" t="s">
        <v>440</v>
      </c>
      <c r="B16">
        <v>1.1100000000000001</v>
      </c>
      <c r="C16">
        <v>1.1200000000000001</v>
      </c>
    </row>
    <row r="17" spans="1:13" x14ac:dyDescent="0.3">
      <c r="A17" s="1" t="s">
        <v>441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3">
      <c r="A18" s="1" t="s">
        <v>442</v>
      </c>
      <c r="B18">
        <v>1.25</v>
      </c>
      <c r="C18">
        <v>1.071</v>
      </c>
    </row>
    <row r="19" spans="1:13" x14ac:dyDescent="0.3">
      <c r="A19" s="1" t="s">
        <v>443</v>
      </c>
    </row>
    <row r="20" spans="1:13" x14ac:dyDescent="0.3">
      <c r="A20" s="1" t="s">
        <v>444</v>
      </c>
      <c r="B20" s="1" t="s">
        <v>329</v>
      </c>
      <c r="C20">
        <v>1</v>
      </c>
    </row>
    <row r="21" spans="1:13" x14ac:dyDescent="0.3">
      <c r="A21" t="s">
        <v>277</v>
      </c>
      <c r="B21" t="s">
        <v>446</v>
      </c>
      <c r="C21" t="s">
        <v>447</v>
      </c>
    </row>
    <row r="22" spans="1:13" x14ac:dyDescent="0.3">
      <c r="A22">
        <v>1</v>
      </c>
      <c r="B22" s="1" t="s">
        <v>448</v>
      </c>
      <c r="C22" s="1" t="s">
        <v>364</v>
      </c>
    </row>
    <row r="23" spans="1:13" x14ac:dyDescent="0.3">
      <c r="A23">
        <v>2</v>
      </c>
      <c r="B23" s="1" t="s">
        <v>449</v>
      </c>
      <c r="C23" s="1" t="s">
        <v>450</v>
      </c>
    </row>
    <row r="24" spans="1:13" x14ac:dyDescent="0.3">
      <c r="A24">
        <v>3</v>
      </c>
      <c r="B24" s="1" t="s">
        <v>451</v>
      </c>
      <c r="C24" s="1" t="s">
        <v>452</v>
      </c>
    </row>
    <row r="25" spans="1:13" x14ac:dyDescent="0.3">
      <c r="A25">
        <v>4</v>
      </c>
      <c r="B25" s="1" t="s">
        <v>453</v>
      </c>
      <c r="C25" s="1" t="s">
        <v>454</v>
      </c>
    </row>
    <row r="26" spans="1:13" x14ac:dyDescent="0.3">
      <c r="A26">
        <v>5</v>
      </c>
      <c r="B26" s="1" t="s">
        <v>455</v>
      </c>
      <c r="C26" s="1" t="s">
        <v>456</v>
      </c>
    </row>
    <row r="27" spans="1:13" x14ac:dyDescent="0.3">
      <c r="A27">
        <v>6</v>
      </c>
      <c r="B27" s="1" t="s">
        <v>457</v>
      </c>
      <c r="C27" s="1" t="s">
        <v>458</v>
      </c>
    </row>
    <row r="28" spans="1:13" x14ac:dyDescent="0.3">
      <c r="A28">
        <v>7</v>
      </c>
      <c r="B28" s="1" t="s">
        <v>459</v>
      </c>
      <c r="C28" s="1" t="s">
        <v>460</v>
      </c>
    </row>
    <row r="29" spans="1:13" x14ac:dyDescent="0.3">
      <c r="A29">
        <v>8</v>
      </c>
      <c r="B29" s="1" t="s">
        <v>51</v>
      </c>
      <c r="C29" s="1" t="s">
        <v>51</v>
      </c>
    </row>
    <row r="30" spans="1:13" x14ac:dyDescent="0.3">
      <c r="A30">
        <v>9</v>
      </c>
      <c r="B30" s="1" t="s">
        <v>51</v>
      </c>
      <c r="C30" s="1" t="s">
        <v>51</v>
      </c>
    </row>
    <row r="43" spans="1:2" x14ac:dyDescent="0.3">
      <c r="A43" t="s">
        <v>445</v>
      </c>
      <c r="B43">
        <v>1234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11</vt:i4>
      </vt:variant>
    </vt:vector>
  </HeadingPairs>
  <TitlesOfParts>
    <vt:vector size="18" baseType="lpstr">
      <vt:lpstr>원가계산서</vt:lpstr>
      <vt:lpstr>공종별집계표</vt:lpstr>
      <vt:lpstr>공종별내역서</vt:lpstr>
      <vt:lpstr>일위대가목록</vt:lpstr>
      <vt:lpstr>일위대가</vt:lpstr>
      <vt:lpstr>단가대비표</vt:lpstr>
      <vt:lpstr> 공사설정 </vt:lpstr>
      <vt:lpstr>공종별내역서!Print_Area</vt:lpstr>
      <vt:lpstr>공종별집계표!Print_Area</vt:lpstr>
      <vt:lpstr>단가대비표!Print_Area</vt:lpstr>
      <vt:lpstr>일위대가!Print_Area</vt:lpstr>
      <vt:lpstr>일위대가목록!Print_Area</vt:lpstr>
      <vt:lpstr>공종별내역서!Print_Titles</vt:lpstr>
      <vt:lpstr>공종별집계표!Print_Titles</vt:lpstr>
      <vt:lpstr>단가대비표!Print_Titles</vt:lpstr>
      <vt:lpstr>원가계산서!Print_Titles</vt:lpstr>
      <vt:lpstr>일위대가!Print_Titles</vt:lpstr>
      <vt:lpstr>일위대가목록!Print_Titles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2024-11-15T01:52:55Z</cp:lastPrinted>
  <dcterms:created xsi:type="dcterms:W3CDTF">2024-10-21T02:32:21Z</dcterms:created>
  <dcterms:modified xsi:type="dcterms:W3CDTF">2024-11-25T07:36:30Z</dcterms:modified>
</cp:coreProperties>
</file>