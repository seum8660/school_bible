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클로드 공부하기\실무적용\공사기간산정\"/>
    </mc:Choice>
  </mc:AlternateContent>
  <xr:revisionPtr revIDLastSave="0" documentId="13_ncr:1_{2E816FD8-225D-4302-B65A-CAFFCD65FD67}" xr6:coauthVersionLast="47" xr6:coauthVersionMax="47" xr10:uidLastSave="{00000000-0000-0000-0000-000000000000}"/>
  <bookViews>
    <workbookView xWindow="-120" yWindow="-120" windowWidth="29040" windowHeight="15720" tabRatio="926" activeTab="5" xr2:uid="{00000000-000D-0000-FFFF-FFFF00000000}"/>
  </bookViews>
  <sheets>
    <sheet name="표지" sheetId="24" r:id="rId1"/>
    <sheet name="1. 기본정보" sheetId="2" r:id="rId2"/>
    <sheet name="2. 요약 보고서" sheetId="17" r:id="rId3"/>
    <sheet name="2-1. 공사기간 검토결과" sheetId="1" r:id="rId4"/>
    <sheet name="(검토1안) 표준품셈 작업일수" sheetId="13" r:id="rId5"/>
    <sheet name="(검토1안-1)대시보드" sheetId="21" r:id="rId6"/>
    <sheet name="(검토2안) 공사기간" sheetId="11" r:id="rId7"/>
    <sheet name="(검토3안) 시설물별" sheetId="9" r:id="rId8"/>
    <sheet name="(참고1)_1일작업량" sheetId="12" r:id="rId9"/>
    <sheet name="부록1_준비·정리기간" sheetId="3" r:id="rId10"/>
    <sheet name="부록2 법정공휴일" sheetId="6" r:id="rId11"/>
    <sheet name="부록3 비작업일수" sheetId="4" r:id="rId12"/>
    <sheet name="부록4 기상비작업일수 산정" sheetId="22" r:id="rId13"/>
    <sheet name="부록5 기상데이터" sheetId="23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</externalReferences>
  <definedNames>
    <definedName name="________________LP1">#REF!</definedName>
    <definedName name="________________LP2">#REF!</definedName>
    <definedName name="______________LP1">#REF!</definedName>
    <definedName name="______________LP2">#REF!</definedName>
    <definedName name="____________LP1">#REF!</definedName>
    <definedName name="____________LP2">#REF!</definedName>
    <definedName name="____________LPB1">[1]부하계산서!#REF!</definedName>
    <definedName name="____________LPK1">[1]부하계산서!#REF!</definedName>
    <definedName name="____________LU1">'[2]부하(성남)'!#REF!</definedName>
    <definedName name="____________LU2">'[2]부하(성남)'!#REF!</definedName>
    <definedName name="____________LV01">'[2]부하(성남)'!#REF!</definedName>
    <definedName name="____________UP1">[1]부하계산서!#REF!</definedName>
    <definedName name="____________UP2">[1]부하계산서!#REF!</definedName>
    <definedName name="___________LPB1">[1]부하계산서!#REF!</definedName>
    <definedName name="___________LPK1">[1]부하계산서!#REF!</definedName>
    <definedName name="___________LU1">'[2]부하(성남)'!#REF!</definedName>
    <definedName name="___________LU2">'[2]부하(성남)'!#REF!</definedName>
    <definedName name="___________LV01">'[2]부하(성남)'!#REF!</definedName>
    <definedName name="___________UP1">[1]부하계산서!#REF!</definedName>
    <definedName name="___________UP2">[1]부하계산서!#REF!</definedName>
    <definedName name="__________LP1">#REF!</definedName>
    <definedName name="__________LP2">#REF!</definedName>
    <definedName name="__________LPB1">[1]부하계산서!#REF!</definedName>
    <definedName name="__________LPK1">[1]부하계산서!#REF!</definedName>
    <definedName name="__________LU1">'[2]부하(성남)'!#REF!</definedName>
    <definedName name="__________LU2">'[2]부하(성남)'!#REF!</definedName>
    <definedName name="__________LV01">'[2]부하(성남)'!#REF!</definedName>
    <definedName name="__________UP1">[1]부하계산서!#REF!</definedName>
    <definedName name="__________UP2">[1]부하계산서!#REF!</definedName>
    <definedName name="_________LPB1">[1]부하계산서!#REF!</definedName>
    <definedName name="_________LPK1">[1]부하계산서!#REF!</definedName>
    <definedName name="_________LU1">'[2]부하(성남)'!#REF!</definedName>
    <definedName name="_________LU2">'[2]부하(성남)'!#REF!</definedName>
    <definedName name="_________LV01">'[2]부하(성남)'!#REF!</definedName>
    <definedName name="_________UP1">[1]부하계산서!#REF!</definedName>
    <definedName name="_________UP2">[1]부하계산서!#REF!</definedName>
    <definedName name="________LP1">#REF!</definedName>
    <definedName name="________LP2">#REF!</definedName>
    <definedName name="________LPB1">[1]부하계산서!#REF!</definedName>
    <definedName name="________LPK1">[1]부하계산서!#REF!</definedName>
    <definedName name="________LU1">'[2]부하(성남)'!#REF!</definedName>
    <definedName name="________LU2">'[2]부하(성남)'!#REF!</definedName>
    <definedName name="________LV01">'[2]부하(성남)'!#REF!</definedName>
    <definedName name="________UP1">[1]부하계산서!#REF!</definedName>
    <definedName name="________UP2">[1]부하계산서!#REF!</definedName>
    <definedName name="_______LP1">#REF!</definedName>
    <definedName name="_______LP2">#REF!</definedName>
    <definedName name="_______LPB1">[1]부하계산서!#REF!</definedName>
    <definedName name="_______LPK1">[1]부하계산서!#REF!</definedName>
    <definedName name="_______LU1">'[2]부하(성남)'!#REF!</definedName>
    <definedName name="_______LU2">'[2]부하(성남)'!#REF!</definedName>
    <definedName name="_______LV01">'[2]부하(성남)'!#REF!</definedName>
    <definedName name="_______UP1">[1]부하계산서!#REF!</definedName>
    <definedName name="_______UP2">[1]부하계산서!#REF!</definedName>
    <definedName name="______A99999">[3]총괄!#REF!</definedName>
    <definedName name="______DOG1">#REF!</definedName>
    <definedName name="______DOG2">#REF!</definedName>
    <definedName name="______DOG3">#REF!</definedName>
    <definedName name="______DOG4">#REF!</definedName>
    <definedName name="______DP2">[4]FB25JN!$L$3:$M$3</definedName>
    <definedName name="______LP1">#REF!</definedName>
    <definedName name="______LP2">#REF!</definedName>
    <definedName name="______LPB1">[1]부하계산서!#REF!</definedName>
    <definedName name="______LPK1">[1]부하계산서!#REF!</definedName>
    <definedName name="______LU1">'[2]부하(성남)'!#REF!</definedName>
    <definedName name="______LU2">'[2]부하(성남)'!#REF!</definedName>
    <definedName name="______LV01">'[2]부하(성남)'!#REF!</definedName>
    <definedName name="______PI48">#REF!</definedName>
    <definedName name="______PI60">#REF!</definedName>
    <definedName name="______RO110">#REF!</definedName>
    <definedName name="______RO22">#REF!</definedName>
    <definedName name="______RO35">#REF!</definedName>
    <definedName name="______RO60">#REF!</definedName>
    <definedName name="______RO80">#REF!</definedName>
    <definedName name="______TON1">#REF!</definedName>
    <definedName name="______TON2">#REF!</definedName>
    <definedName name="______UP1">[1]부하계산서!#REF!</definedName>
    <definedName name="______UP2">[1]부하계산서!#REF!</definedName>
    <definedName name="______WW2">#REF!</definedName>
    <definedName name="______WW6">#REF!</definedName>
    <definedName name="_____A99999">[5]총괄!#REF!</definedName>
    <definedName name="_____C19579">#REF!</definedName>
    <definedName name="_____DOG1">#REF!</definedName>
    <definedName name="_____DOG2">#REF!</definedName>
    <definedName name="_____DOG3">#REF!</definedName>
    <definedName name="_____DOG4">#REF!</definedName>
    <definedName name="_____DP2">[6]FB25JN!$L$3:$M$3</definedName>
    <definedName name="_____LP1">#REF!</definedName>
    <definedName name="_____LP2">#REF!</definedName>
    <definedName name="_____LPB1">[1]부하계산서!#REF!</definedName>
    <definedName name="_____LPK1">[1]부하계산서!#REF!</definedName>
    <definedName name="_____LU1">'[2]부하(성남)'!#REF!</definedName>
    <definedName name="_____LU2">'[2]부하(성남)'!#REF!</definedName>
    <definedName name="_____LV01">'[2]부하(성남)'!#REF!</definedName>
    <definedName name="_____PI48">#REF!</definedName>
    <definedName name="_____PI60">#REF!</definedName>
    <definedName name="_____RO110">#REF!</definedName>
    <definedName name="_____RO22">#REF!</definedName>
    <definedName name="_____RO35">#REF!</definedName>
    <definedName name="_____RO60">#REF!</definedName>
    <definedName name="_____RO80">#REF!</definedName>
    <definedName name="_____TON1">#REF!</definedName>
    <definedName name="_____TON2">#REF!</definedName>
    <definedName name="_____UP1">[1]부하계산서!#REF!</definedName>
    <definedName name="_____UP2">[1]부하계산서!#REF!</definedName>
    <definedName name="_____WW2">#REF!</definedName>
    <definedName name="_____WW6">#REF!</definedName>
    <definedName name="____A99999">[5]총괄!#REF!</definedName>
    <definedName name="____C19579">#REF!</definedName>
    <definedName name="____DOG1">#REF!</definedName>
    <definedName name="____DOG2">#REF!</definedName>
    <definedName name="____DOG3">#REF!</definedName>
    <definedName name="____DOG4">#REF!</definedName>
    <definedName name="____DP2">[6]FB25JN!$L$3:$M$3</definedName>
    <definedName name="____LP1">#REF!</definedName>
    <definedName name="____LP2">#REF!</definedName>
    <definedName name="____LPB1">[1]부하계산서!#REF!</definedName>
    <definedName name="____LPK1">[1]부하계산서!#REF!</definedName>
    <definedName name="____LU1">'[2]부하(성남)'!#REF!</definedName>
    <definedName name="____LU2">'[2]부하(성남)'!#REF!</definedName>
    <definedName name="____LV01">'[2]부하(성남)'!#REF!</definedName>
    <definedName name="____PI48">#REF!</definedName>
    <definedName name="____PI60">#REF!</definedName>
    <definedName name="____RO110">#REF!</definedName>
    <definedName name="____RO22">#REF!</definedName>
    <definedName name="____RO35">#REF!</definedName>
    <definedName name="____RO60">#REF!</definedName>
    <definedName name="____RO80">#REF!</definedName>
    <definedName name="____TON1">#REF!</definedName>
    <definedName name="____TON2">#REF!</definedName>
    <definedName name="____UP1">[1]부하계산서!#REF!</definedName>
    <definedName name="____UP2">[1]부하계산서!#REF!</definedName>
    <definedName name="____WW2">#REF!</definedName>
    <definedName name="____WW6">#REF!</definedName>
    <definedName name="___A99999">[5]총괄!#REF!</definedName>
    <definedName name="___C19579">#REF!</definedName>
    <definedName name="___DOG1">#REF!</definedName>
    <definedName name="___DOG2">#REF!</definedName>
    <definedName name="___DOG3">#REF!</definedName>
    <definedName name="___DOG4">#REF!</definedName>
    <definedName name="___DP2">[6]FB25JN!$L$3:$M$3</definedName>
    <definedName name="___LP1">#REF!</definedName>
    <definedName name="___LP2">#REF!</definedName>
    <definedName name="___LPB1">[1]부하계산서!#REF!</definedName>
    <definedName name="___LPK1">[1]부하계산서!#REF!</definedName>
    <definedName name="___LU1">'[2]부하(성남)'!#REF!</definedName>
    <definedName name="___LU2">'[2]부하(성남)'!#REF!</definedName>
    <definedName name="___LV01">'[2]부하(성남)'!#REF!</definedName>
    <definedName name="___PI48">#REF!</definedName>
    <definedName name="___PI60">#REF!</definedName>
    <definedName name="___RO110">#REF!</definedName>
    <definedName name="___RO22">#REF!</definedName>
    <definedName name="___RO35">#REF!</definedName>
    <definedName name="___RO60">#REF!</definedName>
    <definedName name="___RO80">#REF!</definedName>
    <definedName name="___TON1">#REF!</definedName>
    <definedName name="___TON2">#REF!</definedName>
    <definedName name="___UP1">[1]부하계산서!#REF!</definedName>
    <definedName name="___UP2">[1]부하계산서!#REF!</definedName>
    <definedName name="___WW2">#REF!</definedName>
    <definedName name="___WW6">#REF!</definedName>
    <definedName name="__A99999">[5]총괄!#REF!</definedName>
    <definedName name="__C19579">#REF!</definedName>
    <definedName name="__CDT2">#REF!</definedName>
    <definedName name="__DOG1">#REF!</definedName>
    <definedName name="__DOG2">#REF!</definedName>
    <definedName name="__DOG3">#REF!</definedName>
    <definedName name="__DOG4">#REF!</definedName>
    <definedName name="__DP2">[6]FB25JN!$L$3:$M$3</definedName>
    <definedName name="__LP1">#REF!</definedName>
    <definedName name="__LP2">#REF!</definedName>
    <definedName name="__LPB1">[1]부하계산서!#REF!</definedName>
    <definedName name="__LPK1">[1]부하계산서!#REF!</definedName>
    <definedName name="__LU1">'[2]부하(성남)'!#REF!</definedName>
    <definedName name="__LU2">'[2]부하(성남)'!#REF!</definedName>
    <definedName name="__LV01">'[2]부하(성남)'!#REF!</definedName>
    <definedName name="__PI48">#REF!</definedName>
    <definedName name="__PI60">#REF!</definedName>
    <definedName name="__RO110">#REF!</definedName>
    <definedName name="__RO22">#REF!</definedName>
    <definedName name="__RO35">#REF!</definedName>
    <definedName name="__RO60">#REF!</definedName>
    <definedName name="__RO80">#REF!</definedName>
    <definedName name="__TON1">#REF!</definedName>
    <definedName name="__TON2">#REF!</definedName>
    <definedName name="__UP1">[1]부하계산서!#REF!</definedName>
    <definedName name="__UP2">[1]부하계산서!#REF!</definedName>
    <definedName name="__WW2">#REF!</definedName>
    <definedName name="__WW6">#REF!</definedName>
    <definedName name="_1._PANEL_BD.__LP___1">#REF!</definedName>
    <definedName name="_15A">#REF!</definedName>
    <definedName name="_A99999">[5]총괄!#REF!</definedName>
    <definedName name="_C19579">#REF!</definedName>
    <definedName name="_CDT2">#REF!</definedName>
    <definedName name="_DOG1">#REF!</definedName>
    <definedName name="_DOG2">#REF!</definedName>
    <definedName name="_DOG3">#REF!</definedName>
    <definedName name="_DOG4">#REF!</definedName>
    <definedName name="_DP2">[6]FB25JN!$L$3:$M$3</definedName>
    <definedName name="_dtc1">#REF!</definedName>
    <definedName name="_dth1">#REF!</definedName>
    <definedName name="_EAI1">#REF!</definedName>
    <definedName name="_Fill" hidden="1">#REF!</definedName>
    <definedName name="_hpp1">#REF!</definedName>
    <definedName name="_hpp2">#REF!</definedName>
    <definedName name="_Key1" hidden="1">#REF!</definedName>
    <definedName name="_Key2" hidden="1">#REF!</definedName>
    <definedName name="_LP1">#REF!</definedName>
    <definedName name="_LP2">#REF!</definedName>
    <definedName name="_LPB1">[1]부하계산서!#REF!</definedName>
    <definedName name="_LPK1">[1]부하계산서!#REF!</definedName>
    <definedName name="_LU1">'[2]부하(성남)'!#REF!</definedName>
    <definedName name="_LU2">'[2]부하(성남)'!#REF!</definedName>
    <definedName name="_LV01">'[2]부하(성남)'!#REF!</definedName>
    <definedName name="_NMB96">#REF!</definedName>
    <definedName name="_OA1">#REF!</definedName>
    <definedName name="_OA2">#REF!</definedName>
    <definedName name="_Order1" hidden="1">255</definedName>
    <definedName name="_Order2" hidden="1">255</definedName>
    <definedName name="_PI48">#REF!</definedName>
    <definedName name="_PI60">#REF!</definedName>
    <definedName name="_RA1">#REF!</definedName>
    <definedName name="_RA2">#REF!</definedName>
    <definedName name="_ra3">#REF!</definedName>
    <definedName name="_RO110">#REF!</definedName>
    <definedName name="_RO22">#REF!</definedName>
    <definedName name="_RO35">#REF!</definedName>
    <definedName name="_RO60">#REF!</definedName>
    <definedName name="_RO80">#REF!</definedName>
    <definedName name="_SA1">#REF!</definedName>
    <definedName name="_SA2">#REF!</definedName>
    <definedName name="_sa3">#REF!</definedName>
    <definedName name="_sf1">#REF!</definedName>
    <definedName name="_sf2">#REF!</definedName>
    <definedName name="_Sort" hidden="1">#REF!</definedName>
    <definedName name="_tc1">#REF!</definedName>
    <definedName name="_th1">#REF!</definedName>
    <definedName name="_TON1">#REF!</definedName>
    <definedName name="_TON2">#REF!</definedName>
    <definedName name="_UP1">[1]부하계산서!#REF!</definedName>
    <definedName name="_UP2">[1]부하계산서!#REF!</definedName>
    <definedName name="_WW2">#REF!</definedName>
    <definedName name="_WW6">#REF!</definedName>
    <definedName name="¤C315">#REF!</definedName>
    <definedName name="¤Ç315">#REF!</definedName>
    <definedName name="\0">[7]Sheet3!#REF!</definedName>
    <definedName name="\a">#REF!</definedName>
    <definedName name="\b">#REF!</definedName>
    <definedName name="\c">#REF!</definedName>
    <definedName name="\d">#REF!</definedName>
    <definedName name="\e">'[8]일위대가-1'!#REF!</definedName>
    <definedName name="\f">#N/A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'[8]일위대가-1'!#REF!</definedName>
    <definedName name="\n">#N/A</definedName>
    <definedName name="\o">#N/A</definedName>
    <definedName name="\P">[7]Sheet3!#REF!</definedName>
    <definedName name="\q">'[9]일위대가-2'!#REF!</definedName>
    <definedName name="\w">'[8]일위대가-1'!#REF!</definedName>
    <definedName name="\x">#REF!</definedName>
    <definedName name="\y">#REF!</definedName>
    <definedName name="\z">#REF!</definedName>
    <definedName name="a">#REF!</definedName>
    <definedName name="A_HH">'[10]IMPEADENCE MAP 취수장'!#REF!,'[10]IMPEADENCE MAP 취수장'!#REF!,'[10]IMPEADENCE MAP 취수장'!#REF!,'[10]IMPEADENCE MAP 취수장'!#REF!,'[10]IMPEADENCE MAP 취수장'!$Q$19,'[10]IMPEADENCE MAP 취수장'!$R$19,'[10]IMPEADENCE MAP 취수장'!$S$19,'[10]IMPEADENCE MAP 취수장'!$T$19:$X$19,'[10]IMPEADENCE MAP 취수장'!$Z$19:$AA$19,'[10]IMPEADENCE MAP 취수장'!$AC$19</definedName>
    <definedName name="AA">#REF!</definedName>
    <definedName name="AAA">#REF!,#REF!</definedName>
    <definedName name="AAAA">#REF!</definedName>
    <definedName name="AAD">#REF!,#REF!</definedName>
    <definedName name="AAW" localSheetId="6">'(검토2안) 공사기간'!SAF</definedName>
    <definedName name="AAW">[0]!SAF</definedName>
    <definedName name="ABC">#REF!,#REF!</definedName>
    <definedName name="acb">[11]FB25JN!$L$3:$M$3</definedName>
    <definedName name="ACC">[12]FB25JN!$L$3:$M$3</definedName>
    <definedName name="ACCESS">[12]FB25JN!$L$3:$M$3</definedName>
    <definedName name="ACCESS2">[12]FB25JN!$L$6:$M$6</definedName>
    <definedName name="accesse">[11]FB25JN!$L$3:$M$3</definedName>
    <definedName name="ADC">#REF!,#REF!</definedName>
    <definedName name="aer">#REF!,#REF!</definedName>
    <definedName name="aervbgr" localSheetId="6">'(검토2안) 공사기간'!EGERG</definedName>
    <definedName name="aervbgr">[0]!EGERG</definedName>
    <definedName name="AF">[6]DATA!$B$4:$C$15</definedName>
    <definedName name="AFC설비">[7]Sheet1!$A$528:$AB$626</definedName>
    <definedName name="AFS">[6]!Macro5</definedName>
    <definedName name="AHN">#REF!,#REF!</definedName>
    <definedName name="AJSL" localSheetId="6">'(검토2안) 공사기간'!ㅗㅠㅎㄹ</definedName>
    <definedName name="AJSL">[0]!ㅗㅠㅎㄹ</definedName>
    <definedName name="ARE" localSheetId="6">'(검토2안) 공사기간'!ARE</definedName>
    <definedName name="ARE">[0]!ARE</definedName>
    <definedName name="asaasa">#REF!</definedName>
    <definedName name="asd" localSheetId="6">'(검토2안) 공사기간'!REEG</definedName>
    <definedName name="asd">[0]!REEG</definedName>
    <definedName name="ASDFASF">[13]FB25JN!$L$3:$M$3</definedName>
    <definedName name="asdfasfasdfasdf">[11]FB25JN!$L$6:$M$6</definedName>
    <definedName name="ASS" localSheetId="6">'(검토2안) 공사기간'!TRR</definedName>
    <definedName name="ASS">[0]!TRR</definedName>
    <definedName name="asss" localSheetId="6">'(검토2안) 공사기간'!jhg</definedName>
    <definedName name="asss">[0]!jhg</definedName>
    <definedName name="asw" localSheetId="6">'(검토2안) 공사기간'!juyjuy</definedName>
    <definedName name="asw">[0]!juyjuy</definedName>
    <definedName name="asx" localSheetId="6">'(검토2안) 공사기간'!ㄹ퓰</definedName>
    <definedName name="asx">[0]!ㄹ퓰</definedName>
    <definedName name="AT">[6]DATA!$E$4:$F$29</definedName>
    <definedName name="AVGHBD" localSheetId="6">'(검토2안) 공사기간'!AVGHBD</definedName>
    <definedName name="AVGHBD">[0]!AVGHBD</definedName>
    <definedName name="AWA">#REF!,#REF!</definedName>
    <definedName name="AWD">#REF!,#REF!</definedName>
    <definedName name="awe" localSheetId="6">'(검토2안) 공사기간'!ret</definedName>
    <definedName name="awe">[0]!ret</definedName>
    <definedName name="AZX">#REF!,#REF!</definedName>
    <definedName name="AZZ">#REF!,#REF!</definedName>
    <definedName name="B">#REF!</definedName>
    <definedName name="BBB">#REF!,#REF!</definedName>
    <definedName name="BBC" localSheetId="6">'(검토2안) 공사기간'!SSR</definedName>
    <definedName name="BBC">[0]!SSR</definedName>
    <definedName name="BBJ" localSheetId="6">'(검토2안) 공사기간'!BBJ</definedName>
    <definedName name="BBJ">[0]!BBJ</definedName>
    <definedName name="bhg" localSheetId="6">'(검토2안) 공사기간'!ytjuy</definedName>
    <definedName name="bhg">[0]!ytjuy</definedName>
    <definedName name="BHJ" localSheetId="6">'(검토2안) 공사기간'!SAF</definedName>
    <definedName name="BHJ">[0]!SAF</definedName>
    <definedName name="BHK">#REF!,#REF!</definedName>
    <definedName name="BKI" localSheetId="6">'(검토2안) 공사기간'!홁ㅎ</definedName>
    <definedName name="BKI">[0]!홁ㅎ</definedName>
    <definedName name="BNH" localSheetId="6">'(검토2안) 공사기간'!BNH</definedName>
    <definedName name="BNH">[0]!BNH</definedName>
    <definedName name="BNM" localSheetId="6">'(검토2안) 공사기간'!ㅈㅂㄷㄹ</definedName>
    <definedName name="BNM">[0]!ㅈㅂㄷㄹ</definedName>
    <definedName name="bnv" localSheetId="6">'(검토2안) 공사기간'!ghgfh</definedName>
    <definedName name="bnv">[0]!ghgfh</definedName>
    <definedName name="BOB" localSheetId="6">'(검토2안) 공사기간'!WWF</definedName>
    <definedName name="BOB">[0]!WWF</definedName>
    <definedName name="BOX">#REF!</definedName>
    <definedName name="BOX암거">#REF!</definedName>
    <definedName name="BRG">[6]!Macro7</definedName>
    <definedName name="BVF" localSheetId="6">'(검토2안) 공사기간'!ㅇㄴㄿ</definedName>
    <definedName name="BVF">[0]!ㅇㄴㄿ</definedName>
    <definedName name="bvvc" localSheetId="6">'(검토2안) 공사기간'!bvvc</definedName>
    <definedName name="bvvc">[0]!bvvc</definedName>
    <definedName name="cable">#REF!</definedName>
    <definedName name="cait">#REF!</definedName>
    <definedName name="caot">#REF!</definedName>
    <definedName name="CBVCB" localSheetId="6">'(검토2안) 공사기간'!CBVCB</definedName>
    <definedName name="CBVCB">[0]!CBVCB</definedName>
    <definedName name="CCC">#REF!</definedName>
    <definedName name="ccdc">#REF!</definedName>
    <definedName name="CCF" localSheetId="6">'(검토2안) 공사기간'!CCF</definedName>
    <definedName name="CCF">[0]!CCF</definedName>
    <definedName name="CCTV및장애자편의설비">[7]Sheet3!$A$395:$IV$508</definedName>
    <definedName name="CCTV설비">[7]Sheet1!$A$324:$AB$468</definedName>
    <definedName name="CDD" localSheetId="6">'(검토2안) 공사기간'!CDD</definedName>
    <definedName name="CDD">[0]!CDD</definedName>
    <definedName name="CDE">#REF!,#REF!</definedName>
    <definedName name="cfg" localSheetId="6">'(검토2안) 공사기간'!bvvc</definedName>
    <definedName name="cfg">[0]!bvvc</definedName>
    <definedName name="CFR">[6]!Macro14</definedName>
    <definedName name="clpm">#REF!</definedName>
    <definedName name="co">#REF!</definedName>
    <definedName name="COC" localSheetId="6">'(검토2안) 공사기간'!ㅠㅜㅎ</definedName>
    <definedName name="COC">[0]!ㅠㅜㅎ</definedName>
    <definedName name="CODE">#REF!</definedName>
    <definedName name="CONDUIT">#REF!</definedName>
    <definedName name="cp">#REF!</definedName>
    <definedName name="crow">#REF!</definedName>
    <definedName name="CV">#REF!,#REF!</definedName>
    <definedName name="CVB">#REF!,#REF!</definedName>
    <definedName name="cvd" localSheetId="6">'(검토2안) 공사기간'!홁ㅎ</definedName>
    <definedName name="cvd">[0]!홁ㅎ</definedName>
    <definedName name="CVDSD" localSheetId="6">'(검토2안) 공사기간'!CVDSD</definedName>
    <definedName name="CVDSD">[0]!CVDSD</definedName>
    <definedName name="CVG">#REF!,#REF!</definedName>
    <definedName name="CVV" localSheetId="6">'(검토2안) 공사기간'!CVV</definedName>
    <definedName name="CVV">[0]!CVV</definedName>
    <definedName name="cvx" localSheetId="6">'(검토2안) 공사기간'!ㅗㅠㅎㄹ</definedName>
    <definedName name="cvx">[0]!ㅗㅠㅎㄹ</definedName>
    <definedName name="CZSVX" localSheetId="6">'(검토2안) 공사기간'!REEG</definedName>
    <definedName name="CZSVX">[0]!REEG</definedName>
    <definedName name="d">[14]일위대가서식!#REF!</definedName>
    <definedName name="danba">#REF!,#REF!</definedName>
    <definedName name="DANGA">'[15]Y-WORK'!$D$19:$D$19,'[15]Y-WORK'!$F$19:$BD$19</definedName>
    <definedName name="DATA">#REF!</definedName>
    <definedName name="datab">'[16]1.우편집중내역서'!$A$3:$D$566</definedName>
    <definedName name="_xlnm.Database">#REF!</definedName>
    <definedName name="dcc" localSheetId="6">'(검토2안) 공사기간'!dcc</definedName>
    <definedName name="dcc">[0]!dcc</definedName>
    <definedName name="DD">#REF!</definedName>
    <definedName name="DDC" localSheetId="6">'(검토2안) 공사기간'!DDC</definedName>
    <definedName name="DDC">[0]!DDC</definedName>
    <definedName name="DDD" hidden="1">#REF!</definedName>
    <definedName name="DDDD">#REF!</definedName>
    <definedName name="DDE" localSheetId="6">'(검토2안) 공사기간'!DDC</definedName>
    <definedName name="DDE">[0]!DDC</definedName>
    <definedName name="ddf" localSheetId="6">'(검토2안) 공사기간'!xcf</definedName>
    <definedName name="ddf">[0]!xcf</definedName>
    <definedName name="DDR">[17]!Macro8</definedName>
    <definedName name="DDS" localSheetId="6">'(검토2안) 공사기간'!ㅠㅜㅎ</definedName>
    <definedName name="DDS">[0]!ㅠㅜㅎ</definedName>
    <definedName name="DFG">#REF!,#REF!,#REF!</definedName>
    <definedName name="DFGG">#REF!,#REF!</definedName>
    <definedName name="DFHB">[6]!Macro9</definedName>
    <definedName name="DFR">#REF!,#REF!</definedName>
    <definedName name="DFRGS">#N/A</definedName>
    <definedName name="DFSAFG" localSheetId="6">'(검토2안) 공사기간'!DFSAFG</definedName>
    <definedName name="DFSAFG">[0]!DFSAFG</definedName>
    <definedName name="DFVGD" localSheetId="6">[0]!MMM</definedName>
    <definedName name="DFVGD">[0]!MMM</definedName>
    <definedName name="dgh" localSheetId="6">'(검토2안) 공사기간'!dgh</definedName>
    <definedName name="dgh">[0]!dgh</definedName>
    <definedName name="DGRT" localSheetId="6">'(검토2안) 공사기간'!DGRT</definedName>
    <definedName name="DGRT">[0]!DGRT</definedName>
    <definedName name="DGV" localSheetId="6">'(검토2안) 공사기간'!vnb</definedName>
    <definedName name="DGV">[0]!vnb</definedName>
    <definedName name="DGVAFD" localSheetId="6">'(검토2안) 공사기간'!REGSVTEB</definedName>
    <definedName name="DGVAFD">[0]!REGSVTEB</definedName>
    <definedName name="DIA">#REF!</definedName>
    <definedName name="DJAJSL">#REF!,#REF!</definedName>
    <definedName name="DJKC">#REF!,#REF!</definedName>
    <definedName name="DJKNHVF" localSheetId="6">'(검토2안) 공사기간'!MATRO</definedName>
    <definedName name="DJKNHVF">[0]!MATRO</definedName>
    <definedName name="DKARJ">#REF!</definedName>
    <definedName name="dkfjkjfkjl">[4]FB25JN!$L$3:$M$3</definedName>
    <definedName name="DMZ">#REF!,#REF!</definedName>
    <definedName name="DNH" localSheetId="6">'(검토2안) 공사기간'!EGERG</definedName>
    <definedName name="DNH">[0]!EGERG</definedName>
    <definedName name="DORO">#REF!,#REF!</definedName>
    <definedName name="DRDRSSF" localSheetId="6">'(검토2안) 공사기간'!NBBV</definedName>
    <definedName name="DRDRSSF">[0]!NBBV</definedName>
    <definedName name="DRIVE">#REF!</definedName>
    <definedName name="drt">[6]!Macro14</definedName>
    <definedName name="DSAF">#N/A</definedName>
    <definedName name="DSC" localSheetId="6">'(검토2안) 공사기간'!NND</definedName>
    <definedName name="DSC">[0]!NND</definedName>
    <definedName name="DSD">#N/A</definedName>
    <definedName name="DSFC" localSheetId="6">'(검토2안) 공사기간'!NNF</definedName>
    <definedName name="DSFC">[0]!NNF</definedName>
    <definedName name="DSFD" localSheetId="6">'(검토2안) 공사기간'!SSX</definedName>
    <definedName name="DSFD">[0]!SSX</definedName>
    <definedName name="DSS" localSheetId="6">'(검토2안) 공사기간'!MATRO</definedName>
    <definedName name="DSS">[0]!MATRO</definedName>
    <definedName name="dsv" localSheetId="6">'(검토2안) 공사기간'!jyt</definedName>
    <definedName name="dsv">[0]!jyt</definedName>
    <definedName name="duct">#REF!</definedName>
    <definedName name="DVGDFS" localSheetId="6">'(검토2안) 공사기간'!FFC</definedName>
    <definedName name="DVGDFS">[0]!FFC</definedName>
    <definedName name="DVZZ" localSheetId="6">'(검토2안) 공사기간'!DFSAFG</definedName>
    <definedName name="DVZZ">[0]!DFSAFG</definedName>
    <definedName name="DZGD" localSheetId="6">'(검토2안) 공사기간'!NHGF</definedName>
    <definedName name="DZGD">[0]!NHGF</definedName>
    <definedName name="e">#REF!</definedName>
    <definedName name="EA">#REF!</definedName>
    <definedName name="EAI">#REF!</definedName>
    <definedName name="EDC">#REF!,#REF!</definedName>
    <definedName name="EDD">#N/A</definedName>
    <definedName name="EDE" localSheetId="6">'(검토2안) 공사기간'!SAF</definedName>
    <definedName name="EDE">[0]!SAF</definedName>
    <definedName name="EED" localSheetId="6">'(검토2안) 공사기간'!EED</definedName>
    <definedName name="EED">[0]!EED</definedName>
    <definedName name="EEDD" localSheetId="6">'(검토2안) 공사기간'!EEDD</definedName>
    <definedName name="EEDD">[0]!EEDD</definedName>
    <definedName name="EEE" localSheetId="6">'(검토2안) 공사기간'!HGG</definedName>
    <definedName name="EEE">[0]!HGG</definedName>
    <definedName name="EGERG" localSheetId="6">'(검토2안) 공사기간'!EGERG</definedName>
    <definedName name="EGERG">'(검토2안) 공사기간'!EGERG</definedName>
    <definedName name="EGG" localSheetId="6">'(검토2안) 공사기간'!vnb</definedName>
    <definedName name="EGG">[0]!vnb</definedName>
    <definedName name="egt" localSheetId="6">'(검토2안) 공사기간'!reyt</definedName>
    <definedName name="egt">[0]!reyt</definedName>
    <definedName name="ehyt" localSheetId="6">'(검토2안) 공사기간'!jhg</definedName>
    <definedName name="ehyt">[0]!jhg</definedName>
    <definedName name="ejqmfdb">#REF!</definedName>
    <definedName name="ELP">#REF!</definedName>
    <definedName name="ERD">[6]!Macro2</definedName>
    <definedName name="ERER">#REF!</definedName>
    <definedName name="ERGFD" localSheetId="6">'(검토2안) 공사기간'!uiy</definedName>
    <definedName name="ERGFD">[0]!uiy</definedName>
    <definedName name="ERGR" localSheetId="6">'(검토2안) 공사기간'!ERGR</definedName>
    <definedName name="ERGR">[0]!ERGR</definedName>
    <definedName name="ERR" localSheetId="6">'(검토2안) 공사기간'!ㅈㅂㄷㄹ</definedName>
    <definedName name="ERR">[0]!ㅈㅂㄷㄹ</definedName>
    <definedName name="ert">[6]!Macro5</definedName>
    <definedName name="etr" localSheetId="6">'(검토2안) 공사기간'!reyt</definedName>
    <definedName name="etr">[0]!reyt</definedName>
    <definedName name="EWDWQD" localSheetId="6">'(검토2안) 공사기간'!NNG</definedName>
    <definedName name="EWDWQD">[0]!NNG</definedName>
    <definedName name="EWF">#REF!,#REF!</definedName>
    <definedName name="EWFDSVF" localSheetId="6">'(검토2안) 공사기간'!EWFDSVF</definedName>
    <definedName name="EWFDSVF">[0]!EWFDSVF</definedName>
    <definedName name="EWR" localSheetId="6">'(검토2안) 공사기간'!GDF</definedName>
    <definedName name="EWR">[0]!GDF</definedName>
    <definedName name="EWRDWQ" localSheetId="6">'(검토2안) 공사기간'!EWRDWQ</definedName>
    <definedName name="EWRDWQ">[0]!EWRDWQ</definedName>
    <definedName name="F">#REF!</definedName>
    <definedName name="FACTOR">[18]개요!#REF!</definedName>
    <definedName name="FDBGDF">#N/A</definedName>
    <definedName name="FDFDS">#REF!,#REF!</definedName>
    <definedName name="fdfs" localSheetId="6">'(검토2안) 공사기간'!ㅗㅠㅎㄹ</definedName>
    <definedName name="fdfs">[0]!ㅗㅠㅎㄹ</definedName>
    <definedName name="FDGFD" localSheetId="6">'(검토2안) 공사기간'!FDGFD</definedName>
    <definedName name="FDGFD">[0]!FDGFD</definedName>
    <definedName name="FDS" localSheetId="6">'(검토2안) 공사기간'!FDS</definedName>
    <definedName name="FDS">[0]!FDS</definedName>
    <definedName name="FDSV" localSheetId="6">'(검토2안) 공사기간'!FFC</definedName>
    <definedName name="FDSV">[0]!FFC</definedName>
    <definedName name="FDV" localSheetId="6">'(검토2안) 공사기간'!NBBV</definedName>
    <definedName name="FDV">[0]!NBBV</definedName>
    <definedName name="FDVG" localSheetId="6">'(검토2안) 공사기간'!ㄹ퓰</definedName>
    <definedName name="FDVG">[0]!ㄹ퓰</definedName>
    <definedName name="fese" localSheetId="6">'(검토2안) 공사기간'!jytr</definedName>
    <definedName name="fese">[0]!jytr</definedName>
    <definedName name="FFC" localSheetId="6">'(검토2안) 공사기간'!FFC</definedName>
    <definedName name="FFC">'(검토2안) 공사기간'!FFC</definedName>
    <definedName name="FFDGGFD">#REF!</definedName>
    <definedName name="FFF" localSheetId="6">'(검토2안) 공사기간'!FFF</definedName>
    <definedName name="FFF">[0]!FFF</definedName>
    <definedName name="FFFF">#REF!</definedName>
    <definedName name="FFFFF">#REF!</definedName>
    <definedName name="ffg" localSheetId="6">'(검토2안) 공사기간'!dgh</definedName>
    <definedName name="ffg">[0]!dgh</definedName>
    <definedName name="ffh" localSheetId="6">'(검토2안) 공사기간'!uiy</definedName>
    <definedName name="ffh">[0]!uiy</definedName>
    <definedName name="FFVG" localSheetId="6">'(검토2안) 공사기간'!FFVG</definedName>
    <definedName name="FFVG">[0]!FFVG</definedName>
    <definedName name="fgcfgg" localSheetId="6">'(검토2안) 공사기간'!ghgfh</definedName>
    <definedName name="fgcfgg">[0]!ghgfh</definedName>
    <definedName name="FGF" localSheetId="6">'(검토2안) 공사기간'!FGF</definedName>
    <definedName name="FGF">[0]!FGF</definedName>
    <definedName name="FGH">#REF!,#REF!</definedName>
    <definedName name="FGR" localSheetId="6">'(검토2안) 공사기간'!ㅠㅜㅎ</definedName>
    <definedName name="FGR">[0]!ㅠㅜㅎ</definedName>
    <definedName name="FGV" localSheetId="6">'(검토2안) 공사기간'!NNF</definedName>
    <definedName name="FGV">[0]!NNF</definedName>
    <definedName name="FIRE">[19]!Macro10</definedName>
    <definedName name="FIX">#REF!</definedName>
    <definedName name="FIXT">[20]데이타!$U$23:$V$50</definedName>
    <definedName name="FREE" localSheetId="6">'(검토2안) 공사기간'!NNC</definedName>
    <definedName name="FREE">[0]!NNC</definedName>
    <definedName name="frt" localSheetId="6">'(검토2안) 공사기간'!frt</definedName>
    <definedName name="frt">[0]!frt</definedName>
    <definedName name="FSDF">#REF!,#REF!</definedName>
    <definedName name="FSVGF" localSheetId="6">'(검토2안) 공사기간'!MATRO</definedName>
    <definedName name="FSVGF">[0]!MATRO</definedName>
    <definedName name="ftw">[6]!Macro6</definedName>
    <definedName name="FV" localSheetId="6">'(검토2안) 공사기간'!NNF</definedName>
    <definedName name="FV">[0]!NNF</definedName>
    <definedName name="FVD" localSheetId="6">'(검토2안) 공사기간'!SDVF</definedName>
    <definedName name="FVD">[0]!SDVF</definedName>
    <definedName name="fvn" localSheetId="6">'(검토2안) 공사기간'!xcf</definedName>
    <definedName name="fvn">[0]!xcf</definedName>
    <definedName name="FYT" localSheetId="6">'(검토2안) 공사기간'!ㄹ퓰</definedName>
    <definedName name="FYT">[0]!ㄹ퓰</definedName>
    <definedName name="GBFHG" localSheetId="6">'(검토2안) 공사기간'!GVHBG</definedName>
    <definedName name="GBFHG">[0]!GVHBG</definedName>
    <definedName name="GDF" localSheetId="6">'(검토2안) 공사기간'!GDF</definedName>
    <definedName name="GDF">'(검토2안) 공사기간'!GDF</definedName>
    <definedName name="GER" localSheetId="6">'(검토2안) 공사기간'!TGGG</definedName>
    <definedName name="GER">[0]!TGGG</definedName>
    <definedName name="GFD">#REF!</definedName>
    <definedName name="gfg" localSheetId="6">'(검토2안) 공사기간'!uiy</definedName>
    <definedName name="gfg">[0]!uiy</definedName>
    <definedName name="GFH" localSheetId="6">'(검토2안) 공사기간'!FFF</definedName>
    <definedName name="GFH">[0]!FFF</definedName>
    <definedName name="GGG" localSheetId="6">'(검토2안) 공사기간'!DGRT</definedName>
    <definedName name="GGG">[0]!DGRT</definedName>
    <definedName name="GGGG">#REF!</definedName>
    <definedName name="ggh" localSheetId="6">'(검토2안) 공사기간'!jhg</definedName>
    <definedName name="ggh">[0]!jhg</definedName>
    <definedName name="GHG" localSheetId="6">'(검토2안) 공사기간'!GHG</definedName>
    <definedName name="GHG">[0]!GHG</definedName>
    <definedName name="ghgfh" localSheetId="6">'(검토2안) 공사기간'!ghgfh</definedName>
    <definedName name="ghgfh">'(검토2안) 공사기간'!ghgfh</definedName>
    <definedName name="GHH">#N/A</definedName>
    <definedName name="gjckddud">#REF!,#REF!</definedName>
    <definedName name="GKDURK">#REF!,#REF!,#REF!</definedName>
    <definedName name="GREE" localSheetId="6">'(검토2안) 공사기간'!vnb</definedName>
    <definedName name="GREE">[0]!vnb</definedName>
    <definedName name="gu">#REF!,#REF!</definedName>
    <definedName name="GVH">#REF!,#REF!</definedName>
    <definedName name="GVHBG" localSheetId="6">'(검토2안) 공사기간'!GVHBG</definedName>
    <definedName name="GVHBG">'(검토2안) 공사기간'!GVHBG</definedName>
    <definedName name="gvv" localSheetId="6">'(검토2안) 공사기간'!ㅁㄴㄹㅇㄹ</definedName>
    <definedName name="gvv">[0]!ㅁㄴㄹㅇㄹ</definedName>
    <definedName name="GYTR" localSheetId="6">'(검토2안) 공사기간'!GYTR</definedName>
    <definedName name="GYTR">[0]!GYTR</definedName>
    <definedName name="hait">#REF!</definedName>
    <definedName name="HANIWALL_FB">#REF!</definedName>
    <definedName name="HANIWALL_GC">#REF!</definedName>
    <definedName name="haot">#REF!</definedName>
    <definedName name="HBHG" localSheetId="6">'(검토2안) 공사기간'!HBHG</definedName>
    <definedName name="HBHG">[0]!HBHG</definedName>
    <definedName name="HCY" localSheetId="6">'(검토2안) 공사기간'!CDD</definedName>
    <definedName name="HCY">[0]!CDD</definedName>
    <definedName name="HGG" localSheetId="6">'(검토2안) 공사기간'!HGG</definedName>
    <definedName name="HGG">'(검토2안) 공사기간'!HGG</definedName>
    <definedName name="HHG" localSheetId="6">'(검토2안) 공사기간'!NNC</definedName>
    <definedName name="HHG">[0]!NNC</definedName>
    <definedName name="HHH">#REF!</definedName>
    <definedName name="HHK" localSheetId="6">'(검토2안) 공사기간'!HHK</definedName>
    <definedName name="HHK">[0]!HHK</definedName>
    <definedName name="hidden">[21]TABLE!$H$1,[21]TABLE!$J$1,[21]TABLE!$K$1</definedName>
    <definedName name="hjk" localSheetId="6">'(검토2안) 공사기간'!hjk</definedName>
    <definedName name="hjk">[0]!hjk</definedName>
    <definedName name="HJU">#REF!,#REF!</definedName>
    <definedName name="hlpm">#REF!</definedName>
    <definedName name="HTD" localSheetId="6">'(검토2안) 공사기간'!HTD</definedName>
    <definedName name="HTD">[0]!HTD</definedName>
    <definedName name="hyh" localSheetId="6">'(검토2안) 공사기간'!ytjuy</definedName>
    <definedName name="hyh">[0]!ytjuy</definedName>
    <definedName name="H철10">#REF!</definedName>
    <definedName name="IB">#REF!</definedName>
    <definedName name="IB_2">'[10]IMPEADENCE MAP 취수장'!#REF!</definedName>
    <definedName name="ID">'[15]Y-WORK'!$I$268:$I$417,'[15]Y-WORK'!$I$427:$I$450</definedName>
    <definedName name="iik" localSheetId="6">'(검토2안) 공사기간'!ghgfh</definedName>
    <definedName name="iik">[0]!ghgfh</definedName>
    <definedName name="IL">#REF!</definedName>
    <definedName name="IOP">#REF!,#REF!</definedName>
    <definedName name="IOU">#REF!,#REF!</definedName>
    <definedName name="ITEM">[22]ITEM!#REF!</definedName>
    <definedName name="jhg" localSheetId="6">'(검토2안) 공사기간'!jhg</definedName>
    <definedName name="jhg">'(검토2안) 공사기간'!jhg</definedName>
    <definedName name="JJJ">#REF!,#REF!</definedName>
    <definedName name="JJM" localSheetId="6">'(검토2안) 공사기간'!호서</definedName>
    <definedName name="JJM">[0]!호서</definedName>
    <definedName name="JKL">#REF!,#REF!</definedName>
    <definedName name="JNH">#REF!,#REF!</definedName>
    <definedName name="JNJ">[6]!Macro6</definedName>
    <definedName name="JPG" localSheetId="6">'(검토2안) 공사기간'!JPG</definedName>
    <definedName name="JPG">[0]!JPG</definedName>
    <definedName name="JTNHMK">[6]!Macro8</definedName>
    <definedName name="JUU" localSheetId="6">'(검토2안) 공사기간'!FGF</definedName>
    <definedName name="JUU">[0]!FGF</definedName>
    <definedName name="JUYGDF" localSheetId="6">'(검토2안) 공사기간'!SSX</definedName>
    <definedName name="JUYGDF">[0]!SSX</definedName>
    <definedName name="juyjuy" localSheetId="6">'(검토2안) 공사기간'!juyjuy</definedName>
    <definedName name="juyjuy">'(검토2안) 공사기간'!juyjuy</definedName>
    <definedName name="jyt" localSheetId="6">'(검토2안) 공사기간'!jyt</definedName>
    <definedName name="jyt">'(검토2안) 공사기간'!jyt</definedName>
    <definedName name="jytr" localSheetId="6">'(검토2안) 공사기간'!jytr</definedName>
    <definedName name="jytr">'(검토2안) 공사기간'!jytr</definedName>
    <definedName name="jyu" localSheetId="6">'(검토2안) 공사기간'!jhg</definedName>
    <definedName name="jyu">[0]!jhg</definedName>
    <definedName name="jyuj" localSheetId="6">'(검토2안) 공사기간'!yth</definedName>
    <definedName name="jyuj">[0]!yth</definedName>
    <definedName name="KA">'[23]조도계산서 (도서)'!$B$61:$E$68</definedName>
    <definedName name="KBS">#REF!,#REF!</definedName>
    <definedName name="kepco">[24]내역!#REF!</definedName>
    <definedName name="KGB" localSheetId="6">'(검토2안) 공사기간'!uiy</definedName>
    <definedName name="KGB">[0]!uiy</definedName>
    <definedName name="kiuk" localSheetId="6">'(검토2안) 공사기간'!jhg</definedName>
    <definedName name="kiuk">[0]!jhg</definedName>
    <definedName name="KJH" localSheetId="6">'(검토2안) 공사기간'!KJH</definedName>
    <definedName name="KJH">[0]!KJH</definedName>
    <definedName name="kjuj" localSheetId="6">'(검토2안) 공사기간'!tyj</definedName>
    <definedName name="kjuj">[0]!tyj</definedName>
    <definedName name="KK">#REF!</definedName>
    <definedName name="KKB" localSheetId="6">'(검토2안) 공사기간'!SSR</definedName>
    <definedName name="KKB">[0]!SSR</definedName>
    <definedName name="KKK">[17]!Macro8</definedName>
    <definedName name="kkl" localSheetId="6">'(검토2안) 공사기간'!tyj</definedName>
    <definedName name="kkl">[0]!tyj</definedName>
    <definedName name="KLB">#REF!,#REF!</definedName>
    <definedName name="KMN">#REF!,#REF!</definedName>
    <definedName name="LL">#REF!,#REF!,#REF!</definedName>
    <definedName name="LLL">#REF!,#REF!</definedName>
    <definedName name="LLM" localSheetId="6">'(검토2안) 공사기간'!CCF</definedName>
    <definedName name="LLM">[0]!CCF</definedName>
    <definedName name="LOP">[25]LOPCALC!$A$4:$J$8</definedName>
    <definedName name="LP1A">'[2]부하(성남)'!#REF!</definedName>
    <definedName name="LP1B">[1]부하계산서!#REF!</definedName>
    <definedName name="LP3A">'[2]부하(성남)'!#REF!</definedName>
    <definedName name="LPB">'[2]부하(성남)'!#REF!</definedName>
    <definedName name="LPBA">[1]부하계산서!#REF!</definedName>
    <definedName name="LPKA">[1]부하계산서!#REF!</definedName>
    <definedName name="LPKB">[1]부하계산서!#REF!</definedName>
    <definedName name="LPM">[1]부하계산서!#REF!</definedName>
    <definedName name="LPMA">[1]부하계산서!#REF!</definedName>
    <definedName name="LPO">[1]부하계산서!#REF!</definedName>
    <definedName name="LPOA">[1]부하계산서!#REF!</definedName>
    <definedName name="LV02A">[1]부하계산서!#REF!</definedName>
    <definedName name="LV02B">[1]부하계산서!#REF!</definedName>
    <definedName name="LV04A">[1]부하계산서!#REF!</definedName>
    <definedName name="LV04B">[1]부하계산서!#REF!</definedName>
    <definedName name="m" hidden="1">#REF!</definedName>
    <definedName name="M_TR">#REF!</definedName>
    <definedName name="Macro1">[26]!Macro1</definedName>
    <definedName name="Macro10">[17]!Macro10</definedName>
    <definedName name="Macro11">[26]!Macro11</definedName>
    <definedName name="Macro12">[17]!Macro12</definedName>
    <definedName name="Macro13">[17]!Macro13</definedName>
    <definedName name="Macro14">[17]!Macro14</definedName>
    <definedName name="Macro2" localSheetId="6">'(검토2안) 공사기간'!Macro2</definedName>
    <definedName name="Macro2">[0]!Macro2</definedName>
    <definedName name="Macro3">#REF!</definedName>
    <definedName name="Macro4" localSheetId="6">'(검토2안) 공사기간'!Macro4</definedName>
    <definedName name="Macro4">[0]!Macro4</definedName>
    <definedName name="Macro5" localSheetId="6">'(검토2안) 공사기간'!Macro5</definedName>
    <definedName name="Macro5">[0]!Macro5</definedName>
    <definedName name="Macro6">[17]!Macro6</definedName>
    <definedName name="Macro7">[17]!Macro7</definedName>
    <definedName name="Macro8">[17]!Macro8</definedName>
    <definedName name="Macro9">[17]!Macro9</definedName>
    <definedName name="MATRO" localSheetId="6">'(검토2안) 공사기간'!MATRO</definedName>
    <definedName name="MATRO">'(검토2안) 공사기간'!MATRO</definedName>
    <definedName name="MCCEA">[1]부하계산서!#REF!</definedName>
    <definedName name="MCCEB">[1]부하계산서!#REF!</definedName>
    <definedName name="MCCF">[1]부하계산서!#REF!</definedName>
    <definedName name="MCCN">'[2]부하(성남)'!#REF!</definedName>
    <definedName name="MCCP">[1]부하계산서!#REF!</definedName>
    <definedName name="MCCS">[1]부하계산서!#REF!</definedName>
    <definedName name="MHHG" localSheetId="6">'(검토2안) 공사기간'!MHHG</definedName>
    <definedName name="MHHG">[0]!MHHG</definedName>
    <definedName name="MM">#REF!,#REF!</definedName>
    <definedName name="mmaq1">#REF!</definedName>
    <definedName name="mmaq2">#REF!</definedName>
    <definedName name="MMH" localSheetId="6">'(검토2안) 공사기간'!DDC</definedName>
    <definedName name="MMH">[0]!DDC</definedName>
    <definedName name="MMJN" localSheetId="6">'(검토2안) 공사기간'!ㅗㅠㅎㄹ</definedName>
    <definedName name="MMJN">[0]!ㅗㅠㅎㄹ</definedName>
    <definedName name="MMK" localSheetId="6">'(검토2안) 공사기간'!MMK</definedName>
    <definedName name="MMK">[0]!MMK</definedName>
    <definedName name="mml" localSheetId="6">'(검토2안) 공사기간'!jhg</definedName>
    <definedName name="mml">[0]!jhg</definedName>
    <definedName name="MMM">#REF!,#REF!</definedName>
    <definedName name="MMN" localSheetId="6">'(검토2안) 공사기간'!ㅈㅂㄷㄹ</definedName>
    <definedName name="MMN">[0]!ㅈㅂㄷㄹ</definedName>
    <definedName name="MMX" localSheetId="6">'(검토2안) 공사기간'!MMK</definedName>
    <definedName name="MMX">[0]!MMK</definedName>
    <definedName name="MNH" localSheetId="6">'(검토2안) 공사기간'!HGG</definedName>
    <definedName name="MNH">[0]!HGG</definedName>
    <definedName name="MNHL">[26]Sheet1!$A$4:$H$5</definedName>
    <definedName name="Module1.매크로4">[27]!Module1.매크로4</definedName>
    <definedName name="Module1.매크로5">[27]!Module1.매크로5</definedName>
    <definedName name="Module1.매크로6">[27]!Module1.매크로6</definedName>
    <definedName name="Module1.매크로7">[27]!Module1.매크로7</definedName>
    <definedName name="MOM" localSheetId="6">'(검토2안) 공사기간'!ㅈㅂㄷ</definedName>
    <definedName name="MOM">[0]!ㅈㅂㄷ</definedName>
    <definedName name="MONEY">'[15]Y-WORK'!$F$21:$M$417,'[15]Y-WORK'!$F$427:$M$450</definedName>
    <definedName name="MOTOR__농형_전폐">#REF!</definedName>
    <definedName name="msec">#REF!</definedName>
    <definedName name="NAFS3">#REF!</definedName>
    <definedName name="NBBV" localSheetId="6">'(검토2안) 공사기간'!NBBV</definedName>
    <definedName name="NBBV">'(검토2안) 공사기간'!NBBV</definedName>
    <definedName name="NBC">#REF!,#REF!,#REF!</definedName>
    <definedName name="NBDFF">#REF!,#REF!</definedName>
    <definedName name="nbv" localSheetId="6">'(검토2안) 공사기간'!ㄷㄹㅈ</definedName>
    <definedName name="nbv">[0]!ㄷㄹㅈ</definedName>
    <definedName name="new">[18]개요!#REF!</definedName>
    <definedName name="NHGF" localSheetId="6">'(검토2안) 공사기간'!NHGF</definedName>
    <definedName name="NHGF">'(검토2안) 공사기간'!NHGF</definedName>
    <definedName name="NHL">[28]터널조도!$AR$19:$AT$25</definedName>
    <definedName name="NJHT">#REF!,#REF!</definedName>
    <definedName name="NLG">#REF!,#REF!</definedName>
    <definedName name="nmb" localSheetId="6">'(검토2안) 공사기간'!ㄹ퓰</definedName>
    <definedName name="nmb">[0]!ㄹ퓰</definedName>
    <definedName name="NMJ" localSheetId="6">'(검토2안) 공사기간'!ㅇㄴㄿ</definedName>
    <definedName name="NMJ">[0]!ㅇㄴㄿ</definedName>
    <definedName name="NN">#REF!,#REF!</definedName>
    <definedName name="NNA" localSheetId="6">'(검토2안) 공사기간'!NNF</definedName>
    <definedName name="NNA">[0]!NNF</definedName>
    <definedName name="NNC" localSheetId="6">'(검토2안) 공사기간'!NNC</definedName>
    <definedName name="NNC">'(검토2안) 공사기간'!NNC</definedName>
    <definedName name="NND" localSheetId="6">'(검토2안) 공사기간'!NND</definedName>
    <definedName name="NND">'(검토2안) 공사기간'!NND</definedName>
    <definedName name="NNF" localSheetId="6">'(검토2안) 공사기간'!NNF</definedName>
    <definedName name="NNF">'(검토2안) 공사기간'!NNF</definedName>
    <definedName name="NNG" localSheetId="6">'(검토2안) 공사기간'!NNG</definedName>
    <definedName name="NNG">'(검토2안) 공사기간'!NNG</definedName>
    <definedName name="nnj" localSheetId="6">'(검토2안) 공사기간'!uiy</definedName>
    <definedName name="nnj">[0]!uiy</definedName>
    <definedName name="nnk" localSheetId="6">'(검토2안) 공사기간'!nnk</definedName>
    <definedName name="nnk">[0]!nnk</definedName>
    <definedName name="nnm" localSheetId="6">'(검토2안) 공사기간'!xcf</definedName>
    <definedName name="nnm">[0]!xcf</definedName>
    <definedName name="NNN">#REF!,#REF!</definedName>
    <definedName name="NO">#REF!</definedName>
    <definedName name="NOMUBY">#REF!</definedName>
    <definedName name="NON" localSheetId="6">'(검토2안) 공사기간'!xcf</definedName>
    <definedName name="NON">[0]!xcf</definedName>
    <definedName name="O">[29]내역!#REF!</definedName>
    <definedName name="OIOK" localSheetId="6">'(검토2안) 공사기간'!EED</definedName>
    <definedName name="OIOK">[0]!EED</definedName>
    <definedName name="OIU" localSheetId="6">'(검토2안) 공사기간'!OIU</definedName>
    <definedName name="OIU">[0]!OIU</definedName>
    <definedName name="OPL" localSheetId="6">'(검토2안) 공사기간'!ㅈㅂㄷ</definedName>
    <definedName name="OPL">[0]!ㅈㅂㄷ</definedName>
    <definedName name="or">[30]과천MAIN!#REF!</definedName>
    <definedName name="P.E관">#REF!</definedName>
    <definedName name="P1693a3">#REF!</definedName>
    <definedName name="PASS">#REF!</definedName>
    <definedName name="PB">'[2]부하(성남)'!#REF!</definedName>
    <definedName name="PB_2">'[10]IMPEADENCE MAP 취수장'!#REF!</definedName>
    <definedName name="PE">#REF!</definedName>
    <definedName name="peak">[31]개요!#REF!</definedName>
    <definedName name="PEE">[32]DATA!$N$4:$P$12</definedName>
    <definedName name="PE관보호공">#REF!</definedName>
    <definedName name="PH">#REF!</definedName>
    <definedName name="PIP">#REF!,#REF!</definedName>
    <definedName name="PJG" localSheetId="6">'(검토2안) 공사기간'!NNF</definedName>
    <definedName name="PJG">[0]!NNF</definedName>
    <definedName name="PL50T">#REF!</definedName>
    <definedName name="plk" localSheetId="6">'(검토2안) 공사기간'!EGERG</definedName>
    <definedName name="plk">[0]!EGERG</definedName>
    <definedName name="plo" localSheetId="6">'(검토2안) 공사기간'!ㅠㅜㅎ</definedName>
    <definedName name="plo">[0]!ㅠㅜㅎ</definedName>
    <definedName name="PLT">[17]!Macro8</definedName>
    <definedName name="PNLW10">[1]부하계산서!#REF!</definedName>
    <definedName name="PNLW8">[1]부하계산서!#REF!</definedName>
    <definedName name="pog">[6]!Macro9</definedName>
    <definedName name="poi" localSheetId="6">'(검토2안) 공사기간'!HBHG</definedName>
    <definedName name="poi">[0]!HBHG</definedName>
    <definedName name="POL" localSheetId="6">'(검토2안) 공사기간'!HGG</definedName>
    <definedName name="POL">[0]!HGG</definedName>
    <definedName name="POP">#REF!,#REF!</definedName>
    <definedName name="PP">'[2]부하(성남)'!#REF!</definedName>
    <definedName name="ppl" localSheetId="6">'(검토2안) 공사기간'!jhg</definedName>
    <definedName name="ppl">[0]!jhg</definedName>
    <definedName name="PPP">#REF!,#REF!</definedName>
    <definedName name="_xlnm.Print_Area" localSheetId="4">'(검토1안) 표준품셈 작업일수'!$A$1:$L$48</definedName>
    <definedName name="_xlnm.Print_Area" localSheetId="5">'(검토1안-1)대시보드'!$B$1:$P$57</definedName>
    <definedName name="_xlnm.Print_Area" localSheetId="6">'(검토2안) 공사기간'!$A$1:$J$48</definedName>
    <definedName name="_xlnm.Print_Area" localSheetId="7">'(검토3안) 시설물별'!$B$1:$F$30</definedName>
    <definedName name="_xlnm.Print_Area" localSheetId="8">'(참고1)_1일작업량'!$A$1:$E$107</definedName>
    <definedName name="_xlnm.Print_Area" localSheetId="1">'1. 기본정보'!$B$1:$E$66</definedName>
    <definedName name="_xlnm.Print_Area" localSheetId="2">'2. 요약 보고서'!$B$2:$G$36</definedName>
    <definedName name="_xlnm.Print_Area" localSheetId="3">'2-1. 공사기간 검토결과'!$B$1:$F$47</definedName>
    <definedName name="_xlnm.Print_Area" localSheetId="9">부록1_준비·정리기간!$A$1:$E$19</definedName>
    <definedName name="_xlnm.Print_Area" localSheetId="10">'부록2 법정공휴일'!$A$1:$O$27</definedName>
    <definedName name="_xlnm.Print_Area" localSheetId="11">'부록3 비작업일수'!$B$1:$O$55</definedName>
    <definedName name="_xlnm.Print_Area" localSheetId="12">'부록4 기상비작업일수 산정'!$B$2:$P$80</definedName>
    <definedName name="_xlnm.Print_Area" localSheetId="13">'부록5 기상데이터'!$B$2:$Q$158</definedName>
    <definedName name="_xlnm.Print_Area" localSheetId="0">표지!$B$1:$H$31</definedName>
    <definedName name="_xlnm.Print_Area">#REF!</definedName>
    <definedName name="PRINT_AREA_MI">#N/A</definedName>
    <definedName name="_xlnm.Print_Titles">#REF!</definedName>
    <definedName name="PRINT_TITLES_MI">#REF!</definedName>
    <definedName name="Q">[17]!Macro13</definedName>
    <definedName name="qas" localSheetId="6">'(검토2안) 공사기간'!ㅁㄴㄹㅇㄹ</definedName>
    <definedName name="qas">[0]!ㅁㄴㄹㅇㄹ</definedName>
    <definedName name="qdr" localSheetId="6">'(검토2안) 공사기간'!REEG</definedName>
    <definedName name="qdr">[0]!REEG</definedName>
    <definedName name="QQA" localSheetId="6">'(검토2안) 공사기간'!QQA</definedName>
    <definedName name="QQA">[0]!QQA</definedName>
    <definedName name="QQQ" localSheetId="6">'(검토2안) 공사기간'!CVDSD</definedName>
    <definedName name="QQQ">[0]!CVDSD</definedName>
    <definedName name="QREWQ" localSheetId="6">'(검토2안) 공사기간'!FFF</definedName>
    <definedName name="QREWQ">[0]!FFF</definedName>
    <definedName name="QSR" localSheetId="6">'(검토2안) 공사기간'!CDD</definedName>
    <definedName name="QSR">[0]!CDD</definedName>
    <definedName name="QSS" localSheetId="6">'(검토2안) 공사기간'!MATRO</definedName>
    <definedName name="QSS">[0]!MATRO</definedName>
    <definedName name="QTY" localSheetId="6">'(검토2안) 공사기간'!SAF</definedName>
    <definedName name="QTY">[0]!SAF</definedName>
    <definedName name="QUIT">[17]!Macro8</definedName>
    <definedName name="qwe" localSheetId="6">'(검토2안) 공사기간'!ㅈㅂㄷㄹ</definedName>
    <definedName name="qwe">[0]!ㅈㅂㄷㄹ</definedName>
    <definedName name="_xlnm.Recorder">#REF!</definedName>
    <definedName name="REEG" localSheetId="6">'(검토2안) 공사기간'!REEG</definedName>
    <definedName name="REEG">'(검토2안) 공사기간'!REEG</definedName>
    <definedName name="ref">#REF!</definedName>
    <definedName name="REGSVTEB" localSheetId="6">'(검토2안) 공사기간'!REGSVTEB</definedName>
    <definedName name="REGSVTEB">'(검토2안) 공사기간'!REGSVTEB</definedName>
    <definedName name="ret" localSheetId="6">'(검토2안) 공사기간'!ret</definedName>
    <definedName name="ret">'(검토2안) 공사기간'!ret</definedName>
    <definedName name="REUIHGURI" localSheetId="6">'(검토2안) 공사기간'!REUIHGURI</definedName>
    <definedName name="REUIHGURI">[0]!REUIHGURI</definedName>
    <definedName name="reyt" localSheetId="6">'(검토2안) 공사기간'!reyt</definedName>
    <definedName name="reyt">'(검토2안) 공사기간'!reyt</definedName>
    <definedName name="RFG">#REF!,#REF!,#REF!</definedName>
    <definedName name="RFWE" localSheetId="6">'(검토2안) 공사기간'!GDF</definedName>
    <definedName name="RFWE">[0]!GDF</definedName>
    <definedName name="rgfg" localSheetId="6">'(검토2안) 공사기간'!jhg</definedName>
    <definedName name="rgfg">[0]!jhg</definedName>
    <definedName name="RGR" localSheetId="6">'(검토2안) 공사기간'!GDF</definedName>
    <definedName name="RGR">[0]!GDF</definedName>
    <definedName name="RGVBF" localSheetId="6">'(검토2안) 공사기간'!RGVBF</definedName>
    <definedName name="RGVBF">[0]!RGVBF</definedName>
    <definedName name="rh">#REF!</definedName>
    <definedName name="RK">[33]위치조서!$J$8</definedName>
    <definedName name="rlh">#REF!</definedName>
    <definedName name="RRE">#REF!,#REF!</definedName>
    <definedName name="RRR">#N/A</definedName>
    <definedName name="rsh">#REF!</definedName>
    <definedName name="RT">#REF!,#REF!,#REF!</definedName>
    <definedName name="RT5G" localSheetId="6">'(검토2안) 공사기간'!RT5G</definedName>
    <definedName name="RT5G">[0]!RT5G</definedName>
    <definedName name="RTG" localSheetId="6">'(검토2안) 공사기간'!EEDD</definedName>
    <definedName name="RTG">[0]!EEDD</definedName>
    <definedName name="rthrtu" localSheetId="6">'(검토2안) 공사기간'!juyjuy</definedName>
    <definedName name="rthrtu">[0]!juyjuy</definedName>
    <definedName name="RTHT" localSheetId="6">'(검토2안) 공사기간'!TTHG</definedName>
    <definedName name="RTHT">[0]!TTHG</definedName>
    <definedName name="RTU">#REF!,#REF!</definedName>
    <definedName name="rty">#REF!,#REF!</definedName>
    <definedName name="s">[34]일위대가양식!#REF!</definedName>
    <definedName name="S_B">#REF!</definedName>
    <definedName name="S_B1">'[10]IMPEADENCE MAP 취수장'!#REF!</definedName>
    <definedName name="S_G">#REF!</definedName>
    <definedName name="S_G1">'[10]IMPEADENCE MAP 취수장'!#REF!</definedName>
    <definedName name="S_R">#REF!</definedName>
    <definedName name="S_R1">'[10]IMPEADENCE MAP 취수장'!#REF!</definedName>
    <definedName name="S_X">#REF!</definedName>
    <definedName name="S_X1">'[10]IMPEADENCE MAP 취수장'!#REF!</definedName>
    <definedName name="S_Y">#REF!</definedName>
    <definedName name="S_Y1">'[10]IMPEADENCE MAP 취수장'!#REF!</definedName>
    <definedName name="S_Z">#REF!</definedName>
    <definedName name="S_Z1">'[10]IMPEADENCE MAP 취수장'!#REF!</definedName>
    <definedName name="SAF" localSheetId="6">'(검토2안) 공사기간'!SAF</definedName>
    <definedName name="SAF">'(검토2안) 공사기간'!SAF</definedName>
    <definedName name="SDAVF" localSheetId="6">'(검토2안) 공사기간'!GVHBG</definedName>
    <definedName name="SDAVF">[0]!GVHBG</definedName>
    <definedName name="SDC">#REF!,#REF!</definedName>
    <definedName name="SdcdF" localSheetId="6">'(검토2안) 공사기간'!NBBV</definedName>
    <definedName name="SdcdF">[0]!NBBV</definedName>
    <definedName name="SDD" localSheetId="6">'(검토2안) 공사기간'!TRR</definedName>
    <definedName name="SDD">[0]!TRR</definedName>
    <definedName name="SDF">#REF!</definedName>
    <definedName name="SDG" localSheetId="6">'(검토2안) 공사기간'!ㄷㄹㅈ</definedName>
    <definedName name="SDG">[0]!ㄷㄹㅈ</definedName>
    <definedName name="SDK">#REF!,#REF!</definedName>
    <definedName name="SDRFE" localSheetId="6">'(검토2안) 공사기간'!SDRFE</definedName>
    <definedName name="SDRFE">[0]!SDRFE</definedName>
    <definedName name="sdsd" localSheetId="6">'(검토2안) 공사기간'!jhg</definedName>
    <definedName name="sdsd">[0]!jhg</definedName>
    <definedName name="sdv" localSheetId="6">'(검토2안) 공사기간'!uiy</definedName>
    <definedName name="sdv">[0]!uiy</definedName>
    <definedName name="SDVF" localSheetId="6">'(검토2안) 공사기간'!SDVF</definedName>
    <definedName name="SDVF">'(검토2안) 공사기간'!SDVF</definedName>
    <definedName name="sfd" localSheetId="6">'(검토2안) 공사기간'!sfd</definedName>
    <definedName name="sfd">[0]!sfd</definedName>
    <definedName name="SFH" localSheetId="6">'(검토2안) 공사기간'!ㅗㅠㅎㄹ</definedName>
    <definedName name="SFH">[0]!ㅗㅠㅎㄹ</definedName>
    <definedName name="SHEET56">#REF!</definedName>
    <definedName name="SHF">#REF!</definedName>
    <definedName name="SIL">[20]데이타!$R$23:$S$32</definedName>
    <definedName name="SIS" localSheetId="6">'(검토2안) 공사기간'!NNF</definedName>
    <definedName name="SIS">[0]!NNF</definedName>
    <definedName name="size">#REF!</definedName>
    <definedName name="sngc50t">[35]FB25JN!$L$6:$M$6</definedName>
    <definedName name="SOC" localSheetId="6">'(검토2안) 공사기간'!OIU</definedName>
    <definedName name="SOC">[0]!OIU</definedName>
    <definedName name="SOS" localSheetId="6">'(검토2안) 공사기간'!MATRO</definedName>
    <definedName name="SOS">[0]!MATRO</definedName>
    <definedName name="sr">#REF!,#REF!</definedName>
    <definedName name="SS">#REF!</definedName>
    <definedName name="SSD">#N/A</definedName>
    <definedName name="SSR" localSheetId="6">'(검토2안) 공사기간'!SSR</definedName>
    <definedName name="SSR">'(검토2안) 공사기간'!SSR</definedName>
    <definedName name="SSS">#REF!</definedName>
    <definedName name="SSSC" localSheetId="6">'(검토2안) 공사기간'!CCF</definedName>
    <definedName name="SSSC">[0]!CCF</definedName>
    <definedName name="SSSS">#REF!</definedName>
    <definedName name="SSSSS">#REF!</definedName>
    <definedName name="SSSSSS">#REF!</definedName>
    <definedName name="SSW">#REF!,#REF!</definedName>
    <definedName name="SSX" localSheetId="6">'(검토2안) 공사기간'!SSX</definedName>
    <definedName name="SSX">'(검토2안) 공사기간'!SSX</definedName>
    <definedName name="Start">#REF!</definedName>
    <definedName name="steam1">#REF!</definedName>
    <definedName name="SVFGSF" localSheetId="6">'(검토2안) 공사기간'!KJH</definedName>
    <definedName name="SVFGSF">[0]!KJH</definedName>
    <definedName name="SXXS">#N/A</definedName>
    <definedName name="SZVFGG" localSheetId="6">'(검토2안) 공사기간'!REEG</definedName>
    <definedName name="SZVFGG">[0]!REEG</definedName>
    <definedName name="T">[29]내역!#REF!</definedName>
    <definedName name="TABLE">[7]Sheet1!#REF!</definedName>
    <definedName name="TABLE_14">[7]Sheet1!#REF!</definedName>
    <definedName name="TABLE_15">[7]Sheet1!#REF!</definedName>
    <definedName name="TABLE_2">[7]Sheet1!#REF!</definedName>
    <definedName name="TABLE_23">[7]Sheet1!#REF!</definedName>
    <definedName name="TABLE_24">[7]Sheet1!#REF!</definedName>
    <definedName name="TABLE_25">[7]Sheet1!#REF!</definedName>
    <definedName name="TABLE_26">[7]Sheet1!#REF!</definedName>
    <definedName name="TABLE_27">[7]Sheet1!#REF!</definedName>
    <definedName name="TABLE_28">[7]Sheet1!#REF!</definedName>
    <definedName name="TABLE_29">[7]Sheet1!#REF!</definedName>
    <definedName name="TABLE_30">[7]Sheet1!#REF!</definedName>
    <definedName name="TABLE_31">[7]Sheet1!#REF!</definedName>
    <definedName name="TABLE_32">[7]Sheet1!#REF!</definedName>
    <definedName name="TABLE_33">[7]Sheet1!#REF!</definedName>
    <definedName name="TABLE_34">[7]Sheet1!#REF!</definedName>
    <definedName name="TABLE_35">[7]Sheet1!#REF!</definedName>
    <definedName name="TABLE_36">[7]Sheet1!#REF!</definedName>
    <definedName name="TABLE_37">[7]Sheet1!#REF!</definedName>
    <definedName name="TABLE_38">[7]Sheet1!#REF!</definedName>
    <definedName name="TABLE_39">[7]Sheet1!#REF!</definedName>
    <definedName name="TABLE_40">[7]Sheet1!#REF!</definedName>
    <definedName name="TABLE_41">[7]Sheet1!#REF!</definedName>
    <definedName name="TABLE_42">[7]Sheet1!#REF!</definedName>
    <definedName name="TABLE_43">[7]Sheet1!#REF!</definedName>
    <definedName name="TABLE_44">[7]Sheet1!#REF!</definedName>
    <definedName name="TABLE_45">[7]Sheet1!#REF!</definedName>
    <definedName name="TABLE_46">[7]Sheet1!#REF!</definedName>
    <definedName name="TABLE_47">[7]Sheet1!#REF!</definedName>
    <definedName name="TABLE_48">[7]Sheet1!#REF!</definedName>
    <definedName name="TABLE_49">[7]Sheet1!#REF!</definedName>
    <definedName name="TABLE_50">[7]Sheet1!#REF!</definedName>
    <definedName name="TABLE_51">[7]Sheet1!#REF!</definedName>
    <definedName name="TABLE_52">[7]Sheet1!#REF!</definedName>
    <definedName name="TABLE_53">[7]Sheet1!#REF!</definedName>
    <definedName name="TABLE_54">[7]Sheet1!#REF!</definedName>
    <definedName name="TABLE_55">[7]Sheet1!#REF!</definedName>
    <definedName name="TABLE_56">[7]Sheet1!#REF!</definedName>
    <definedName name="TABLE_57">[7]Sheet1!#REF!</definedName>
    <definedName name="TABLE_58">[7]Sheet1!#REF!</definedName>
    <definedName name="TABLE_59">[7]Sheet1!#REF!</definedName>
    <definedName name="TABLE_60">[7]Sheet1!#REF!</definedName>
    <definedName name="TABLE_61">[7]Sheet1!#REF!</definedName>
    <definedName name="TABLE_62">[7]Sheet1!#REF!</definedName>
    <definedName name="TABLE_63">[7]Sheet1!#REF!</definedName>
    <definedName name="TABLE_64">[7]Sheet1!#REF!</definedName>
    <definedName name="TABLE_65">[7]Sheet1!#REF!</definedName>
    <definedName name="TABLE_66">[7]Sheet1!#REF!</definedName>
    <definedName name="TABLE_67">[7]Sheet1!#REF!</definedName>
    <definedName name="TABLE_68">[7]Sheet1!#REF!</definedName>
    <definedName name="TABLE_69">[7]Sheet1!#REF!</definedName>
    <definedName name="tc">#REF!</definedName>
    <definedName name="Test">[36]입찰결과보고!$D$3,[36]입찰결과보고!$D$4,[36]입찰결과보고!$I$4,[36]입찰결과보고!$D$5,[36]입찰결과보고!$J$6,[36]입찰결과보고!$C$8,[36]입찰결과보고!$C$9,[36]입찰결과보고!$C$10,[36]입찰결과보고!$C$11,[36]입찰결과보고!$C$12,[36]입찰결과보고!$F$8,[36]입찰결과보고!$F$9,[36]입찰결과보고!$F$10,[36]입찰결과보고!$F$11,[36]입찰결과보고!$F$12,[36]입찰결과보고!$I$8,[36]입찰결과보고!$I$9,[36]입찰결과보고!$I$10,[36]입찰결과보고!$I$11,[36]입찰결과보고!$I$12,[36]입찰결과보고!$B$15,[36]입찰결과보고!$B$16,[36]입찰결과보고!$B$17,[36]입찰결과보고!$B$18,[36]입찰결과보고!#REF!,[36]입찰결과보고!$C$21,[36]입찰결과보고!$D$21,[36]입찰결과보고!$E$21,[36]입찰결과보고!$C$22,[36]입찰결과보고!$D$22,[36]입찰결과보고!$E$22,[36]입찰결과보고!$C$23,[36]입찰결과보고!$D$23,[36]입찰결과보고!$E$23,[36]입찰결과보고!$C$24,[36]입찰결과보고!$D$24,[36]입찰결과보고!$E$24,[36]입찰결과보고!$C$25,[36]입찰결과보고!$D$25,[36]입찰결과보고!$E$25,[36]입찰결과보고!$C$26,[36]입찰결과보고!$D$26,[36]입찰결과보고!$E$26,[36]입찰결과보고!$C$27</definedName>
    <definedName name="Test1">[36]입찰결과보고!$D$27,[36]입찰결과보고!$E$27,[36]입찰결과보고!$C$28,[36]입찰결과보고!$D$28,[36]입찰결과보고!$E$28,[36]입찰결과보고!$C$29,[36]입찰결과보고!$D$29,[36]입찰결과보고!$E$29,[36]입찰결과보고!$C$30,[36]입찰결과보고!$D$30,[36]입찰결과보고!$E$30</definedName>
    <definedName name="TFG">#REF!,#REF!</definedName>
    <definedName name="TGG">[17]!Macro8</definedName>
    <definedName name="TGGG" localSheetId="6">'(검토2안) 공사기간'!TGGG</definedName>
    <definedName name="TGGG">'(검토2안) 공사기간'!TGGG</definedName>
    <definedName name="th">#REF!</definedName>
    <definedName name="TKG">#REF!,#REF!</definedName>
    <definedName name="TR_R">#REF!</definedName>
    <definedName name="TR_X">#REF!</definedName>
    <definedName name="TRR" localSheetId="6">'(검토2안) 공사기간'!TRR</definedName>
    <definedName name="TRR">'(검토2안) 공사기간'!TRR</definedName>
    <definedName name="TRRR" localSheetId="6">'(검토2안) 공사기간'!TRRR</definedName>
    <definedName name="TRRR">[0]!TRRR</definedName>
    <definedName name="tryrtg" localSheetId="6">'(검토2안) 공사기간'!bvvc</definedName>
    <definedName name="tryrtg">[0]!bvvc</definedName>
    <definedName name="TTHG" localSheetId="6">'(검토2안) 공사기간'!TTHG</definedName>
    <definedName name="TTHG">'(검토2안) 공사기간'!TTHG</definedName>
    <definedName name="TTI">#REF!,#REF!,#REF!</definedName>
    <definedName name="TTR" localSheetId="6">'(검토2안) 공사기간'!ㅁㄴㄹㅇㄹ</definedName>
    <definedName name="TTR">[0]!ㅁㄴㄹㅇㄹ</definedName>
    <definedName name="TTTG">#REF!,#REF!</definedName>
    <definedName name="TUNVS" localSheetId="6">'(검토2안) 공사기간'!ㄷㄹㅈ</definedName>
    <definedName name="TUNVS">[0]!ㄷㄹㅈ</definedName>
    <definedName name="tuu" localSheetId="6">'(검토2안) 공사기간'!frt</definedName>
    <definedName name="tuu">[0]!frt</definedName>
    <definedName name="TYH" localSheetId="6">'(검토2안) 공사기간'!TYH</definedName>
    <definedName name="TYH">[0]!TYH</definedName>
    <definedName name="tyj" localSheetId="6">'(검토2안) 공사기간'!tyj</definedName>
    <definedName name="tyj">'(검토2안) 공사기간'!tyj</definedName>
    <definedName name="TYU">#REF!,#REF!</definedName>
    <definedName name="tyy" localSheetId="6">'(검토2안) 공사기간'!reyt</definedName>
    <definedName name="tyy">[0]!reyt</definedName>
    <definedName name="uiy" localSheetId="6">'(검토2안) 공사기간'!uiy</definedName>
    <definedName name="uiy">'(검토2안) 공사기간'!uiy</definedName>
    <definedName name="UJJ" localSheetId="6">'(검토2안) 공사기간'!YHG</definedName>
    <definedName name="UJJ">[0]!YHG</definedName>
    <definedName name="ujy" localSheetId="6">'(검토2안) 공사기간'!ret</definedName>
    <definedName name="ujy">[0]!ret</definedName>
    <definedName name="UNITA">[1]부하계산서!#REF!</definedName>
    <definedName name="UNITAA">[1]부하계산서!#REF!</definedName>
    <definedName name="UNITB">[1]부하계산서!#REF!</definedName>
    <definedName name="UNITBB">[1]부하계산서!#REF!</definedName>
    <definedName name="UNITC">[1]부하계산서!#REF!</definedName>
    <definedName name="UNITC1">[1]부하계산서!#REF!</definedName>
    <definedName name="UNITCA">[1]부하계산서!#REF!</definedName>
    <definedName name="UNITD">[1]부하계산서!#REF!</definedName>
    <definedName name="UNITDA">[1]부하계산서!#REF!</definedName>
    <definedName name="unj">[6]!Macro8</definedName>
    <definedName name="UPSR">[1]부하계산서!#REF!</definedName>
    <definedName name="uu">[37]DATA!$B$4:$F$495</definedName>
    <definedName name="UUU" localSheetId="6">'(검토2안) 공사기간'!UUU</definedName>
    <definedName name="UUU">[0]!UUU</definedName>
    <definedName name="uyj" localSheetId="6">'(검토2안) 공사기간'!tyj</definedName>
    <definedName name="uyj">[0]!tyj</definedName>
    <definedName name="UYUY" localSheetId="6">'(검토2안) 공사기간'!DGRT</definedName>
    <definedName name="UYUY">[0]!DGRT</definedName>
    <definedName name="VB">#REF!</definedName>
    <definedName name="VB_2">'[10]IMPEADENCE MAP 취수장'!#REF!</definedName>
    <definedName name="vbc" localSheetId="6">'(검토2안) 공사기간'!REGSVTEB</definedName>
    <definedName name="vbc">[0]!REGSVTEB</definedName>
    <definedName name="VBGDH" localSheetId="6">'(검토2안) 공사기간'!HBHG</definedName>
    <definedName name="VBGDH">[0]!HBHG</definedName>
    <definedName name="vbn" localSheetId="6">'(검토2안) 공사기간'!vbn</definedName>
    <definedName name="vbn">[0]!vbn</definedName>
    <definedName name="vbnh" localSheetId="6">'(검토2안) 공사기간'!ㅗㅠㅎㄹ</definedName>
    <definedName name="vbnh">[0]!ㅗㅠㅎㄹ</definedName>
    <definedName name="VBV" localSheetId="6">'(검토2안) 공사기간'!RGVBF</definedName>
    <definedName name="VBV">[0]!RGVBF</definedName>
    <definedName name="vcx" localSheetId="6">'(검토2안) 공사기간'!ㅗㅠㅎㄹ</definedName>
    <definedName name="vcx">[0]!ㅗㅠㅎㄹ</definedName>
    <definedName name="VFJKEH" localSheetId="6">'(검토2안) 공사기간'!DDC</definedName>
    <definedName name="VFJKEH">[0]!DDC</definedName>
    <definedName name="VFV" localSheetId="6">'(검토2안) 공사기간'!ㄷㄹㅈ</definedName>
    <definedName name="VFV">[0]!ㄷㄹㅈ</definedName>
    <definedName name="VGF" localSheetId="6">'(검토2안) 공사기간'!VGF</definedName>
    <definedName name="VGF">[0]!VGF</definedName>
    <definedName name="vgh">[6]!Macro2</definedName>
    <definedName name="vhj">#REF!,#REF!</definedName>
    <definedName name="VIP">[17]!Macro9</definedName>
    <definedName name="VIR">[17]!Macro7</definedName>
    <definedName name="VIS">[17]!Macro9</definedName>
    <definedName name="vlo" localSheetId="6">'(검토2안) 공사기간'!juyjuy</definedName>
    <definedName name="vlo">[0]!juyjuy</definedName>
    <definedName name="vnb" localSheetId="6">'(검토2안) 공사기간'!vnb</definedName>
    <definedName name="vnb">'(검토2안) 공사기간'!vnb</definedName>
    <definedName name="VNJ" localSheetId="6">'(검토2안) 공사기간'!VNJ</definedName>
    <definedName name="VNJ">[0]!VNJ</definedName>
    <definedName name="vvb" localSheetId="6">'(검토2안) 공사기간'!ㅌㅊㅍ</definedName>
    <definedName name="vvb">[0]!ㅌㅊㅍ</definedName>
    <definedName name="VVV" localSheetId="6">'(검토2안) 공사기간'!EGERG</definedName>
    <definedName name="VVV">[0]!EGERG</definedName>
    <definedName name="w">#REF!</definedName>
    <definedName name="WDDSF">#REF!,#REF!,#REF!</definedName>
    <definedName name="wddw" localSheetId="6">'(검토2안) 공사기간'!ㅈㄷㅂㄹ</definedName>
    <definedName name="wddw">[0]!ㅈㄷㅂㄹ</definedName>
    <definedName name="wdes" localSheetId="6">'(검토2안) 공사기간'!vbn</definedName>
    <definedName name="wdes">[0]!vbn</definedName>
    <definedName name="WDF" localSheetId="6">'(검토2안) 공사기간'!QQA</definedName>
    <definedName name="WDF">[0]!QQA</definedName>
    <definedName name="WDFG">#REF!,#REF!</definedName>
    <definedName name="WDV" localSheetId="6">'(검토2안) 공사기간'!WDV</definedName>
    <definedName name="WDV">[0]!WDV</definedName>
    <definedName name="WEF">#REF!,#REF!</definedName>
    <definedName name="WEFDS" localSheetId="6">'(검토2안) 공사기간'!MATRO</definedName>
    <definedName name="WEFDS">[0]!MATRO</definedName>
    <definedName name="WER" localSheetId="6">'(검토2안) 공사기간'!TRRR</definedName>
    <definedName name="WER">[0]!TRRR</definedName>
    <definedName name="WEW">#REF!</definedName>
    <definedName name="WFG" localSheetId="6">'(검토2안) 공사기간'!MATRO</definedName>
    <definedName name="WFG">[0]!MATRO</definedName>
    <definedName name="WIRUY" localSheetId="6">'(검토2안) 공사기간'!WIRUY</definedName>
    <definedName name="WIRUY">[0]!WIRUY</definedName>
    <definedName name="wqd" localSheetId="6">'(검토2안) 공사기간'!ㅗㅠㅎㄹ</definedName>
    <definedName name="wqd">[0]!ㅗㅠㅎㄹ</definedName>
    <definedName name="wsdf" localSheetId="6">'(검토2안) 공사기간'!ret</definedName>
    <definedName name="wsdf">[0]!ret</definedName>
    <definedName name="wsg">#REF!,#REF!</definedName>
    <definedName name="WSS" localSheetId="6">'(검토2안) 공사기간'!ㅁㄴㄹㅇㄹ</definedName>
    <definedName name="WSS">[0]!ㅁㄴㄹㅇㄹ</definedName>
    <definedName name="WSX" localSheetId="6">'(검토2안) 공사기간'!WWF</definedName>
    <definedName name="WSX">[0]!WWF</definedName>
    <definedName name="WWF" localSheetId="6">'(검토2안) 공사기간'!WWF</definedName>
    <definedName name="WWF">'(검토2안) 공사기간'!WWF</definedName>
    <definedName name="WWQ" localSheetId="6">'(검토2안) 공사기간'!ㄷㄹㅈ</definedName>
    <definedName name="WWQ">[0]!ㄷㄹㅈ</definedName>
    <definedName name="WWR" localSheetId="6">'(검토2안) 공사기간'!uiy</definedName>
    <definedName name="WWR">[0]!uiy</definedName>
    <definedName name="WWT" localSheetId="6">'(검토2안) 공사기간'!WWT</definedName>
    <definedName name="WWT">[0]!WWT</definedName>
    <definedName name="WWU" localSheetId="6">'(검토2안) 공사기간'!ㅈㄷㅂㄹ</definedName>
    <definedName name="WWU">[0]!ㅈㄷㅂㄹ</definedName>
    <definedName name="WWW" localSheetId="6">'(검토2안) 공사기간'!DGRT</definedName>
    <definedName name="WWW">[0]!DGRT</definedName>
    <definedName name="xcc" localSheetId="6">'(검토2안) 공사기간'!ㅁㄴㄹㅇㄹ</definedName>
    <definedName name="xcc">[0]!ㅁㄴㄹㅇㄹ</definedName>
    <definedName name="xcf" localSheetId="6">'(검토2안) 공사기간'!xcf</definedName>
    <definedName name="xcf">'(검토2안) 공사기간'!xcf</definedName>
    <definedName name="XCXC" localSheetId="6">'(검토2안) 공사기간'!FFF</definedName>
    <definedName name="XCXC">[0]!FFF</definedName>
    <definedName name="xdd" localSheetId="6">'(검토2안) 공사기간'!jytr</definedName>
    <definedName name="xdd">[0]!jytr</definedName>
    <definedName name="XDE" localSheetId="6">'(검토2안) 공사기간'!ㅗㅠㅎㄹ</definedName>
    <definedName name="XDE">[0]!ㅗㅠㅎㄹ</definedName>
    <definedName name="XDF" localSheetId="6">'(검토2안) 공사기간'!xcf</definedName>
    <definedName name="XDF">[0]!xcf</definedName>
    <definedName name="XDR" localSheetId="6">'(검토2안) 공사기간'!ㅈㄷㅂㄹ</definedName>
    <definedName name="XDR">[0]!ㅈㄷㅂㄹ</definedName>
    <definedName name="XDS" localSheetId="6">'(검토2안) 공사기간'!NNF</definedName>
    <definedName name="XDS">[0]!NNF</definedName>
    <definedName name="xhd" localSheetId="6">'(검토2안) 공사기간'!xhd</definedName>
    <definedName name="xhd">[0]!xhd</definedName>
    <definedName name="XSD" localSheetId="6">'(검토2안) 공사기간'!MATRO</definedName>
    <definedName name="XSD">[0]!MATRO</definedName>
    <definedName name="XXD">#REF!,#REF!</definedName>
    <definedName name="XXX">#REF!,#REF!</definedName>
    <definedName name="Y6U" localSheetId="6">'(검토2안) 공사기간'!Y6U</definedName>
    <definedName name="Y6U">[0]!Y6U</definedName>
    <definedName name="YHG" localSheetId="6">'(검토2안) 공사기간'!YHG</definedName>
    <definedName name="YHG">'(검토2안) 공사기간'!YHG</definedName>
    <definedName name="YHGG" localSheetId="6">'(검토2안) 공사기간'!HTD</definedName>
    <definedName name="YHGG">[0]!HTD</definedName>
    <definedName name="YIP" localSheetId="6">'(검토2안) 공사기간'!QQA</definedName>
    <definedName name="YIP">[0]!QQA</definedName>
    <definedName name="YJH" localSheetId="6">'(검토2안) 공사기간'!YJH</definedName>
    <definedName name="YJH">[0]!YJH</definedName>
    <definedName name="yjy" localSheetId="6">'(검토2안) 공사기간'!jytr</definedName>
    <definedName name="yjy">[0]!jytr</definedName>
    <definedName name="yth" localSheetId="6">'(검토2안) 공사기간'!yth</definedName>
    <definedName name="yth">'(검토2안) 공사기간'!yth</definedName>
    <definedName name="ytjuy" localSheetId="6">'(검토2안) 공사기간'!ytjuy</definedName>
    <definedName name="ytjuy">'(검토2안) 공사기간'!ytjuy</definedName>
    <definedName name="ZB">#REF!</definedName>
    <definedName name="ZB_2">'[10]IMPEADENCE MAP 취수장'!#REF!</definedName>
    <definedName name="ZFVGFDHB" localSheetId="6">'(검토2안) 공사기간'!AVGHBD</definedName>
    <definedName name="ZFVGFDHB">[0]!AVGHBD</definedName>
    <definedName name="ZLO" localSheetId="6">'(검토2안) 공사기간'!QQA</definedName>
    <definedName name="ZLO">[0]!QQA</definedName>
    <definedName name="ZP">#REF!</definedName>
    <definedName name="zsb" localSheetId="6">'(검토2안) 공사기간'!GVHBG</definedName>
    <definedName name="zsb">[0]!GVHBG</definedName>
    <definedName name="zsd" localSheetId="6">'(검토2안) 공사기간'!ㅈㄷㅂㄹ</definedName>
    <definedName name="zsd">[0]!ㅈㄷㅂㄹ</definedName>
    <definedName name="zxc" localSheetId="6">'(검토2안) 공사기간'!ㄷㄹㅈ</definedName>
    <definedName name="zxc">[0]!ㄷㄹㅈ</definedName>
    <definedName name="zxcf" localSheetId="6">'(검토2안) 공사기간'!zxcf</definedName>
    <definedName name="zxcf">[0]!zxcf</definedName>
    <definedName name="zxd" localSheetId="6">'(검토2안) 공사기간'!zxd</definedName>
    <definedName name="zxd">[0]!zxd</definedName>
    <definedName name="ZZZ">[17]!Macro8</definedName>
    <definedName name="ㄱ">#REF!</definedName>
    <definedName name="ㄱㄱㄱ">#REF!</definedName>
    <definedName name="ㄱㄱㄱㄱㄱ">#REF!</definedName>
    <definedName name="ㄱㅀㅍㅇ" localSheetId="6">'(검토2안) 공사기간'!ㅝㅗ허</definedName>
    <definedName name="ㄱㅀㅍㅇ">[0]!ㅝㅗ허</definedName>
    <definedName name="가">[33]위치조서!$J$8</definedName>
    <definedName name="가로등부표1">[38]!Macro13</definedName>
    <definedName name="가로등부표2">#REF!,#REF!</definedName>
    <definedName name="가설공사">'(참고1)_1일작업량'!$B$4:$B$9</definedName>
    <definedName name="간노">#REF!</definedName>
    <definedName name="간노율">#REF!</definedName>
    <definedName name="간접노무비">#REF!</definedName>
    <definedName name="간접노무비요율">#REF!</definedName>
    <definedName name="간접노무비요율_변경">#REF!</definedName>
    <definedName name="갑지">#REF!</definedName>
    <definedName name="갑지1">#REF!</definedName>
    <definedName name="개거">#REF!</definedName>
    <definedName name="거">#REF!</definedName>
    <definedName name="거푸집공사">'(참고1)_1일작업량'!$B$26:$B$40</definedName>
    <definedName name="견">[39]FB25JN!$L$3:$M$3</definedName>
    <definedName name="견적">[6]FB25JN!$L$3:$M$3</definedName>
    <definedName name="견적2">[40]FB25JN!$L$3:$M$3</definedName>
    <definedName name="결정치">#REF!</definedName>
    <definedName name="경비">#REF!</definedName>
    <definedName name="경비금액">#REF!</definedName>
    <definedName name="경비단가">#REF!</definedName>
    <definedName name="경용" localSheetId="6">'(검토2안) 공사기간'!WWF</definedName>
    <definedName name="경용">[0]!WWF</definedName>
    <definedName name="계획표">[7]Sheet2!#REF!</definedName>
    <definedName name="고용">#REF!</definedName>
    <definedName name="고용보험료">#REF!</definedName>
    <definedName name="고용보험료요율">#REF!</definedName>
    <definedName name="고용보험료요율_변경">#REF!</definedName>
    <definedName name="고용율">#REF!</definedName>
    <definedName name="고재">#REF!</definedName>
    <definedName name="고케">#REF!</definedName>
    <definedName name="공급">[24]내역!#REF!</definedName>
    <definedName name="공급가액">#REF!</definedName>
    <definedName name="공사명">#REF!</definedName>
    <definedName name="공사비">#REF!</definedName>
    <definedName name="공종1">#REF!</definedName>
    <definedName name="관급">#REF!,#REF!,#REF!</definedName>
    <definedName name="관급자재비">#REF!</definedName>
    <definedName name="관리비">#REF!</definedName>
    <definedName name="광영" localSheetId="6">'(검토2안) 공사기간'!ㅁㄴㄹㅇㄹ</definedName>
    <definedName name="광영">[0]!ㅁㄴㄹㅇㄹ</definedName>
    <definedName name="구조물깨기">#REF!</definedName>
    <definedName name="규격">#REF!</definedName>
    <definedName name="기계경비">'[41]일위대가-3'!$V$2</definedName>
    <definedName name="기계설비">'(참고1)_1일작업량'!$B$81:$B$94</definedName>
    <definedName name="기구시간수량">#REF!</definedName>
    <definedName name="기기수량">'[42]49수량'!$A$8:$Q$253</definedName>
    <definedName name="기존">[43]메탈라스!#REF!</definedName>
    <definedName name="기초공사">'(참고1)_1일작업량'!$B$15:$B$20</definedName>
    <definedName name="기타">#REF!</definedName>
    <definedName name="기타경비">#REF!</definedName>
    <definedName name="기타경비요율">#REF!</definedName>
    <definedName name="기타경비요율_변경">#REF!</definedName>
    <definedName name="기타율">#REF!</definedName>
    <definedName name="길이">#REF!</definedName>
    <definedName name="김">#REF!</definedName>
    <definedName name="김용표">'[44]#REF'!$D$3:$D$10</definedName>
    <definedName name="깔기" localSheetId="6">'(검토2안) 공사기간'!깔기</definedName>
    <definedName name="깔기">[0]!깔기</definedName>
    <definedName name="ㄳㄳ">#REF!</definedName>
    <definedName name="ㄴ">#REF!</definedName>
    <definedName name="ㄴㄴ">#REF!</definedName>
    <definedName name="ㄴㄴㄴ" hidden="1">#REF!</definedName>
    <definedName name="ㄴㄴㄴㄴ" hidden="1">#REF!</definedName>
    <definedName name="ㄴㄴㄴㄴㄴ">[45]경산!#REF!</definedName>
    <definedName name="ㄴㄴㄴㄴㄴㄴ">#REF!</definedName>
    <definedName name="ㄴㄴㄴㄴㄴㄴㄴㄴㄴㄴ">#REF!</definedName>
    <definedName name="ㄴㄴㄴㄴㄴㅁ">#REF!</definedName>
    <definedName name="ㄴㄴㅁㅁㅇㄴ">#REF!</definedName>
    <definedName name="ㄴㄴㅇㅇㄴ">#REF!</definedName>
    <definedName name="ㄴㄹㅇㄴㄹㅇ">#REF!</definedName>
    <definedName name="ㄴㅁ">#REF!</definedName>
    <definedName name="ㄴㅁㅁ">#REF!</definedName>
    <definedName name="ㄴㅁㅇㄹㅊㅇ">#REF!,#REF!</definedName>
    <definedName name="ㄴㅁㅇㅇㄴㅇ">#REF!</definedName>
    <definedName name="ㄴㅁㅇㅇㄴㅇㄴ">#REF!</definedName>
    <definedName name="ㄴㅇ">#REF!</definedName>
    <definedName name="ㄴㅇㄴㄴㅁㅁ">#REF!</definedName>
    <definedName name="ㄴㅇㄹ">#REF!</definedName>
    <definedName name="ㄴㅇㄹㅇㄷ">#REF!</definedName>
    <definedName name="남해" localSheetId="6">'(검토2안) 공사기간'!TRR</definedName>
    <definedName name="남해">[0]!TRR</definedName>
    <definedName name="내역서">[7]Sheet3!$A$1:$N$157</definedName>
    <definedName name="내역서1">[7]Sheet3!$B$2:$N$157</definedName>
    <definedName name="내역영역">#REF!</definedName>
    <definedName name="내전">#REF!</definedName>
    <definedName name="년도별">[46]개소별수량산출!$A$32:$AA$41</definedName>
    <definedName name="년도별원가">[46]개소별수량산출!$A$42:$AA$177</definedName>
    <definedName name="노말?">#REF!</definedName>
    <definedName name="노무비">[47]경산!#REF!</definedName>
    <definedName name="노무비금액">#REF!</definedName>
    <definedName name="노무비단가">#REF!</definedName>
    <definedName name="노임">#REF!</definedName>
    <definedName name="노임단가">#REF!</definedName>
    <definedName name="노지">[47]경산!#REF!</definedName>
    <definedName name="노출직">#REF!</definedName>
    <definedName name="노출직부">#REF!</definedName>
    <definedName name="노출형">[20]DATA!$E$50:$F$59</definedName>
    <definedName name="ㄷ29">'[48]횡배수관집현황(2공구)'!#REF!</definedName>
    <definedName name="ㄷㄱㄷㅅㅅㅅ">#REF!</definedName>
    <definedName name="ㄷㄷ" hidden="1">#REF!</definedName>
    <definedName name="ㄷㄷㄷ">[13]FB25JN!$L$3:$M$3</definedName>
    <definedName name="ㄷㄷㅈ">#REF!</definedName>
    <definedName name="ㄷㄹㄹㅇ">#REF!</definedName>
    <definedName name="ㄷㄹㅇㄴ">#REF!</definedName>
    <definedName name="ㄷㄹㅇㄴㄹ">#REF!</definedName>
    <definedName name="ㄷㄹㅈ" localSheetId="6">'(검토2안) 공사기간'!ㄷㄹㅈ</definedName>
    <definedName name="ㄷㄹㅈ">'(검토2안) 공사기간'!ㄷㄹㅈ</definedName>
    <definedName name="ㄷㅇㄴ">#REF!</definedName>
    <definedName name="ㄷㅇㄹ">#REF!</definedName>
    <definedName name="ㄷㅇㄹㄴ">#REF!</definedName>
    <definedName name="단가">#REF!</definedName>
    <definedName name="단가비교표">#REF!,#REF!</definedName>
    <definedName name="단가표">'[49]단가표 (2)'!$A$2:$G$343</definedName>
    <definedName name="단열경량벽체">'(참고1)_1일작업량'!$B$73:$B$75</definedName>
    <definedName name="대표자">[50]front!$AC$31</definedName>
    <definedName name="도">#REF!</definedName>
    <definedName name="도급공사">#REF!</definedName>
    <definedName name="도급예산액">#REF!</definedName>
    <definedName name="도급예상액">#REF!</definedName>
    <definedName name="도라지" localSheetId="6">'(검토2안) 공사기간'!ㄹ퓰</definedName>
    <definedName name="도라지">[0]!ㄹ퓰</definedName>
    <definedName name="도배바닥재">'(참고1)_1일작업량'!$B$76:$B$80</definedName>
    <definedName name="도시가스">[51]기계설비!$A$2:$D$63</definedName>
    <definedName name="도장">[14]일위대가서식!#REF!</definedName>
    <definedName name="동생" localSheetId="6">'(검토2안) 공사기간'!ㄹ퓰</definedName>
    <definedName name="동생">[0]!ㄹ퓰</definedName>
    <definedName name="동원">[7]Sheet3!$A$3:$AU$146</definedName>
    <definedName name="ㄹㅇㄹㅇ">#REF!,#REF!</definedName>
    <definedName name="ㄹㅇㅊ">#REF!,#REF!</definedName>
    <definedName name="ㄹㅇㅎ">#REF!,#REF!</definedName>
    <definedName name="ㄹ퓰" localSheetId="6">'(검토2안) 공사기간'!ㄹ퓰</definedName>
    <definedName name="ㄹ퓰">'(검토2안) 공사기간'!ㄹ퓰</definedName>
    <definedName name="ㄹㅎ퓨" localSheetId="6">'(검토2안) 공사기간'!FFF</definedName>
    <definedName name="ㄹㅎ퓨">[0]!FFF</definedName>
    <definedName name="레미콘운반">#REF!</definedName>
    <definedName name="로">[6]!Macro10</definedName>
    <definedName name="ㅁ1">[52]원가!#REF!</definedName>
    <definedName name="ㅁ235">#REF!</definedName>
    <definedName name="ㅁ25">[53]적용건축!$A$558</definedName>
    <definedName name="ㅁ250">#REF!</definedName>
    <definedName name="ㅁ30">[53]적용건축!$A$554</definedName>
    <definedName name="ㅁ302">[54]일위대가!#REF!</definedName>
    <definedName name="ㅁ545">#REF!</definedName>
    <definedName name="ㅁ60">[55]직노!#REF!</definedName>
    <definedName name="ㅁ636">#REF!</definedName>
    <definedName name="ㅁㄴㄹ">[56]FB25JN!$L$3:$M$3</definedName>
    <definedName name="ㅁㄴㄹㅁㄴㄹ">[13]FB25JN!$L$3:$M$3</definedName>
    <definedName name="ㅁㄴㄹㅇ">[56]FB25JN!$L$3:$M$3</definedName>
    <definedName name="ㅁㄴㄹㅇㄹ" localSheetId="6">'(검토2안) 공사기간'!ㅁㄴㄹㅇㄹ</definedName>
    <definedName name="ㅁㄴㄹㅇㄹ">'(검토2안) 공사기간'!ㅁㄴㄹㅇㄹ</definedName>
    <definedName name="ㅁㄴㄹㅇㅁㄴㄻㄴㅇㄹ">[56]FB25JN!$L$3:$M$3</definedName>
    <definedName name="ㅁㄴㅇ" localSheetId="6">'(검토2안) 공사기간'!ㄹ퓰</definedName>
    <definedName name="ㅁㄴㅇ">[0]!ㄹ퓰</definedName>
    <definedName name="ㅁㄴㅇㄹ">[57]FB25JN!$L$6:$M$6</definedName>
    <definedName name="ㅁㄴㅇㄹㄴㄴㄴ">[13]FB25JN!$L$3:$M$3</definedName>
    <definedName name="ㅁㄴㅇㄻㄴㄹ">[57]FB25JN!$L$6:$M$6</definedName>
    <definedName name="ㅁㄴㅇㄻㄴㅇㄹ">[56]FB25JN!$L$3:$M$3</definedName>
    <definedName name="ㅁㄴㅇㄻㄴㅇㄻㄴㅇㄹ">[56]FB25JN!$L$3:$M$3</definedName>
    <definedName name="ㅁㄴㅇㅇㅇㄹㅇㄹ">[56]FB25JN!$L$6:$M$6</definedName>
    <definedName name="ㅁㄹㅇㄹ">#REF!,#REF!</definedName>
    <definedName name="ㅁㅁ" hidden="1">#REF!</definedName>
    <definedName name="ㅁㅁㅁ">[56]FB25JN!$L$3:$M$3</definedName>
    <definedName name="ㅁㅁㅁㅁㅁ">[58]위치조서!#REF!</definedName>
    <definedName name="ㅁㅇㄹ">[56]FB25JN!$L$6:$M$6</definedName>
    <definedName name="마">[17]!Macro13</definedName>
    <definedName name="맘모스">'[59]단가표 (2)'!$A$2:$G$343</definedName>
    <definedName name="매입개방">[20]DATA!$E$6:$F$15</definedName>
    <definedName name="명__칭">#REF!</definedName>
    <definedName name="몰라">#REF!</definedName>
    <definedName name="몰탈" localSheetId="6">'(검토2안) 공사기간'!몰탈</definedName>
    <definedName name="몰탈">[0]!몰탈</definedName>
    <definedName name="몽탄인공산출">[60]수량산출!$A$32:$AA$122</definedName>
    <definedName name="무통">#REF!</definedName>
    <definedName name="문서의_처음">[7]Sheet1!#REF!</definedName>
    <definedName name="물가자료">#REF!</definedName>
    <definedName name="물탱크">#REF!</definedName>
    <definedName name="미">#REF!</definedName>
    <definedName name="미나" localSheetId="6">'(검토2안) 공사기간'!ㅈㄷㅂㄹ</definedName>
    <definedName name="미나">[0]!ㅈㄷㅂㄹ</definedName>
    <definedName name="미장공사">'(참고1)_1일작업량'!$B$50:$B$53</definedName>
    <definedName name="미진" localSheetId="6">'(검토2안) 공사기간'!NNG</definedName>
    <definedName name="미진">[0]!NNG</definedName>
    <definedName name="ㅂ">[61]FB25JN!$L$3:$M$3</definedName>
    <definedName name="ㅂㅈ">#REF!</definedName>
    <definedName name="ㅂㅈㄷ" localSheetId="6">'(검토2안) 공사기간'!jhg</definedName>
    <definedName name="ㅂㅈㄷ">[0]!jhg</definedName>
    <definedName name="ㅂㅈㄷㄴㅌ" localSheetId="6">'(검토2안) 공사기간'!juyjuy</definedName>
    <definedName name="ㅂㅈㄷㄴㅌ">[0]!juyjuy</definedName>
    <definedName name="ㅂㅈㅂㅈㅂㅈ">#REF!</definedName>
    <definedName name="바보">#REF!,#REF!</definedName>
    <definedName name="발주처">#REF!</definedName>
    <definedName name="방송설비">[7]Sheet1!$A$209:$AB$305</definedName>
    <definedName name="방수공사">'(참고1)_1일작업량'!$B$54:$B$58</definedName>
    <definedName name="배전">#REF!</definedName>
    <definedName name="배전반자재단가영">#REF!</definedName>
    <definedName name="법정">#REF!</definedName>
    <definedName name="보">'[62]횡배수관집현황(2공구)'!#REF!</definedName>
    <definedName name="보12">#REF!</definedName>
    <definedName name="보도">#REF!</definedName>
    <definedName name="보인">#REF!</definedName>
    <definedName name="보현" localSheetId="6">'(검토2안) 공사기간'!ㅁㄴㄹㅇㄹ</definedName>
    <definedName name="보현">[0]!ㅁㄴㄹㅇㄹ</definedName>
    <definedName name="부가가치세">#REF!</definedName>
    <definedName name="부가가치세요율">#REF!</definedName>
    <definedName name="부가가치세요율_변경">#REF!</definedName>
    <definedName name="부가세">#REF!</definedName>
    <definedName name="부가세율">#REF!</definedName>
    <definedName name="부가율">#REF!</definedName>
    <definedName name="부대">#REF!</definedName>
    <definedName name="부하FORM">#REF!</definedName>
    <definedName name="북이">[63]일위대가서식!#REF!</definedName>
    <definedName name="비계">#REF!</definedName>
    <definedName name="비목1">#REF!</definedName>
    <definedName name="비목2">#REF!</definedName>
    <definedName name="비목3">#REF!</definedName>
    <definedName name="비목4">#REF!</definedName>
    <definedName name="비용적">[64]비용적자료!$B$2:$B$102</definedName>
    <definedName name="비용적_㎥_㎏">#REF!</definedName>
    <definedName name="비용적1">[64]비용적자료!$F$2:$F$102</definedName>
    <definedName name="비인" localSheetId="6">'(검토2안) 공사기간'!MATRO</definedName>
    <definedName name="비인">[0]!MATRO</definedName>
    <definedName name="사">[65]날개수량1.5!$C$28:$P$31</definedName>
    <definedName name="사사월">[31]개요!#REF!</definedName>
    <definedName name="사월합">[31]개요!#REF!</definedName>
    <definedName name="사점오">[65]날개수량1.5!$C$32:$P$35</definedName>
    <definedName name="산재">#REF!</definedName>
    <definedName name="산재보험료">#REF!</definedName>
    <definedName name="산재보험료요율">#REF!</definedName>
    <definedName name="산재보험료요율_변경">#REF!</definedName>
    <definedName name="산재율">#REF!</definedName>
    <definedName name="산출근거1">#REF!</definedName>
    <definedName name="삼">[65]날개수량1.5!$C$20:$P$23</definedName>
    <definedName name="삼점오">[65]날개수량1.5!$C$24:$P$27</definedName>
    <definedName name="상호">[50]front!$AC$24</definedName>
    <definedName name="서해" localSheetId="6">'(검토2안) 공사기간'!서해</definedName>
    <definedName name="서해">[0]!서해</definedName>
    <definedName name="선로">'[66]48전력선로일위'!$A:$M</definedName>
    <definedName name="선로수량">'[42]48수량'!$A$7:$Q$253</definedName>
    <definedName name="설계">[67]FB25JN!$L$6:$M$6</definedName>
    <definedName name="소계">#REF!</definedName>
    <definedName name="소방">'[59]단가표 (2)'!$A$2:$G$343</definedName>
    <definedName name="소방내역서">'[59]단가표 (2)'!$A$2:$G$343</definedName>
    <definedName name="소방설비">[19]!Macro9</definedName>
    <definedName name="소화">#REF!</definedName>
    <definedName name="손해">#REF!</definedName>
    <definedName name="손해율">#REF!</definedName>
    <definedName name="송도" localSheetId="6">'(검토2안) 공사기간'!NNF</definedName>
    <definedName name="송도">[0]!NNF</definedName>
    <definedName name="쇼ㅕ">#REF!,#REF!,#REF!</definedName>
    <definedName name="수량계산">#REF!</definedName>
    <definedName name="수량산출">#REF!</definedName>
    <definedName name="수량산출1">#REF!</definedName>
    <definedName name="수량산출2">#REF!</definedName>
    <definedName name="수영" localSheetId="6">'(검토2안) 공사기간'!ㅁㄴㄹㅇㄹ</definedName>
    <definedName name="수영">[0]!ㅁㄴㄹㅇㄹ</definedName>
    <definedName name="수장공사">'(참고1)_1일작업량'!$B$65:$B$72</definedName>
    <definedName name="수진" localSheetId="6">'(검토2안) 공사기간'!NNF</definedName>
    <definedName name="수진">[0]!NNF</definedName>
    <definedName name="수현" localSheetId="6">'(검토2안) 공사기간'!수현</definedName>
    <definedName name="수현">[0]!수현</definedName>
    <definedName name="숙">#REF!</definedName>
    <definedName name="순공사">#REF!</definedName>
    <definedName name="순공사비">#REF!</definedName>
    <definedName name="순공사원가">#REF!</definedName>
    <definedName name="승호" localSheetId="6">'(검토2안) 공사기간'!MMK</definedName>
    <definedName name="승호">[0]!MMK</definedName>
    <definedName name="시멘">[68]총괄!#REF!</definedName>
    <definedName name="실행갑지">#REF!</definedName>
    <definedName name="ㅇ">#REF!</definedName>
    <definedName name="ㅇ10">#REF!</definedName>
    <definedName name="ㅇ20">#REF!</definedName>
    <definedName name="ㅇㄴㄹ">[13]FB25JN!$L$3:$M$3</definedName>
    <definedName name="ㅇㄴㄿ" localSheetId="6">'(검토2안) 공사기간'!ㅇㄴㄿ</definedName>
    <definedName name="ㅇㄴㄿ">'(검토2안) 공사기간'!ㅇㄴㄿ</definedName>
    <definedName name="ㅇㄴㅍ" localSheetId="6">'(검토2안) 공사기간'!ㅁㄴㄹㅇㄹ</definedName>
    <definedName name="ㅇㄴㅍ">[0]!ㅁㄴㄹㅇㄹ</definedName>
    <definedName name="ㅇㄹㅇㄹ" hidden="1">#REF!</definedName>
    <definedName name="ㅇㄿ">[6]!Macro13</definedName>
    <definedName name="ㅇㅇ">[45]경산!#REF!</definedName>
    <definedName name="ㅇㅇㄹ" hidden="1">#REF!</definedName>
    <definedName name="ㅇㅇㅇ" hidden="1">#REF!</definedName>
    <definedName name="ㅇㅇㅇㅇㅇ">#REF!</definedName>
    <definedName name="ㅇㅇㅇㅇㅇㅇㅇ">#REF!</definedName>
    <definedName name="아스관">[68]총괄!#REF!</definedName>
    <definedName name="아스콘">'[48]횡배수관집현황(2공구)'!#REF!</definedName>
    <definedName name="아아아앙">#REF!</definedName>
    <definedName name="아콘467">[68]총괄!#REF!</definedName>
    <definedName name="아콘78">[68]총괄!#REF!</definedName>
    <definedName name="아콘관">[68]총괄!#REF!</definedName>
    <definedName name="아트관">[68]총괄!#REF!</definedName>
    <definedName name="안전">#REF!</definedName>
    <definedName name="안전관리비">#REF!</definedName>
    <definedName name="안전관리비요율">#REF!</definedName>
    <definedName name="안전관리비요율_변경">#REF!</definedName>
    <definedName name="안전율">#REF!</definedName>
    <definedName name="암거">#REF!</definedName>
    <definedName name="양">#REF!</definedName>
    <definedName name="양호">[69]XL4Poppy!$C$31</definedName>
    <definedName name="양호1">[69]XL4Poppy!$C$9</definedName>
    <definedName name="양호3">[69]XL4Poppy!$B$1:$B$16</definedName>
    <definedName name="어">[70]위치!#REF!</definedName>
    <definedName name="연면적">#REF!</definedName>
    <definedName name="열차무선전화설비">[7]Sheet3!$A$625:$IV$669</definedName>
    <definedName name="영">#REF!,#REF!</definedName>
    <definedName name="영남" localSheetId="6">'(검토2안) 공사기간'!SSR</definedName>
    <definedName name="영남">[0]!SSR</definedName>
    <definedName name="영미" localSheetId="6">'(검토2안) 공사기간'!NNF</definedName>
    <definedName name="영미">[0]!NNF</definedName>
    <definedName name="오수받이">[71]위치조서!$J$8</definedName>
    <definedName name="옥내수량">'[42]22수량'!$A$8:$Q$703</definedName>
    <definedName name="온도">[64]비용적자료!$A$2:$A$102</definedName>
    <definedName name="온도1">[64]비용적자료!$E$2:$E$102</definedName>
    <definedName name="외벽" localSheetId="6">'(검토2안) 공사기간'!외벽</definedName>
    <definedName name="외벽">[0]!외벽</definedName>
    <definedName name="외주가공비">#REF!</definedName>
    <definedName name="외주변경">#REF!</definedName>
    <definedName name="용량">#REF!</definedName>
    <definedName name="용역비계">#REF!</definedName>
    <definedName name="용접">#REF!</definedName>
    <definedName name="우리나라" localSheetId="6">'(검토2안) 공사기간'!jhg</definedName>
    <definedName name="우리나라">[0]!jhg</definedName>
    <definedName name="운반">[72]일위대가!#REF!</definedName>
    <definedName name="운전">#REF!</definedName>
    <definedName name="운전사">#REF!</definedName>
    <definedName name="운전조">#REF!</definedName>
    <definedName name="원">[7]Sheet3!$A$2:$L$116</definedName>
    <definedName name="원가계산서">[7]Sheet3!$B$4:$N$19</definedName>
    <definedName name="원수">#REF!</definedName>
    <definedName name="위병면회소">[73]원가계산서!#REF!</definedName>
    <definedName name="위치">#REF!</definedName>
    <definedName name="을지">[12]FB25JN!$L$3:$M$3</definedName>
    <definedName name="을지양식">[29]내역!#REF!</definedName>
    <definedName name="의영" localSheetId="6">'(검토2안) 공사기간'!ㅁㄴㄹㅇㄹ</definedName>
    <definedName name="의영">[0]!ㅁㄴㄹㅇㄹ</definedName>
    <definedName name="이">[65]날개수량1.5!$C$12:$P$15</definedName>
    <definedName name="이라라랄">#REF!</definedName>
    <definedName name="이윤">#REF!</definedName>
    <definedName name="이윤요율">#REF!</definedName>
    <definedName name="이윤요율_변경">#REF!</definedName>
    <definedName name="이윤율">#REF!</definedName>
    <definedName name="이점오">[65]날개수량1.5!$C$16:$P$19</definedName>
    <definedName name="이태리">#REF!</definedName>
    <definedName name="이태리2">#REF!</definedName>
    <definedName name="이태리라">#REF!</definedName>
    <definedName name="이후">#REF!</definedName>
    <definedName name="이희성">#REF!</definedName>
    <definedName name="이희성1">#REF!</definedName>
    <definedName name="인공">#REF!</definedName>
    <definedName name="인공산출">#REF!</definedName>
    <definedName name="인당외기량">#REF!</definedName>
    <definedName name="일">[65]날개수량1.5!$C$4:$P$7</definedName>
    <definedName name="일대">#REF!</definedName>
    <definedName name="일반">#REF!</definedName>
    <definedName name="일반관리비">#REF!</definedName>
    <definedName name="일반관리비요율">#REF!</definedName>
    <definedName name="일반관리비요율_변경">#REF!</definedName>
    <definedName name="일반율">#REF!</definedName>
    <definedName name="일반통신설비">[7]Sheet1!$A$3:$AB$203</definedName>
    <definedName name="일본" localSheetId="6">'(검토2안) 공사기간'!sfd</definedName>
    <definedName name="일본">[0]!sfd</definedName>
    <definedName name="일사용시간">#REF!</definedName>
    <definedName name="일위">#REF!,#REF!</definedName>
    <definedName name="일위대가">#REF!</definedName>
    <definedName name="일위대가1">#REF!</definedName>
    <definedName name="일위대가2">#REF!</definedName>
    <definedName name="일위산출">[7]Sheet3!$B$3:$AJ$189</definedName>
    <definedName name="일위산출1">[7]Sheet3!$A$3:$AI$189</definedName>
    <definedName name="일점오">[65]날개수량1.5!$C$8:$P$11</definedName>
    <definedName name="ㅈㄷㅂㄹ" localSheetId="6">'(검토2안) 공사기간'!ㅈㄷㅂㄹ</definedName>
    <definedName name="ㅈㄷㅂㄹ">'(검토2안) 공사기간'!ㅈㄷㅂㄹ</definedName>
    <definedName name="ㅈㄷㅈㄷ">#REF!</definedName>
    <definedName name="ㅈㅂㄷ" localSheetId="6">'(검토2안) 공사기간'!ㅈㅂㄷ</definedName>
    <definedName name="ㅈㅂㄷ">'(검토2안) 공사기간'!ㅈㅂㄷ</definedName>
    <definedName name="ㅈㅂㄷㄹ" localSheetId="6">'(검토2안) 공사기간'!ㅈㅂㄷㄹ</definedName>
    <definedName name="ㅈㅂㄷㄹ">'(검토2안) 공사기간'!ㅈㅂㄷㄹ</definedName>
    <definedName name="ㅈㅂㅇㅈ">#REF!,#REF!</definedName>
    <definedName name="ㅈㅈㅈ">#REF!</definedName>
    <definedName name="자동안내방송설비">[7]Sheet3!$A$257:$IV$393</definedName>
    <definedName name="자동화재탐지설비">[7]Sheet1!$A$632:$AB$699</definedName>
    <definedName name="자료1">#REF!</definedName>
    <definedName name="자료2">#REF!</definedName>
    <definedName name="자재">#REF!</definedName>
    <definedName name="자재단가">[42]자재단가!$A$1:$Q$168</definedName>
    <definedName name="자재단가표">#REF!</definedName>
    <definedName name="자재중량" localSheetId="6">'(검토2안) 공사기간'!자재중량</definedName>
    <definedName name="자재중량">[0]!자재중량</definedName>
    <definedName name="자탐">#REF!</definedName>
    <definedName name="작업">#REF!</definedName>
    <definedName name="재료비">#REF!</definedName>
    <definedName name="재료비금액">#REF!</definedName>
    <definedName name="재료비단가">#REF!</definedName>
    <definedName name="재료집계3">[7]Sheet2!#REF!</definedName>
    <definedName name="재실인원">#REF!</definedName>
    <definedName name="저케">#REF!</definedName>
    <definedName name="전">#REF!</definedName>
    <definedName name="전기" localSheetId="6">'(검토2안) 공사기간'!전기</definedName>
    <definedName name="전기">[0]!전기</definedName>
    <definedName name="전기공" localSheetId="6">'(검토2안) 공사기간'!전기공</definedName>
    <definedName name="전기공">[0]!전기공</definedName>
    <definedName name="전기공임홍">#REF!</definedName>
    <definedName name="전화및TV공시청설비">[7]Sheet3!$A$4:$IV$255</definedName>
    <definedName name="접속면적">#REF!</definedName>
    <definedName name="접속현황">#REF!</definedName>
    <definedName name="조">'[74]표  지'!$J$8</definedName>
    <definedName name="조경공사">'(참고1)_1일작업량'!$B$95:$B$100</definedName>
    <definedName name="조명율표">[75]조명율표!$B$4:$F$495</definedName>
    <definedName name="조영">#REF!</definedName>
    <definedName name="조영수">#REF!</definedName>
    <definedName name="조장">#REF!</definedName>
    <definedName name="조적공사">'(참고1)_1일작업량'!$B$48:$B$49</definedName>
    <definedName name="종배수위치">#REF!</definedName>
    <definedName name="주소">[50]front!$AC$38</definedName>
    <definedName name="주호" localSheetId="6">'(검토2안) 공사기간'!ㄷㄹㅈ</definedName>
    <definedName name="주호">[0]!ㄷㄹㅈ</definedName>
    <definedName name="준호" localSheetId="6">'(검토2안) 공사기간'!SAF</definedName>
    <definedName name="준호">[0]!SAF</definedName>
    <definedName name="증감대비">#REF!</definedName>
    <definedName name="증감표">#REF!</definedName>
    <definedName name="지급2">[76]내역!#REF!</definedName>
    <definedName name="지역세목">#REF!</definedName>
    <definedName name="지원시설">[77]영창26!$A$3:$L$74</definedName>
    <definedName name="직접경비">#REF!</definedName>
    <definedName name="직접노무비">#REF!</definedName>
    <definedName name="직종">#REF!</definedName>
    <definedName name="진국" localSheetId="6">'(검토2안) 공사기간'!NNF</definedName>
    <definedName name="진국">[0]!NNF</definedName>
    <definedName name="ㅊ1555">#REF!</definedName>
    <definedName name="ㅊ5">#REF!</definedName>
    <definedName name="ㅊ520">[78]적용토목!#REF!</definedName>
    <definedName name="ㅊㅊ">'[79]48전력선로일위'!$A:$M</definedName>
    <definedName name="차선">#REF!</definedName>
    <definedName name="차선도">#REF!</definedName>
    <definedName name="차선도색집계">#REF!</definedName>
    <definedName name="창호유리공사">'(참고1)_1일작업량'!$B$63:$B$64</definedName>
    <definedName name="천" localSheetId="6">'(검토2안) 공사기간'!천</definedName>
    <definedName name="천">[0]!천</definedName>
    <definedName name="천붙이기" localSheetId="6">'(검토2안) 공사기간'!천붙이기</definedName>
    <definedName name="천붙이기">[0]!천붙이기</definedName>
    <definedName name="철10">#REF!</definedName>
    <definedName name="철13">#REF!</definedName>
    <definedName name="철16">#REF!</definedName>
    <definedName name="철19">#REF!</definedName>
    <definedName name="철22">#REF!</definedName>
    <definedName name="철25">#REF!</definedName>
    <definedName name="철29">#REF!</definedName>
    <definedName name="철32">#REF!</definedName>
    <definedName name="철H10">#REF!</definedName>
    <definedName name="철계">#REF!</definedName>
    <definedName name="철고10">#REF!</definedName>
    <definedName name="철고13">#REF!</definedName>
    <definedName name="철고16">#REF!</definedName>
    <definedName name="철고19">#REF!</definedName>
    <definedName name="철고22">#REF!</definedName>
    <definedName name="철고25">#REF!</definedName>
    <definedName name="철고29">#REF!</definedName>
    <definedName name="철고32">#REF!</definedName>
    <definedName name="철고계">#REF!</definedName>
    <definedName name="철고관">#REF!</definedName>
    <definedName name="철골공사">'(참고1)_1일작업량'!$B$45:$B$47</definedName>
    <definedName name="철공">#REF!</definedName>
    <definedName name="철관">#REF!</definedName>
    <definedName name="철근공사">'(참고1)_1일작업량'!$B$21:$B$25</definedName>
    <definedName name="청">[17]!Macro14</definedName>
    <definedName name="총괄표">#REF!</definedName>
    <definedName name="총원가">#REF!</definedName>
    <definedName name="총원가2">#REF!</definedName>
    <definedName name="충도리">#REF!</definedName>
    <definedName name="충산대" localSheetId="6">'(검토2안) 공사기간'!VGF</definedName>
    <definedName name="충산대">[0]!VGF</definedName>
    <definedName name="ㅋ1">[7]Sheet2!#REF!</definedName>
    <definedName name="ㅋㄴㄴ">#REF!,#REF!,#REF!</definedName>
    <definedName name="ㅋㅌㅇ" localSheetId="6">'(검토2안) 공사기간'!xcf</definedName>
    <definedName name="ㅋㅌㅇ">[0]!xcf</definedName>
    <definedName name="ㅋㅌㅊ" localSheetId="6">'(검토2안) 공사기간'!ㅋㅌㅊ</definedName>
    <definedName name="ㅋㅌㅊ">[0]!ㅋㅌㅊ</definedName>
    <definedName name="ㅋㅌㅌ" localSheetId="6">'(검토2안) 공사기간'!SSX</definedName>
    <definedName name="ㅋㅌㅌ">[0]!SSX</definedName>
    <definedName name="콘100">#REF!</definedName>
    <definedName name="콘160">[68]총괄!#REF!</definedName>
    <definedName name="콘180">[68]총괄!#REF!</definedName>
    <definedName name="콘210">[68]총괄!#REF!</definedName>
    <definedName name="콘240">#REF!</definedName>
    <definedName name="콘270">#REF!</definedName>
    <definedName name="콘관">#REF!</definedName>
    <definedName name="콘크">#REF!</definedName>
    <definedName name="콘크리트공사">'(참고1)_1일작업량'!$B$41:$B$44</definedName>
    <definedName name="ㅌㅊㅍ" localSheetId="6">'(검토2안) 공사기간'!ㅌㅊㅍ</definedName>
    <definedName name="ㅌㅊㅍ">'(검토2안) 공사기간'!ㅌㅊㅍ</definedName>
    <definedName name="타일공사">'(참고1)_1일작업량'!$B$59:$B$62</definedName>
    <definedName name="택코">[68]총괄!#REF!</definedName>
    <definedName name="터">#REF!</definedName>
    <definedName name="텍스붙임">[80]일위대가서식!#REF!</definedName>
    <definedName name="토공사">'(참고1)_1일작업량'!$B$10:$B$14</definedName>
    <definedName name="통" localSheetId="6">'(검토2안) 공사기간'!통</definedName>
    <definedName name="통">[0]!통</definedName>
    <definedName name="통신" localSheetId="6">'(검토2안) 공사기간'!통신</definedName>
    <definedName name="통신">[0]!통신</definedName>
    <definedName name="통신자재" localSheetId="6">'(검토2안) 공사기간'!통신자재</definedName>
    <definedName name="통신자재">[0]!통신자재</definedName>
    <definedName name="퇴직">#REF!</definedName>
    <definedName name="퇴직율">#REF!</definedName>
    <definedName name="특고">#REF!</definedName>
    <definedName name="특별">#REF!</definedName>
    <definedName name="파이프펜던트">[20]DATA!$E$17:$F$26</definedName>
    <definedName name="포장">#REF!</definedName>
    <definedName name="포장1">#REF!</definedName>
    <definedName name="포장수량1">#REF!</definedName>
    <definedName name="표">#REF!</definedName>
    <definedName name="표층t">[56]접속도로1!#REF!</definedName>
    <definedName name="품명">#REF!</definedName>
    <definedName name="프라">[68]총괄!#REF!</definedName>
    <definedName name="플로어링깔기" localSheetId="6">'(검토2안) 공사기간'!플로어링깔기</definedName>
    <definedName name="플로어링깔기">[0]!플로어링깔기</definedName>
    <definedName name="ㅎ10">[81]적용토목!#REF!</definedName>
    <definedName name="ㅎ384">#REF!</definedName>
    <definedName name="ㅎㄴ" localSheetId="6">'(검토2안) 공사기간'!REUIHGURI</definedName>
    <definedName name="ㅎㄴ">[0]!REUIHGURI</definedName>
    <definedName name="ㅎ류" localSheetId="6">'(검토2안) 공사기간'!SDRFE</definedName>
    <definedName name="ㅎ류">[0]!SDRFE</definedName>
    <definedName name="하론">#REF!</definedName>
    <definedName name="한국" localSheetId="6">'(검토2안) 공사기간'!jhg</definedName>
    <definedName name="한국">[0]!jhg</definedName>
    <definedName name="한전2">[76]내역!#REF!</definedName>
    <definedName name="한전수탁비">#REF!</definedName>
    <definedName name="합계">#REF!</definedName>
    <definedName name="항목1">#REF!</definedName>
    <definedName name="행선안내게시기설비">[7]Sheet1!$A$485:$AB$515</definedName>
    <definedName name="허용전류">#REF!</definedName>
    <definedName name="허창영">#REF!,#REF!</definedName>
    <definedName name="허팡" localSheetId="6">'(검토2안) 공사기간'!dgh</definedName>
    <definedName name="허팡">[0]!dgh</definedName>
    <definedName name="형" localSheetId="6">'(검토2안) 공사기간'!NNG</definedName>
    <definedName name="형">[0]!NNG</definedName>
    <definedName name="형틀">#REF!</definedName>
    <definedName name="호남" localSheetId="6">'(검토2안) 공사기간'!bvvc</definedName>
    <definedName name="호남">[0]!bvvc</definedName>
    <definedName name="호서" localSheetId="6">'(검토2안) 공사기간'!호서</definedName>
    <definedName name="호서">'(검토2안) 공사기간'!호서</definedName>
    <definedName name="호진" localSheetId="6">'(검토2안) 공사기간'!BNH</definedName>
    <definedName name="호진">[0]!BNH</definedName>
    <definedName name="홁ㅎ" localSheetId="6">'(검토2안) 공사기간'!홁ㅎ</definedName>
    <definedName name="홁ㅎ">'(검토2안) 공사기간'!홁ㅎ</definedName>
    <definedName name="홍탁" localSheetId="6">'(검토2안) 공사기간'!xcf</definedName>
    <definedName name="홍탁">[0]!xcf</definedName>
    <definedName name="회수년">#REF!</definedName>
    <definedName name="횡배수위치">[82]위치조서!#REF!</definedName>
    <definedName name="후로" localSheetId="6">'(검토2안) 공사기간'!후로</definedName>
    <definedName name="후로">[0]!후로</definedName>
    <definedName name="후로링" localSheetId="6">'(검토2안) 공사기간'!후로링</definedName>
    <definedName name="후로링">[0]!후로링</definedName>
    <definedName name="흄100">[68]총괄!#REF!</definedName>
    <definedName name="흄120">[68]총괄!#REF!</definedName>
    <definedName name="흄150">[68]총괄!#REF!</definedName>
    <definedName name="흄30">[68]총괄!#REF!</definedName>
    <definedName name="흄45">[68]총괄!#REF!</definedName>
    <definedName name="흄50">[68]총괄!#REF!</definedName>
    <definedName name="흄60">[68]총괄!#REF!</definedName>
    <definedName name="흄80">[68]총괄!#REF!</definedName>
    <definedName name="흄90">[68]총괄!#REF!</definedName>
    <definedName name="흄관">[68]총괄!#REF!</definedName>
    <definedName name="희정" localSheetId="6">'(검토2안) 공사기간'!sfd</definedName>
    <definedName name="희정">[0]!sfd</definedName>
    <definedName name="ㅏ3">#REF!</definedName>
    <definedName name="ㅏ30">#REF!</definedName>
    <definedName name="ㅑ110">#REF!</definedName>
    <definedName name="ㅓ" localSheetId="6">'(검토2안) 공사기간'!jhg</definedName>
    <definedName name="ㅓ">[0]!jhg</definedName>
    <definedName name="ㅓ8">#REF!</definedName>
    <definedName name="ㅓㅗㅡ" localSheetId="6">'(검토2안) 공사기간'!DGRT</definedName>
    <definedName name="ㅓㅗㅡ">[0]!DGRT</definedName>
    <definedName name="ㅔㅔㅔㅔ">#REF!,#REF!</definedName>
    <definedName name="ㅗ1019">#REF!</definedName>
    <definedName name="ㅗ315">[83]신우!#REF!</definedName>
    <definedName name="ㅗ415">#REF!</definedName>
    <definedName name="ㅗ461">#REF!</definedName>
    <definedName name="ㅗ뉴" localSheetId="6">'(검토2안) 공사기간'!HGG</definedName>
    <definedName name="ㅗ뉴">[0]!HGG</definedName>
    <definedName name="ㅗㅠㅎㄹ" localSheetId="6">'(검토2안) 공사기간'!ㅗㅠㅎㄹ</definedName>
    <definedName name="ㅗㅠㅎㄹ">'(검토2안) 공사기간'!ㅗㅠㅎㄹ</definedName>
    <definedName name="ㅜ1">#REF!</definedName>
    <definedName name="ㅝㅗ허" localSheetId="6">'(검토2안) 공사기간'!ㅝㅗ허</definedName>
    <definedName name="ㅝㅗ허">'(검토2안) 공사기간'!ㅝㅗ허</definedName>
    <definedName name="ㅠㅜㅎ" localSheetId="6">'(검토2안) 공사기간'!ㅠㅜㅎ</definedName>
    <definedName name="ㅠㅜㅎ">'(검토2안) 공사기간'!ㅠㅜㅎ</definedName>
    <definedName name="ㅡ5">#REF!</definedName>
    <definedName name="ㅣ16">#REF!</definedName>
    <definedName name="ㅣㅣ">[17]!Macro10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24" l="1"/>
  <c r="F40" i="21"/>
  <c r="V60" i="21" a="1"/>
  <c r="V60" i="21" s="1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F32" i="13"/>
  <c r="H32" i="13" s="1"/>
  <c r="I32" i="13" s="1"/>
  <c r="K32" i="13" s="1"/>
  <c r="F31" i="13"/>
  <c r="H31" i="13" s="1"/>
  <c r="I31" i="13" s="1"/>
  <c r="K31" i="13" s="1"/>
  <c r="F30" i="13"/>
  <c r="H30" i="13" s="1"/>
  <c r="I30" i="13" s="1"/>
  <c r="K30" i="13" s="1"/>
  <c r="F29" i="13"/>
  <c r="H29" i="13" s="1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E32" i="13"/>
  <c r="E31" i="13"/>
  <c r="E30" i="13"/>
  <c r="E29" i="13"/>
  <c r="E28" i="13"/>
  <c r="E27" i="13"/>
  <c r="E26" i="13"/>
  <c r="E25" i="13"/>
  <c r="F41" i="21" s="1"/>
  <c r="E24" i="13"/>
  <c r="E23" i="13"/>
  <c r="E22" i="13"/>
  <c r="E21" i="13"/>
  <c r="F37" i="21" s="1"/>
  <c r="E20" i="13"/>
  <c r="E19" i="13"/>
  <c r="E18" i="13"/>
  <c r="E17" i="13"/>
  <c r="E16" i="13"/>
  <c r="E15" i="13"/>
  <c r="E14" i="13"/>
  <c r="F30" i="21" s="1"/>
  <c r="E13" i="13"/>
  <c r="E12" i="13"/>
  <c r="E11" i="13"/>
  <c r="E10" i="13"/>
  <c r="E9" i="13"/>
  <c r="E8" i="13"/>
  <c r="E7" i="13"/>
  <c r="F23" i="21" s="1"/>
  <c r="E6" i="13"/>
  <c r="E5" i="13"/>
  <c r="F21" i="21" s="1"/>
  <c r="L4" i="13"/>
  <c r="F4" i="13"/>
  <c r="E4" i="13"/>
  <c r="F20" i="21" s="1"/>
  <c r="D29" i="13"/>
  <c r="D28" i="13"/>
  <c r="D27" i="13"/>
  <c r="D26" i="13"/>
  <c r="D23" i="13"/>
  <c r="F39" i="21" s="1"/>
  <c r="D22" i="13"/>
  <c r="F38" i="21" s="1"/>
  <c r="D21" i="13"/>
  <c r="D20" i="13"/>
  <c r="D19" i="13"/>
  <c r="F35" i="21" s="1"/>
  <c r="D18" i="13"/>
  <c r="F34" i="21" s="1"/>
  <c r="D17" i="13"/>
  <c r="D16" i="13"/>
  <c r="D15" i="13"/>
  <c r="F31" i="21" s="1"/>
  <c r="D13" i="13"/>
  <c r="F29" i="21" s="1"/>
  <c r="D12" i="13"/>
  <c r="F28" i="21" s="1"/>
  <c r="D11" i="13"/>
  <c r="F27" i="21" s="1"/>
  <c r="D10" i="13"/>
  <c r="D9" i="13"/>
  <c r="F25" i="21" s="1"/>
  <c r="D8" i="13"/>
  <c r="D6" i="13"/>
  <c r="F22" i="21" s="1"/>
  <c r="B25" i="24"/>
  <c r="E17" i="24"/>
  <c r="E16" i="24"/>
  <c r="E15" i="24"/>
  <c r="E14" i="24"/>
  <c r="B9" i="24"/>
  <c r="N10" i="22"/>
  <c r="J13" i="22"/>
  <c r="J12" i="22"/>
  <c r="J11" i="22"/>
  <c r="J10" i="22"/>
  <c r="F13" i="22"/>
  <c r="F12" i="22"/>
  <c r="F11" i="22"/>
  <c r="F10" i="22"/>
  <c r="B13" i="22"/>
  <c r="B12" i="22"/>
  <c r="B11" i="22"/>
  <c r="B10" i="22"/>
  <c r="F6" i="17"/>
  <c r="F36" i="21" l="1"/>
  <c r="F24" i="21"/>
  <c r="F26" i="21"/>
  <c r="F32" i="21"/>
  <c r="F33" i="21"/>
  <c r="I29" i="13"/>
  <c r="K29" i="13" s="1"/>
  <c r="B7" i="22"/>
  <c r="C7" i="22"/>
  <c r="B67" i="22" s="1"/>
  <c r="D7" i="22"/>
  <c r="D20" i="22" a="1"/>
  <c r="D20" i="22" s="1"/>
  <c r="E20" i="22" a="1"/>
  <c r="E20" i="22" s="1"/>
  <c r="F20" i="22" a="1"/>
  <c r="F20" i="22" s="1"/>
  <c r="G20" i="22" a="1"/>
  <c r="G20" i="22" s="1"/>
  <c r="H20" i="22" a="1"/>
  <c r="H20" i="22" s="1"/>
  <c r="I20" i="22" a="1"/>
  <c r="I20" i="22" s="1"/>
  <c r="J20" i="22" a="1"/>
  <c r="J20" i="22" s="1"/>
  <c r="K20" i="22" a="1"/>
  <c r="K20" i="22" s="1"/>
  <c r="L20" i="22" a="1"/>
  <c r="L20" i="22" s="1"/>
  <c r="M20" i="22" a="1"/>
  <c r="M20" i="22" s="1"/>
  <c r="N20" i="22" a="1"/>
  <c r="N20" i="22" s="1"/>
  <c r="O20" i="22" a="1"/>
  <c r="O20" i="22" s="1"/>
  <c r="D21" i="22" a="1"/>
  <c r="D21" i="22" s="1"/>
  <c r="E21" i="22" a="1"/>
  <c r="E21" i="22" s="1"/>
  <c r="F21" i="22" a="1"/>
  <c r="F21" i="22" s="1"/>
  <c r="G21" i="22" a="1"/>
  <c r="G21" i="22" s="1"/>
  <c r="H21" i="22" a="1"/>
  <c r="H21" i="22" s="1"/>
  <c r="I21" i="22" a="1"/>
  <c r="I21" i="22" s="1"/>
  <c r="J21" i="22" a="1"/>
  <c r="J21" i="22" s="1"/>
  <c r="K21" i="22" a="1"/>
  <c r="K21" i="22" s="1"/>
  <c r="L21" i="22" a="1"/>
  <c r="L21" i="22" s="1"/>
  <c r="M21" i="22" a="1"/>
  <c r="M21" i="22" s="1"/>
  <c r="N21" i="22" a="1"/>
  <c r="N21" i="22" s="1"/>
  <c r="O21" i="22" a="1"/>
  <c r="O21" i="22" s="1"/>
  <c r="D22" i="22" a="1"/>
  <c r="D22" i="22" s="1"/>
  <c r="E22" i="22" a="1"/>
  <c r="E22" i="22" s="1"/>
  <c r="F22" i="22" a="1"/>
  <c r="F22" i="22" s="1"/>
  <c r="G22" i="22" a="1"/>
  <c r="G22" i="22" s="1"/>
  <c r="H22" i="22" a="1"/>
  <c r="H22" i="22" s="1"/>
  <c r="I22" i="22" a="1"/>
  <c r="I22" i="22" s="1"/>
  <c r="J22" i="22" a="1"/>
  <c r="J22" i="22" s="1"/>
  <c r="K22" i="22" a="1"/>
  <c r="K22" i="22" s="1"/>
  <c r="L22" i="22" a="1"/>
  <c r="L22" i="22" s="1"/>
  <c r="M22" i="22" a="1"/>
  <c r="M22" i="22" s="1"/>
  <c r="N22" i="22" a="1"/>
  <c r="N22" i="22" s="1"/>
  <c r="O22" i="22" a="1"/>
  <c r="O22" i="22" s="1"/>
  <c r="D23" i="22" a="1"/>
  <c r="D23" i="22" s="1"/>
  <c r="E23" i="22" a="1"/>
  <c r="E23" i="22" s="1"/>
  <c r="F23" i="22" a="1"/>
  <c r="F23" i="22" s="1"/>
  <c r="G23" i="22" a="1"/>
  <c r="G23" i="22" s="1"/>
  <c r="H23" i="22" a="1"/>
  <c r="H23" i="22" s="1"/>
  <c r="I23" i="22" a="1"/>
  <c r="I23" i="22" s="1"/>
  <c r="J23" i="22" a="1"/>
  <c r="J23" i="22" s="1"/>
  <c r="K23" i="22" a="1"/>
  <c r="K23" i="22" s="1"/>
  <c r="L23" i="22" a="1"/>
  <c r="L23" i="22" s="1"/>
  <c r="M23" i="22" a="1"/>
  <c r="M23" i="22" s="1"/>
  <c r="N23" i="22" a="1"/>
  <c r="N23" i="22" s="1"/>
  <c r="O23" i="22" a="1"/>
  <c r="O23" i="22" s="1"/>
  <c r="D28" i="22"/>
  <c r="E28" i="22"/>
  <c r="F28" i="22"/>
  <c r="G28" i="22"/>
  <c r="H28" i="22"/>
  <c r="I28" i="22"/>
  <c r="J28" i="22"/>
  <c r="K28" i="22"/>
  <c r="L28" i="22"/>
  <c r="M28" i="22"/>
  <c r="N28" i="22"/>
  <c r="O28" i="22"/>
  <c r="D32" i="22" a="1"/>
  <c r="D32" i="22" s="1"/>
  <c r="E32" i="22" a="1"/>
  <c r="E32" i="22" s="1"/>
  <c r="F32" i="22" a="1"/>
  <c r="F32" i="22" s="1"/>
  <c r="G32" i="22" a="1"/>
  <c r="G32" i="22" s="1"/>
  <c r="H32" i="22" a="1"/>
  <c r="H32" i="22" s="1"/>
  <c r="I32" i="22" a="1"/>
  <c r="I32" i="22" s="1"/>
  <c r="J32" i="22" a="1"/>
  <c r="J32" i="22" s="1"/>
  <c r="K32" i="22" a="1"/>
  <c r="K32" i="22" s="1"/>
  <c r="L32" i="22" a="1"/>
  <c r="L32" i="22" s="1"/>
  <c r="M32" i="22" a="1"/>
  <c r="M32" i="22" s="1"/>
  <c r="N32" i="22" a="1"/>
  <c r="N32" i="22" s="1"/>
  <c r="O32" i="22" a="1"/>
  <c r="O32" i="22" s="1"/>
  <c r="D33" i="22" a="1"/>
  <c r="D33" i="22" s="1"/>
  <c r="E33" i="22" a="1"/>
  <c r="E33" i="22" s="1"/>
  <c r="F33" i="22" a="1"/>
  <c r="F33" i="22" s="1"/>
  <c r="G33" i="22" a="1"/>
  <c r="G33" i="22" s="1"/>
  <c r="H33" i="22" a="1"/>
  <c r="H33" i="22" s="1"/>
  <c r="I33" i="22" a="1"/>
  <c r="I33" i="22" s="1"/>
  <c r="J33" i="22" a="1"/>
  <c r="J33" i="22" s="1"/>
  <c r="K33" i="22" a="1"/>
  <c r="K33" i="22" s="1"/>
  <c r="L33" i="22" a="1"/>
  <c r="L33" i="22" s="1"/>
  <c r="M33" i="22" a="1"/>
  <c r="M33" i="22" s="1"/>
  <c r="N33" i="22" a="1"/>
  <c r="N33" i="22" s="1"/>
  <c r="O33" i="22" a="1"/>
  <c r="O33" i="22" s="1"/>
  <c r="D34" i="22" a="1"/>
  <c r="D34" i="22" s="1"/>
  <c r="E34" i="22" a="1"/>
  <c r="E34" i="22" s="1"/>
  <c r="F34" i="22" a="1"/>
  <c r="F34" i="22" s="1"/>
  <c r="G34" i="22" a="1"/>
  <c r="G34" i="22" s="1"/>
  <c r="H34" i="22" a="1"/>
  <c r="H34" i="22" s="1"/>
  <c r="I34" i="22" a="1"/>
  <c r="I34" i="22" s="1"/>
  <c r="J34" i="22" a="1"/>
  <c r="J34" i="22" s="1"/>
  <c r="K34" i="22" a="1"/>
  <c r="K34" i="22" s="1"/>
  <c r="L34" i="22" a="1"/>
  <c r="L34" i="22" s="1"/>
  <c r="M34" i="22" a="1"/>
  <c r="M34" i="22" s="1"/>
  <c r="N34" i="22" a="1"/>
  <c r="N34" i="22" s="1"/>
  <c r="O34" i="22" a="1"/>
  <c r="O34" i="22" s="1"/>
  <c r="D35" i="22" a="1"/>
  <c r="D35" i="22" s="1"/>
  <c r="E35" i="22" a="1"/>
  <c r="E35" i="22" s="1"/>
  <c r="F35" i="22" a="1"/>
  <c r="F35" i="22" s="1"/>
  <c r="G35" i="22" a="1"/>
  <c r="G35" i="22" s="1"/>
  <c r="H35" i="22" a="1"/>
  <c r="H35" i="22" s="1"/>
  <c r="I35" i="22" a="1"/>
  <c r="I35" i="22" s="1"/>
  <c r="J35" i="22" a="1"/>
  <c r="J35" i="22" s="1"/>
  <c r="K35" i="22" a="1"/>
  <c r="K35" i="22" s="1"/>
  <c r="L35" i="22" a="1"/>
  <c r="L35" i="22" s="1"/>
  <c r="M35" i="22" a="1"/>
  <c r="M35" i="22" s="1"/>
  <c r="N35" i="22" a="1"/>
  <c r="N35" i="22" s="1"/>
  <c r="O35" i="22" a="1"/>
  <c r="O35" i="22" s="1"/>
  <c r="D40" i="22"/>
  <c r="E40" i="22"/>
  <c r="F40" i="22"/>
  <c r="G40" i="22"/>
  <c r="H40" i="22"/>
  <c r="I40" i="22"/>
  <c r="J40" i="22"/>
  <c r="K40" i="22"/>
  <c r="L40" i="22"/>
  <c r="M40" i="22"/>
  <c r="N40" i="22"/>
  <c r="O40" i="22"/>
  <c r="D44" i="22" a="1"/>
  <c r="D44" i="22" s="1"/>
  <c r="E44" i="22" a="1"/>
  <c r="E44" i="22" s="1"/>
  <c r="F44" i="22" a="1"/>
  <c r="F44" i="22" s="1"/>
  <c r="G44" i="22" a="1"/>
  <c r="G44" i="22" s="1"/>
  <c r="H44" i="22" a="1"/>
  <c r="H44" i="22" s="1"/>
  <c r="I44" i="22" a="1"/>
  <c r="I44" i="22" s="1"/>
  <c r="J44" i="22" a="1"/>
  <c r="J44" i="22" s="1"/>
  <c r="K44" i="22" a="1"/>
  <c r="K44" i="22" s="1"/>
  <c r="L44" i="22" a="1"/>
  <c r="L44" i="22" s="1"/>
  <c r="M44" i="22" a="1"/>
  <c r="M44" i="22" s="1"/>
  <c r="N44" i="22" a="1"/>
  <c r="N44" i="22" s="1"/>
  <c r="O44" i="22" a="1"/>
  <c r="O44" i="22" s="1"/>
  <c r="D45" i="22" a="1"/>
  <c r="D45" i="22" s="1"/>
  <c r="E45" i="22" a="1"/>
  <c r="E45" i="22" s="1"/>
  <c r="F45" i="22" a="1"/>
  <c r="F45" i="22" s="1"/>
  <c r="G45" i="22" a="1"/>
  <c r="G45" i="22" s="1"/>
  <c r="H45" i="22" a="1"/>
  <c r="H45" i="22" s="1"/>
  <c r="I45" i="22" a="1"/>
  <c r="I45" i="22" s="1"/>
  <c r="J45" i="22" a="1"/>
  <c r="J45" i="22" s="1"/>
  <c r="K45" i="22" a="1"/>
  <c r="K45" i="22" s="1"/>
  <c r="L45" i="22" a="1"/>
  <c r="L45" i="22" s="1"/>
  <c r="M45" i="22" a="1"/>
  <c r="M45" i="22" s="1"/>
  <c r="N45" i="22" a="1"/>
  <c r="N45" i="22" s="1"/>
  <c r="O45" i="22" a="1"/>
  <c r="O45" i="22" s="1"/>
  <c r="D46" i="22" a="1"/>
  <c r="D46" i="22" s="1"/>
  <c r="E46" i="22" a="1"/>
  <c r="E46" i="22" s="1"/>
  <c r="F46" i="22" a="1"/>
  <c r="F46" i="22" s="1"/>
  <c r="G46" i="22" a="1"/>
  <c r="G46" i="22" s="1"/>
  <c r="H46" i="22" a="1"/>
  <c r="H46" i="22" s="1"/>
  <c r="I46" i="22" a="1"/>
  <c r="I46" i="22" s="1"/>
  <c r="J46" i="22" a="1"/>
  <c r="J46" i="22" s="1"/>
  <c r="K46" i="22" a="1"/>
  <c r="K46" i="22" s="1"/>
  <c r="L46" i="22" a="1"/>
  <c r="L46" i="22" s="1"/>
  <c r="M46" i="22" a="1"/>
  <c r="M46" i="22" s="1"/>
  <c r="N46" i="22" a="1"/>
  <c r="N46" i="22" s="1"/>
  <c r="O46" i="22" a="1"/>
  <c r="O46" i="22" s="1"/>
  <c r="D47" i="22" a="1"/>
  <c r="D47" i="22" s="1"/>
  <c r="E47" i="22" a="1"/>
  <c r="E47" i="22" s="1"/>
  <c r="F47" i="22" a="1"/>
  <c r="F47" i="22" s="1"/>
  <c r="G47" i="22" a="1"/>
  <c r="G47" i="22" s="1"/>
  <c r="H47" i="22" a="1"/>
  <c r="H47" i="22" s="1"/>
  <c r="I47" i="22" a="1"/>
  <c r="I47" i="22" s="1"/>
  <c r="J47" i="22" a="1"/>
  <c r="J47" i="22" s="1"/>
  <c r="K47" i="22" a="1"/>
  <c r="K47" i="22" s="1"/>
  <c r="L47" i="22" a="1"/>
  <c r="L47" i="22" s="1"/>
  <c r="M47" i="22" a="1"/>
  <c r="M47" i="22" s="1"/>
  <c r="N47" i="22" a="1"/>
  <c r="N47" i="22" s="1"/>
  <c r="O47" i="22" a="1"/>
  <c r="O47" i="22" s="1"/>
  <c r="D52" i="22"/>
  <c r="E52" i="22"/>
  <c r="F52" i="22"/>
  <c r="G52" i="22"/>
  <c r="H52" i="22"/>
  <c r="I52" i="22"/>
  <c r="J52" i="22"/>
  <c r="K52" i="22"/>
  <c r="L52" i="22"/>
  <c r="M52" i="22"/>
  <c r="N52" i="22"/>
  <c r="O52" i="22"/>
  <c r="D56" i="22" a="1"/>
  <c r="D56" i="22" s="1"/>
  <c r="E56" i="22" a="1"/>
  <c r="E56" i="22" s="1"/>
  <c r="F56" i="22" a="1"/>
  <c r="F56" i="22" s="1"/>
  <c r="G56" i="22" a="1"/>
  <c r="G56" i="22" s="1"/>
  <c r="H56" i="22" a="1"/>
  <c r="H56" i="22" s="1"/>
  <c r="I56" i="22" a="1"/>
  <c r="I56" i="22" s="1"/>
  <c r="J56" i="22" a="1"/>
  <c r="J56" i="22" s="1"/>
  <c r="K56" i="22" a="1"/>
  <c r="K56" i="22" s="1"/>
  <c r="L56" i="22" a="1"/>
  <c r="L56" i="22" s="1"/>
  <c r="M56" i="22" a="1"/>
  <c r="M56" i="22" s="1"/>
  <c r="N56" i="22" a="1"/>
  <c r="N56" i="22" s="1"/>
  <c r="O56" i="22" a="1"/>
  <c r="O56" i="22" s="1"/>
  <c r="D57" i="22" a="1"/>
  <c r="D57" i="22" s="1"/>
  <c r="E57" i="22" a="1"/>
  <c r="E57" i="22" s="1"/>
  <c r="F57" i="22" a="1"/>
  <c r="F57" i="22" s="1"/>
  <c r="G57" i="22" a="1"/>
  <c r="G57" i="22" s="1"/>
  <c r="H57" i="22" a="1"/>
  <c r="H57" i="22" s="1"/>
  <c r="I57" i="22" a="1"/>
  <c r="I57" i="22" s="1"/>
  <c r="J57" i="22" a="1"/>
  <c r="J57" i="22" s="1"/>
  <c r="K57" i="22" a="1"/>
  <c r="K57" i="22" s="1"/>
  <c r="L57" i="22" a="1"/>
  <c r="L57" i="22" s="1"/>
  <c r="M57" i="22" a="1"/>
  <c r="M57" i="22" s="1"/>
  <c r="N57" i="22" a="1"/>
  <c r="N57" i="22" s="1"/>
  <c r="O57" i="22" a="1"/>
  <c r="O57" i="22" s="1"/>
  <c r="D58" i="22" a="1"/>
  <c r="D58" i="22" s="1"/>
  <c r="E58" i="22" a="1"/>
  <c r="E58" i="22" s="1"/>
  <c r="F58" i="22" a="1"/>
  <c r="F58" i="22" s="1"/>
  <c r="G58" i="22" a="1"/>
  <c r="G58" i="22" s="1"/>
  <c r="H58" i="22" a="1"/>
  <c r="H58" i="22" s="1"/>
  <c r="I58" i="22" a="1"/>
  <c r="I58" i="22" s="1"/>
  <c r="J58" i="22" a="1"/>
  <c r="J58" i="22" s="1"/>
  <c r="K58" i="22" a="1"/>
  <c r="K58" i="22" s="1"/>
  <c r="L58" i="22" a="1"/>
  <c r="L58" i="22" s="1"/>
  <c r="M58" i="22" a="1"/>
  <c r="M58" i="22" s="1"/>
  <c r="N58" i="22" a="1"/>
  <c r="N58" i="22" s="1"/>
  <c r="O58" i="22" a="1"/>
  <c r="O58" i="22" s="1"/>
  <c r="D59" i="22" a="1"/>
  <c r="D59" i="22" s="1"/>
  <c r="E59" i="22" a="1"/>
  <c r="E59" i="22" s="1"/>
  <c r="F59" i="22" a="1"/>
  <c r="F59" i="22" s="1"/>
  <c r="G59" i="22" a="1"/>
  <c r="G59" i="22" s="1"/>
  <c r="H59" i="22" a="1"/>
  <c r="H59" i="22" s="1"/>
  <c r="I59" i="22" a="1"/>
  <c r="I59" i="22" s="1"/>
  <c r="J59" i="22" a="1"/>
  <c r="J59" i="22" s="1"/>
  <c r="K59" i="22" a="1"/>
  <c r="K59" i="22" s="1"/>
  <c r="L59" i="22" a="1"/>
  <c r="L59" i="22" s="1"/>
  <c r="M59" i="22" a="1"/>
  <c r="M59" i="22" s="1"/>
  <c r="N59" i="22" a="1"/>
  <c r="N59" i="22" s="1"/>
  <c r="O59" i="22" a="1"/>
  <c r="O59" i="22" s="1"/>
  <c r="D64" i="22"/>
  <c r="E64" i="22"/>
  <c r="F64" i="22"/>
  <c r="G64" i="22"/>
  <c r="H64" i="22"/>
  <c r="I64" i="22"/>
  <c r="J64" i="22"/>
  <c r="K64" i="22"/>
  <c r="L64" i="22"/>
  <c r="M64" i="22"/>
  <c r="N64" i="22"/>
  <c r="O64" i="22"/>
  <c r="D68" i="22" a="1"/>
  <c r="D68" i="22" s="1"/>
  <c r="E68" i="22" a="1"/>
  <c r="E68" i="22" s="1"/>
  <c r="F68" i="22" a="1"/>
  <c r="F68" i="22" s="1"/>
  <c r="G68" i="22" a="1"/>
  <c r="G68" i="22" s="1"/>
  <c r="H68" i="22" a="1"/>
  <c r="H68" i="22" s="1"/>
  <c r="I68" i="22" a="1"/>
  <c r="I68" i="22" s="1"/>
  <c r="J68" i="22" a="1"/>
  <c r="J68" i="22" s="1"/>
  <c r="K68" i="22" a="1"/>
  <c r="K68" i="22" s="1"/>
  <c r="L68" i="22" a="1"/>
  <c r="L68" i="22" s="1"/>
  <c r="M68" i="22" a="1"/>
  <c r="M68" i="22" s="1"/>
  <c r="N68" i="22" a="1"/>
  <c r="N68" i="22" s="1"/>
  <c r="O68" i="22" a="1"/>
  <c r="O68" i="22" s="1"/>
  <c r="D69" i="22" a="1"/>
  <c r="D69" i="22" s="1"/>
  <c r="E69" i="22" a="1"/>
  <c r="E69" i="22" s="1"/>
  <c r="F69" i="22" a="1"/>
  <c r="F69" i="22" s="1"/>
  <c r="G69" i="22" a="1"/>
  <c r="G69" i="22" s="1"/>
  <c r="H69" i="22" a="1"/>
  <c r="H69" i="22" s="1"/>
  <c r="I69" i="22" a="1"/>
  <c r="I69" i="22" s="1"/>
  <c r="J69" i="22" a="1"/>
  <c r="J69" i="22" s="1"/>
  <c r="K69" i="22" a="1"/>
  <c r="K69" i="22" s="1"/>
  <c r="L69" i="22" a="1"/>
  <c r="L69" i="22" s="1"/>
  <c r="M69" i="22" a="1"/>
  <c r="M69" i="22" s="1"/>
  <c r="N69" i="22" a="1"/>
  <c r="N69" i="22" s="1"/>
  <c r="O69" i="22" a="1"/>
  <c r="O69" i="22" s="1"/>
  <c r="D70" i="22" a="1"/>
  <c r="D70" i="22" s="1"/>
  <c r="E70" i="22" a="1"/>
  <c r="E70" i="22" s="1"/>
  <c r="F70" i="22" a="1"/>
  <c r="F70" i="22" s="1"/>
  <c r="G70" i="22" a="1"/>
  <c r="G70" i="22" s="1"/>
  <c r="H70" i="22" a="1"/>
  <c r="H70" i="22" s="1"/>
  <c r="I70" i="22" a="1"/>
  <c r="I70" i="22" s="1"/>
  <c r="J70" i="22" a="1"/>
  <c r="J70" i="22" s="1"/>
  <c r="K70" i="22" a="1"/>
  <c r="K70" i="22" s="1"/>
  <c r="L70" i="22" a="1"/>
  <c r="L70" i="22" s="1"/>
  <c r="M70" i="22" a="1"/>
  <c r="M70" i="22" s="1"/>
  <c r="N70" i="22" a="1"/>
  <c r="N70" i="22" s="1"/>
  <c r="O70" i="22" a="1"/>
  <c r="O70" i="22" s="1"/>
  <c r="D71" i="22" a="1"/>
  <c r="D71" i="22" s="1"/>
  <c r="E71" i="22" a="1"/>
  <c r="E71" i="22" s="1"/>
  <c r="F71" i="22" a="1"/>
  <c r="F71" i="22" s="1"/>
  <c r="G71" i="22" a="1"/>
  <c r="G71" i="22" s="1"/>
  <c r="H71" i="22" a="1"/>
  <c r="H71" i="22" s="1"/>
  <c r="I71" i="22" a="1"/>
  <c r="I71" i="22" s="1"/>
  <c r="J71" i="22" a="1"/>
  <c r="J71" i="22" s="1"/>
  <c r="K71" i="22" a="1"/>
  <c r="K71" i="22" s="1"/>
  <c r="L71" i="22" a="1"/>
  <c r="L71" i="22" s="1"/>
  <c r="M71" i="22" a="1"/>
  <c r="M71" i="22" s="1"/>
  <c r="N71" i="22" a="1"/>
  <c r="N71" i="22" s="1"/>
  <c r="O71" i="22" a="1"/>
  <c r="O71" i="22" s="1"/>
  <c r="D76" i="22"/>
  <c r="E76" i="22"/>
  <c r="F76" i="22"/>
  <c r="G76" i="22"/>
  <c r="H76" i="22"/>
  <c r="I76" i="22"/>
  <c r="J76" i="22"/>
  <c r="K76" i="22"/>
  <c r="L76" i="22"/>
  <c r="M76" i="22"/>
  <c r="N76" i="22"/>
  <c r="O76" i="22"/>
  <c r="P52" i="22" l="1"/>
  <c r="P64" i="22"/>
  <c r="P40" i="22"/>
  <c r="P76" i="22"/>
  <c r="P28" i="22"/>
  <c r="O25" i="22" a="1"/>
  <c r="O25" i="22" s="1"/>
  <c r="J37" i="22" a="1"/>
  <c r="J37" i="22" s="1"/>
  <c r="J61" i="22" a="1"/>
  <c r="J61" i="22" s="1"/>
  <c r="L61" i="22" a="1"/>
  <c r="L61" i="22" s="1"/>
  <c r="K61" i="22" a="1"/>
  <c r="K61" i="22" s="1"/>
  <c r="D49" i="22" a="1"/>
  <c r="D49" i="22" s="1"/>
  <c r="I61" i="22" a="1"/>
  <c r="I61" i="22" s="1"/>
  <c r="I62" i="22" s="1"/>
  <c r="I63" i="22" s="1"/>
  <c r="I65" i="22" s="1"/>
  <c r="N25" i="22" a="1"/>
  <c r="N25" i="22" s="1"/>
  <c r="O73" i="22" a="1"/>
  <c r="O73" i="22" s="1"/>
  <c r="L37" i="22" a="1"/>
  <c r="L37" i="22" s="1"/>
  <c r="K37" i="22" a="1"/>
  <c r="K37" i="22" s="1"/>
  <c r="M25" i="22" a="1"/>
  <c r="M25" i="22" s="1"/>
  <c r="O49" i="22" a="1"/>
  <c r="O49" i="22" s="1"/>
  <c r="N49" i="22" a="1"/>
  <c r="N49" i="22" s="1"/>
  <c r="M49" i="22" a="1"/>
  <c r="M49" i="22" s="1"/>
  <c r="E25" i="22" a="1"/>
  <c r="E25" i="22" s="1"/>
  <c r="I49" i="22" a="1"/>
  <c r="I49" i="22" s="1"/>
  <c r="I73" i="22" a="1"/>
  <c r="I73" i="22" s="1"/>
  <c r="N73" i="22" a="1"/>
  <c r="N73" i="22" s="1"/>
  <c r="K25" i="22" a="1"/>
  <c r="K25" i="22" s="1"/>
  <c r="C25" i="22"/>
  <c r="H49" i="22" a="1"/>
  <c r="H49" i="22" s="1"/>
  <c r="L25" i="22" a="1"/>
  <c r="L25" i="22" s="1"/>
  <c r="M73" i="22" a="1"/>
  <c r="M73" i="22" s="1"/>
  <c r="D37" i="22" a="1"/>
  <c r="D37" i="22" s="1"/>
  <c r="O61" i="22" a="1"/>
  <c r="O61" i="22" s="1"/>
  <c r="H73" i="22" a="1"/>
  <c r="H73" i="22" s="1"/>
  <c r="M37" i="22" a="1"/>
  <c r="M37" i="22" s="1"/>
  <c r="M61" i="22" a="1"/>
  <c r="M61" i="22" s="1"/>
  <c r="G73" i="22" a="1"/>
  <c r="G73" i="22" s="1"/>
  <c r="N60" i="22"/>
  <c r="H60" i="22"/>
  <c r="O60" i="22"/>
  <c r="M60" i="22"/>
  <c r="H25" i="22" a="1"/>
  <c r="H25" i="22" s="1"/>
  <c r="G49" i="22" a="1"/>
  <c r="G49" i="22" s="1"/>
  <c r="G61" i="22" a="1"/>
  <c r="G61" i="22" s="1"/>
  <c r="F73" i="22" a="1"/>
  <c r="F73" i="22" s="1"/>
  <c r="I37" i="22" a="1"/>
  <c r="I37" i="22" s="1"/>
  <c r="F49" i="22" a="1"/>
  <c r="F49" i="22" s="1"/>
  <c r="C61" i="22"/>
  <c r="E73" i="22" a="1"/>
  <c r="E73" i="22" s="1"/>
  <c r="G25" i="22" a="1"/>
  <c r="G25" i="22" s="1"/>
  <c r="E37" i="22" a="1"/>
  <c r="E37" i="22" s="1"/>
  <c r="E49" i="22" a="1"/>
  <c r="E49" i="22" s="1"/>
  <c r="D73" i="22" a="1"/>
  <c r="D73" i="22" s="1"/>
  <c r="C73" i="22"/>
  <c r="H36" i="22"/>
  <c r="F25" i="22" a="1"/>
  <c r="F25" i="22" s="1"/>
  <c r="C37" i="22"/>
  <c r="C49" i="22"/>
  <c r="B43" i="22"/>
  <c r="P57" i="22"/>
  <c r="E60" i="22"/>
  <c r="F48" i="22"/>
  <c r="F50" i="22" s="1"/>
  <c r="F51" i="22" s="1"/>
  <c r="F53" i="22" s="1"/>
  <c r="L60" i="22"/>
  <c r="H72" i="22"/>
  <c r="P45" i="22"/>
  <c r="N72" i="22"/>
  <c r="K60" i="22"/>
  <c r="L49" i="22" a="1"/>
  <c r="L49" i="22" s="1"/>
  <c r="D61" i="22" a="1"/>
  <c r="D61" i="22" s="1"/>
  <c r="L73" i="22" a="1"/>
  <c r="L73" i="22" s="1"/>
  <c r="B19" i="22"/>
  <c r="P59" i="22"/>
  <c r="P71" i="22"/>
  <c r="J25" i="22" a="1"/>
  <c r="J25" i="22" s="1"/>
  <c r="O37" i="22" a="1"/>
  <c r="O37" i="22" s="1"/>
  <c r="H37" i="22" a="1"/>
  <c r="H37" i="22" s="1"/>
  <c r="K49" i="22" a="1"/>
  <c r="K49" i="22" s="1"/>
  <c r="H61" i="22" a="1"/>
  <c r="H61" i="22" s="1"/>
  <c r="H62" i="22" s="1"/>
  <c r="H63" i="22" s="1"/>
  <c r="H65" i="22" s="1"/>
  <c r="K73" i="22" a="1"/>
  <c r="K73" i="22" s="1"/>
  <c r="B31" i="22"/>
  <c r="H48" i="22"/>
  <c r="G72" i="22"/>
  <c r="N48" i="22"/>
  <c r="G60" i="22"/>
  <c r="I60" i="22"/>
  <c r="D25" i="22" a="1"/>
  <c r="D25" i="22" s="1"/>
  <c r="I25" i="22" a="1"/>
  <c r="I25" i="22" s="1"/>
  <c r="N37" i="22" a="1"/>
  <c r="N37" i="22" s="1"/>
  <c r="G37" i="22" a="1"/>
  <c r="G37" i="22" s="1"/>
  <c r="J49" i="22" a="1"/>
  <c r="J49" i="22" s="1"/>
  <c r="F61" i="22" a="1"/>
  <c r="F61" i="22" s="1"/>
  <c r="J73" i="22" a="1"/>
  <c r="J73" i="22" s="1"/>
  <c r="B55" i="22"/>
  <c r="G36" i="22"/>
  <c r="P21" i="22"/>
  <c r="H24" i="22"/>
  <c r="F37" i="22" a="1"/>
  <c r="F37" i="22" s="1"/>
  <c r="N61" i="22" a="1"/>
  <c r="N61" i="22" s="1"/>
  <c r="E61" i="22" a="1"/>
  <c r="E61" i="22" s="1"/>
  <c r="I72" i="22"/>
  <c r="I48" i="22"/>
  <c r="I36" i="22"/>
  <c r="I24" i="22"/>
  <c r="F72" i="22"/>
  <c r="F60" i="22"/>
  <c r="O48" i="22"/>
  <c r="O36" i="22"/>
  <c r="F36" i="22"/>
  <c r="O24" i="22"/>
  <c r="F24" i="22"/>
  <c r="N36" i="22"/>
  <c r="N24" i="22"/>
  <c r="N26" i="22" s="1"/>
  <c r="E24" i="22"/>
  <c r="P56" i="22"/>
  <c r="E48" i="22"/>
  <c r="E36" i="22"/>
  <c r="P22" i="22"/>
  <c r="M24" i="22"/>
  <c r="P69" i="22"/>
  <c r="P47" i="22"/>
  <c r="P35" i="22"/>
  <c r="P70" i="22"/>
  <c r="M72" i="22"/>
  <c r="D72" i="22"/>
  <c r="P68" i="22"/>
  <c r="P58" i="22"/>
  <c r="P46" i="22"/>
  <c r="M48" i="22"/>
  <c r="P44" i="22"/>
  <c r="D48" i="22"/>
  <c r="P34" i="22"/>
  <c r="M36" i="22"/>
  <c r="P32" i="22"/>
  <c r="D36" i="22"/>
  <c r="P20" i="22"/>
  <c r="D24" i="22"/>
  <c r="P23" i="22"/>
  <c r="O72" i="22"/>
  <c r="L72" i="22"/>
  <c r="L36" i="22"/>
  <c r="L24" i="22"/>
  <c r="P33" i="22"/>
  <c r="K72" i="22"/>
  <c r="G48" i="22"/>
  <c r="L48" i="22"/>
  <c r="K24" i="22"/>
  <c r="J60" i="22"/>
  <c r="K48" i="22"/>
  <c r="K36" i="22"/>
  <c r="G24" i="22"/>
  <c r="E72" i="22"/>
  <c r="J72" i="22"/>
  <c r="J48" i="22"/>
  <c r="J36" i="22"/>
  <c r="J24" i="22"/>
  <c r="D60" i="22"/>
  <c r="O17" i="6"/>
  <c r="O16" i="6"/>
  <c r="O15" i="6"/>
  <c r="O14" i="6"/>
  <c r="O13" i="6"/>
  <c r="K38" i="22" l="1"/>
  <c r="H38" i="22"/>
  <c r="H39" i="22" s="1"/>
  <c r="H41" i="22" s="1"/>
  <c r="M38" i="22"/>
  <c r="K62" i="22"/>
  <c r="K63" i="22" s="1"/>
  <c r="K65" i="22" s="1"/>
  <c r="I38" i="22"/>
  <c r="H26" i="22"/>
  <c r="H27" i="22" s="1"/>
  <c r="H29" i="22" s="1"/>
  <c r="M62" i="22"/>
  <c r="M63" i="22" s="1"/>
  <c r="M65" i="22" s="1"/>
  <c r="L62" i="22"/>
  <c r="L63" i="22" s="1"/>
  <c r="L65" i="22" s="1"/>
  <c r="H74" i="22"/>
  <c r="H75" i="22" s="1"/>
  <c r="H77" i="22" s="1"/>
  <c r="M50" i="22"/>
  <c r="M51" i="22" s="1"/>
  <c r="M53" i="22" s="1"/>
  <c r="G50" i="22"/>
  <c r="G51" i="22" s="1"/>
  <c r="G53" i="22" s="1"/>
  <c r="N62" i="22"/>
  <c r="N63" i="22" s="1"/>
  <c r="N65" i="22" s="1"/>
  <c r="N74" i="22"/>
  <c r="N75" i="22" s="1"/>
  <c r="N77" i="22" s="1"/>
  <c r="O62" i="22"/>
  <c r="O63" i="22" s="1"/>
  <c r="O65" i="22" s="1"/>
  <c r="F26" i="22"/>
  <c r="F27" i="22" s="1"/>
  <c r="F29" i="22" s="1"/>
  <c r="O26" i="22"/>
  <c r="O27" i="22" s="1"/>
  <c r="O29" i="22" s="1"/>
  <c r="G26" i="22"/>
  <c r="G27" i="22" s="1"/>
  <c r="G29" i="22" s="1"/>
  <c r="K50" i="22"/>
  <c r="K51" i="22" s="1"/>
  <c r="K53" i="22" s="1"/>
  <c r="N50" i="22"/>
  <c r="N51" i="22" s="1"/>
  <c r="N53" i="22" s="1"/>
  <c r="G38" i="22"/>
  <c r="G39" i="22" s="1"/>
  <c r="G41" i="22" s="1"/>
  <c r="G74" i="22"/>
  <c r="G75" i="22" s="1"/>
  <c r="G77" i="22" s="1"/>
  <c r="G62" i="22"/>
  <c r="G63" i="22" s="1"/>
  <c r="G65" i="22" s="1"/>
  <c r="K26" i="22"/>
  <c r="K27" i="22" s="1"/>
  <c r="K29" i="22" s="1"/>
  <c r="H50" i="22"/>
  <c r="H51" i="22" s="1"/>
  <c r="H53" i="22" s="1"/>
  <c r="P61" i="22"/>
  <c r="P73" i="22"/>
  <c r="E62" i="22"/>
  <c r="E63" i="22" s="1"/>
  <c r="E65" i="22" s="1"/>
  <c r="P49" i="22"/>
  <c r="P25" i="22"/>
  <c r="J74" i="22"/>
  <c r="J75" i="22" s="1"/>
  <c r="J77" i="22" s="1"/>
  <c r="P37" i="22"/>
  <c r="J50" i="22"/>
  <c r="J51" i="22" s="1"/>
  <c r="J53" i="22" s="1"/>
  <c r="F47" i="4"/>
  <c r="F38" i="4"/>
  <c r="F29" i="4"/>
  <c r="F20" i="4"/>
  <c r="F11" i="4"/>
  <c r="C11" i="4"/>
  <c r="C38" i="4"/>
  <c r="C47" i="4"/>
  <c r="C20" i="4"/>
  <c r="C29" i="4"/>
  <c r="H47" i="4"/>
  <c r="H38" i="4"/>
  <c r="H29" i="4"/>
  <c r="H20" i="4"/>
  <c r="H11" i="4"/>
  <c r="L47" i="4"/>
  <c r="L20" i="4"/>
  <c r="L38" i="4"/>
  <c r="L11" i="4"/>
  <c r="L29" i="4"/>
  <c r="D47" i="4"/>
  <c r="D38" i="4"/>
  <c r="D29" i="4"/>
  <c r="D20" i="4"/>
  <c r="D11" i="4"/>
  <c r="J47" i="4"/>
  <c r="J38" i="4"/>
  <c r="J20" i="4"/>
  <c r="J11" i="4"/>
  <c r="J29" i="4"/>
  <c r="E47" i="4"/>
  <c r="E38" i="4"/>
  <c r="E29" i="4"/>
  <c r="E20" i="4"/>
  <c r="E11" i="4"/>
  <c r="M47" i="4"/>
  <c r="M29" i="4"/>
  <c r="M20" i="4"/>
  <c r="M11" i="4"/>
  <c r="M38" i="4"/>
  <c r="I47" i="4"/>
  <c r="I38" i="4"/>
  <c r="I29" i="4"/>
  <c r="I20" i="4"/>
  <c r="I11" i="4"/>
  <c r="G47" i="4"/>
  <c r="G38" i="4"/>
  <c r="G29" i="4"/>
  <c r="G20" i="4"/>
  <c r="G11" i="4"/>
  <c r="N47" i="4"/>
  <c r="N11" i="4"/>
  <c r="N20" i="4"/>
  <c r="N29" i="4"/>
  <c r="N38" i="4"/>
  <c r="K29" i="4"/>
  <c r="K20" i="4"/>
  <c r="K47" i="4"/>
  <c r="K11" i="4"/>
  <c r="K38" i="4"/>
  <c r="M26" i="22"/>
  <c r="M27" i="22" s="1"/>
  <c r="M29" i="22" s="1"/>
  <c r="N27" i="22"/>
  <c r="N29" i="22" s="1"/>
  <c r="I39" i="22"/>
  <c r="I41" i="22" s="1"/>
  <c r="J38" i="22"/>
  <c r="J39" i="22" s="1"/>
  <c r="J41" i="22" s="1"/>
  <c r="P24" i="22"/>
  <c r="D26" i="22"/>
  <c r="D27" i="22" s="1"/>
  <c r="N38" i="22"/>
  <c r="N39" i="22" s="1"/>
  <c r="N41" i="22" s="1"/>
  <c r="F62" i="22"/>
  <c r="F63" i="22" s="1"/>
  <c r="F65" i="22" s="1"/>
  <c r="I50" i="22"/>
  <c r="I51" i="22" s="1"/>
  <c r="I53" i="22" s="1"/>
  <c r="O74" i="22"/>
  <c r="O75" i="22" s="1"/>
  <c r="O77" i="22" s="1"/>
  <c r="L26" i="22"/>
  <c r="L27" i="22" s="1"/>
  <c r="L29" i="22" s="1"/>
  <c r="E38" i="22"/>
  <c r="E39" i="22" s="1"/>
  <c r="E41" i="22" s="1"/>
  <c r="P48" i="22"/>
  <c r="D50" i="22"/>
  <c r="P36" i="22"/>
  <c r="P72" i="22"/>
  <c r="D74" i="22"/>
  <c r="D75" i="22" s="1"/>
  <c r="E50" i="22"/>
  <c r="E51" i="22" s="1"/>
  <c r="E53" i="22" s="1"/>
  <c r="F74" i="22"/>
  <c r="F75" i="22" s="1"/>
  <c r="F77" i="22" s="1"/>
  <c r="L38" i="22"/>
  <c r="L39" i="22" s="1"/>
  <c r="L41" i="22" s="1"/>
  <c r="I74" i="22"/>
  <c r="I75" i="22" s="1"/>
  <c r="I77" i="22" s="1"/>
  <c r="O38" i="22"/>
  <c r="O39" i="22" s="1"/>
  <c r="O41" i="22" s="1"/>
  <c r="M74" i="22"/>
  <c r="M75" i="22" s="1"/>
  <c r="M77" i="22" s="1"/>
  <c r="P60" i="22"/>
  <c r="D62" i="22"/>
  <c r="D63" i="22" s="1"/>
  <c r="L50" i="22"/>
  <c r="L51" i="22" s="1"/>
  <c r="L53" i="22" s="1"/>
  <c r="O50" i="22"/>
  <c r="O51" i="22" s="1"/>
  <c r="O53" i="22" s="1"/>
  <c r="M39" i="22"/>
  <c r="M41" i="22" s="1"/>
  <c r="K74" i="22"/>
  <c r="K75" i="22" s="1"/>
  <c r="K77" i="22" s="1"/>
  <c r="J26" i="22"/>
  <c r="J27" i="22" s="1"/>
  <c r="J29" i="22" s="1"/>
  <c r="E74" i="22"/>
  <c r="E75" i="22" s="1"/>
  <c r="E77" i="22" s="1"/>
  <c r="F38" i="22"/>
  <c r="F39" i="22" s="1"/>
  <c r="F41" i="22" s="1"/>
  <c r="E26" i="22"/>
  <c r="E27" i="22" s="1"/>
  <c r="E29" i="22" s="1"/>
  <c r="J62" i="22"/>
  <c r="J63" i="22" s="1"/>
  <c r="J65" i="22" s="1"/>
  <c r="I26" i="22"/>
  <c r="I27" i="22" s="1"/>
  <c r="I29" i="22" s="1"/>
  <c r="K39" i="22"/>
  <c r="K41" i="22" s="1"/>
  <c r="L74" i="22"/>
  <c r="L75" i="22" s="1"/>
  <c r="L77" i="22" s="1"/>
  <c r="D38" i="22"/>
  <c r="D39" i="22" s="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C5" i="17"/>
  <c r="C26" i="17"/>
  <c r="C6" i="17"/>
  <c r="C7" i="17"/>
  <c r="F7" i="17"/>
  <c r="C8" i="17"/>
  <c r="F8" i="17"/>
  <c r="C9" i="17"/>
  <c r="F9" i="17"/>
  <c r="C10" i="17"/>
  <c r="F10" i="17"/>
  <c r="F5" i="9"/>
  <c r="G44" i="13"/>
  <c r="D25" i="1" s="1"/>
  <c r="G41" i="13"/>
  <c r="D22" i="1" s="1"/>
  <c r="D29" i="9"/>
  <c r="E15" i="1" s="1"/>
  <c r="D28" i="9"/>
  <c r="D39" i="1" s="1"/>
  <c r="C26" i="9"/>
  <c r="H28" i="13"/>
  <c r="I28" i="13" s="1"/>
  <c r="K28" i="13" s="1"/>
  <c r="H27" i="13"/>
  <c r="I27" i="13" s="1"/>
  <c r="K27" i="13" s="1"/>
  <c r="H26" i="13"/>
  <c r="I26" i="13" s="1"/>
  <c r="K26" i="13" s="1"/>
  <c r="H25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I6" i="13" l="1"/>
  <c r="K6" i="13" s="1"/>
  <c r="G22" i="21"/>
  <c r="I20" i="13"/>
  <c r="K20" i="13" s="1"/>
  <c r="G36" i="21"/>
  <c r="I21" i="13"/>
  <c r="K21" i="13" s="1"/>
  <c r="G37" i="21"/>
  <c r="I19" i="13"/>
  <c r="K19" i="13" s="1"/>
  <c r="G35" i="21"/>
  <c r="I12" i="13"/>
  <c r="K12" i="13" s="1"/>
  <c r="G28" i="21"/>
  <c r="I25" i="13"/>
  <c r="H41" i="21" s="1"/>
  <c r="G41" i="21"/>
  <c r="I8" i="13"/>
  <c r="K8" i="13" s="1"/>
  <c r="G24" i="21"/>
  <c r="I13" i="13"/>
  <c r="G29" i="21"/>
  <c r="I18" i="13"/>
  <c r="G34" i="21"/>
  <c r="I7" i="13"/>
  <c r="G23" i="21"/>
  <c r="I9" i="13"/>
  <c r="C65" i="21" s="1"/>
  <c r="G25" i="21"/>
  <c r="I22" i="13"/>
  <c r="K22" i="13" s="1"/>
  <c r="G38" i="21"/>
  <c r="I14" i="13"/>
  <c r="K14" i="13" s="1"/>
  <c r="G30" i="21"/>
  <c r="I15" i="13"/>
  <c r="K15" i="13" s="1"/>
  <c r="G31" i="21"/>
  <c r="I5" i="13"/>
  <c r="K5" i="13" s="1"/>
  <c r="G21" i="21"/>
  <c r="I4" i="13"/>
  <c r="K4" i="13" s="1"/>
  <c r="G20" i="21"/>
  <c r="I17" i="13"/>
  <c r="K17" i="13" s="1"/>
  <c r="G33" i="21"/>
  <c r="I16" i="13"/>
  <c r="H32" i="21" s="1"/>
  <c r="G32" i="21"/>
  <c r="I11" i="13"/>
  <c r="K11" i="13" s="1"/>
  <c r="G27" i="21"/>
  <c r="I10" i="13"/>
  <c r="K10" i="13" s="1"/>
  <c r="G26" i="21"/>
  <c r="I23" i="13"/>
  <c r="G39" i="21"/>
  <c r="O29" i="4"/>
  <c r="O20" i="4"/>
  <c r="O38" i="4"/>
  <c r="D40" i="1"/>
  <c r="O47" i="4"/>
  <c r="O11" i="4"/>
  <c r="D65" i="22"/>
  <c r="P65" i="22" s="1"/>
  <c r="P63" i="22"/>
  <c r="P74" i="22"/>
  <c r="D41" i="22"/>
  <c r="P41" i="22" s="1"/>
  <c r="P39" i="22"/>
  <c r="D29" i="22"/>
  <c r="P29" i="22" s="1"/>
  <c r="P27" i="22"/>
  <c r="P50" i="22"/>
  <c r="P38" i="22"/>
  <c r="D51" i="22"/>
  <c r="P75" i="22"/>
  <c r="D77" i="22"/>
  <c r="P77" i="22" s="1"/>
  <c r="P62" i="22"/>
  <c r="P26" i="22"/>
  <c r="H24" i="13"/>
  <c r="G40" i="21" s="1"/>
  <c r="I24" i="13"/>
  <c r="K24" i="13" s="1"/>
  <c r="K18" i="13"/>
  <c r="C60" i="21"/>
  <c r="C63" i="21"/>
  <c r="K13" i="13"/>
  <c r="C62" i="21"/>
  <c r="C61" i="21"/>
  <c r="K7" i="13"/>
  <c r="C64" i="21"/>
  <c r="E12" i="1"/>
  <c r="N5" i="21"/>
  <c r="H34" i="21"/>
  <c r="H22" i="21"/>
  <c r="H21" i="21"/>
  <c r="H35" i="21"/>
  <c r="H23" i="21"/>
  <c r="H20" i="21"/>
  <c r="H31" i="21"/>
  <c r="C67" i="21"/>
  <c r="H30" i="21"/>
  <c r="H29" i="21"/>
  <c r="C13" i="21"/>
  <c r="H27" i="21"/>
  <c r="H37" i="21"/>
  <c r="O13" i="21"/>
  <c r="H36" i="21"/>
  <c r="H24" i="21"/>
  <c r="C12" i="1"/>
  <c r="C15" i="1"/>
  <c r="K16" i="13" l="1"/>
  <c r="H25" i="21"/>
  <c r="H26" i="21"/>
  <c r="K25" i="13"/>
  <c r="H28" i="21"/>
  <c r="K9" i="13"/>
  <c r="K33" i="13" s="1"/>
  <c r="H38" i="21"/>
  <c r="C66" i="21"/>
  <c r="H33" i="21"/>
  <c r="H39" i="21"/>
  <c r="W60" i="21" a="1"/>
  <c r="W60" i="21" s="1"/>
  <c r="E60" i="21" s="1" a="1"/>
  <c r="E60" i="21" s="1"/>
  <c r="K23" i="13"/>
  <c r="P51" i="22"/>
  <c r="D53" i="22"/>
  <c r="P53" i="22" s="1"/>
  <c r="H40" i="21"/>
  <c r="H29" i="11"/>
  <c r="I29" i="11" s="1"/>
  <c r="H30" i="11"/>
  <c r="I30" i="11" s="1"/>
  <c r="H33" i="11"/>
  <c r="I33" i="11" s="1"/>
  <c r="H31" i="11"/>
  <c r="I31" i="11" s="1"/>
  <c r="H32" i="11"/>
  <c r="I32" i="11" s="1"/>
  <c r="H13" i="11"/>
  <c r="I13" i="11" s="1"/>
  <c r="H36" i="11"/>
  <c r="H37" i="11"/>
  <c r="H38" i="11"/>
  <c r="H39" i="11"/>
  <c r="H34" i="11"/>
  <c r="H35" i="11"/>
  <c r="H4" i="11"/>
  <c r="H5" i="11"/>
  <c r="H22" i="11"/>
  <c r="I22" i="11" s="1"/>
  <c r="H23" i="11"/>
  <c r="I23" i="11" s="1"/>
  <c r="H24" i="11"/>
  <c r="I24" i="11" s="1"/>
  <c r="H25" i="11"/>
  <c r="I25" i="11" s="1"/>
  <c r="H26" i="11"/>
  <c r="I26" i="11" s="1"/>
  <c r="H27" i="11"/>
  <c r="I27" i="11" s="1"/>
  <c r="H28" i="11"/>
  <c r="I28" i="11" s="1"/>
  <c r="H19" i="11"/>
  <c r="H20" i="11"/>
  <c r="H21" i="11"/>
  <c r="H18" i="11"/>
  <c r="I18" i="11" s="1"/>
  <c r="H16" i="11"/>
  <c r="I16" i="11" s="1"/>
  <c r="H17" i="11"/>
  <c r="I17" i="11" s="1"/>
  <c r="I4" i="11" l="1"/>
  <c r="I5" i="11"/>
  <c r="I6" i="11"/>
  <c r="I7" i="11"/>
  <c r="I8" i="11"/>
  <c r="I9" i="11"/>
  <c r="I10" i="11"/>
  <c r="I11" i="11"/>
  <c r="I12" i="11"/>
  <c r="I14" i="11"/>
  <c r="I15" i="11"/>
  <c r="I19" i="11"/>
  <c r="I20" i="11"/>
  <c r="I21" i="11"/>
  <c r="I34" i="11"/>
  <c r="I35" i="11"/>
  <c r="I36" i="11"/>
  <c r="I37" i="11"/>
  <c r="I38" i="11"/>
  <c r="I39" i="11"/>
  <c r="G45" i="11" l="1"/>
  <c r="G47" i="11"/>
  <c r="G46" i="11"/>
  <c r="G44" i="11"/>
  <c r="I40" i="11"/>
  <c r="G43" i="13" l="1"/>
  <c r="D15" i="1"/>
  <c r="D32" i="1"/>
  <c r="D30" i="1"/>
  <c r="D12" i="1"/>
  <c r="D14" i="1"/>
  <c r="D31" i="1"/>
  <c r="G48" i="11"/>
  <c r="H48" i="11" s="1"/>
  <c r="D33" i="1"/>
  <c r="D16" i="1"/>
  <c r="C22" i="9"/>
  <c r="C21" i="9"/>
  <c r="C20" i="9"/>
  <c r="F17" i="9" l="1"/>
  <c r="F5" i="21"/>
  <c r="G13" i="21"/>
  <c r="C14" i="1"/>
  <c r="D24" i="1"/>
  <c r="D17" i="1"/>
  <c r="D34" i="1"/>
  <c r="E33" i="1" s="1"/>
  <c r="H44" i="11"/>
  <c r="H45" i="11"/>
  <c r="H46" i="11"/>
  <c r="H47" i="11"/>
  <c r="F16" i="9"/>
  <c r="F15" i="9"/>
  <c r="F14" i="9"/>
  <c r="F13" i="9"/>
  <c r="F12" i="9"/>
  <c r="F11" i="9"/>
  <c r="F10" i="9"/>
  <c r="F9" i="9"/>
  <c r="F8" i="9"/>
  <c r="F7" i="9"/>
  <c r="F6" i="9"/>
  <c r="C5" i="1"/>
  <c r="D18" i="1" l="1"/>
  <c r="D21" i="17" s="1"/>
  <c r="D20" i="17"/>
  <c r="E32" i="1"/>
  <c r="E30" i="1"/>
  <c r="E31" i="1"/>
  <c r="E34" i="1"/>
  <c r="D27" i="9"/>
  <c r="D30" i="9" l="1"/>
  <c r="D38" i="1"/>
  <c r="E14" i="1"/>
  <c r="O12" i="6"/>
  <c r="O11" i="6"/>
  <c r="O10" i="6"/>
  <c r="O9" i="6"/>
  <c r="O8" i="6"/>
  <c r="O7" i="6"/>
  <c r="O6" i="6"/>
  <c r="O5" i="6"/>
  <c r="O4" i="6"/>
  <c r="O3" i="6"/>
  <c r="C5" i="4"/>
  <c r="C3" i="4"/>
  <c r="C8" i="1"/>
  <c r="C7" i="1"/>
  <c r="C6" i="1"/>
  <c r="C4" i="1"/>
  <c r="B52" i="4" l="1"/>
  <c r="B34" i="4"/>
  <c r="B43" i="4"/>
  <c r="B25" i="4"/>
  <c r="B16" i="4"/>
  <c r="B26" i="4"/>
  <c r="B44" i="4"/>
  <c r="B35" i="4"/>
  <c r="B17" i="4"/>
  <c r="B8" i="4"/>
  <c r="D41" i="1"/>
  <c r="E17" i="1"/>
  <c r="C4" i="4" s="1"/>
  <c r="E30" i="9"/>
  <c r="T47" i="21" l="1" a="1"/>
  <c r="T47" i="21" s="1"/>
  <c r="E10" i="4" a="1"/>
  <c r="E10" i="4" s="1"/>
  <c r="E12" i="4" s="1"/>
  <c r="E13" i="4" s="1"/>
  <c r="E15" i="4" s="1"/>
  <c r="G10" i="4" a="1"/>
  <c r="G10" i="4" s="1"/>
  <c r="H10" i="4" a="1"/>
  <c r="H10" i="4" s="1"/>
  <c r="L10" i="4" a="1"/>
  <c r="L10" i="4" s="1"/>
  <c r="M10" i="4" a="1"/>
  <c r="M10" i="4" s="1"/>
  <c r="F10" i="4" a="1"/>
  <c r="F10" i="4" s="1"/>
  <c r="I10" i="4" a="1"/>
  <c r="I10" i="4" s="1"/>
  <c r="J10" i="4" a="1"/>
  <c r="J10" i="4" s="1"/>
  <c r="K10" i="4" a="1"/>
  <c r="K10" i="4" s="1"/>
  <c r="N10" i="4" a="1"/>
  <c r="N10" i="4" s="1"/>
  <c r="N12" i="4" s="1"/>
  <c r="N13" i="4" s="1"/>
  <c r="N15" i="4" s="1"/>
  <c r="D10" i="4" a="1"/>
  <c r="D10" i="4" s="1"/>
  <c r="C10" i="4" a="1"/>
  <c r="C10" i="4" s="1"/>
  <c r="H19" i="4" a="1"/>
  <c r="H19" i="4" s="1"/>
  <c r="H21" i="4" s="1"/>
  <c r="H22" i="4" s="1"/>
  <c r="H24" i="4" s="1"/>
  <c r="D19" i="4" a="1"/>
  <c r="D19" i="4" s="1"/>
  <c r="F19" i="4" a="1"/>
  <c r="F19" i="4" s="1"/>
  <c r="G19" i="4" a="1"/>
  <c r="G19" i="4" s="1"/>
  <c r="E19" i="4" a="1"/>
  <c r="E19" i="4" s="1"/>
  <c r="I19" i="4" a="1"/>
  <c r="I19" i="4" s="1"/>
  <c r="I21" i="4" s="1"/>
  <c r="I22" i="4" s="1"/>
  <c r="I24" i="4" s="1"/>
  <c r="J19" i="4" a="1"/>
  <c r="J19" i="4" s="1"/>
  <c r="K19" i="4" a="1"/>
  <c r="K19" i="4" s="1"/>
  <c r="L19" i="4" a="1"/>
  <c r="L19" i="4" s="1"/>
  <c r="N19" i="4" a="1"/>
  <c r="N19" i="4" s="1"/>
  <c r="C19" i="4" a="1"/>
  <c r="C19" i="4" s="1"/>
  <c r="M19" i="4" a="1"/>
  <c r="M19" i="4" s="1"/>
  <c r="I37" i="4" a="1"/>
  <c r="I37" i="4" s="1"/>
  <c r="L37" i="4" a="1"/>
  <c r="L37" i="4" s="1"/>
  <c r="E37" i="4" a="1"/>
  <c r="E37" i="4" s="1"/>
  <c r="J37" i="4" a="1"/>
  <c r="J37" i="4" s="1"/>
  <c r="J39" i="4" s="1"/>
  <c r="J40" i="4" s="1"/>
  <c r="J42" i="4" s="1"/>
  <c r="K37" i="4" a="1"/>
  <c r="K37" i="4" s="1"/>
  <c r="M37" i="4" a="1"/>
  <c r="M37" i="4" s="1"/>
  <c r="N37" i="4" a="1"/>
  <c r="N37" i="4" s="1"/>
  <c r="C37" i="4" a="1"/>
  <c r="C37" i="4" s="1"/>
  <c r="D37" i="4" a="1"/>
  <c r="D37" i="4" s="1"/>
  <c r="F37" i="4" a="1"/>
  <c r="F37" i="4" s="1"/>
  <c r="G37" i="4" a="1"/>
  <c r="G37" i="4" s="1"/>
  <c r="G39" i="4" s="1"/>
  <c r="G40" i="4" s="1"/>
  <c r="G42" i="4" s="1"/>
  <c r="H37" i="4" a="1"/>
  <c r="H37" i="4" s="1"/>
  <c r="I28" i="4" a="1"/>
  <c r="I28" i="4" s="1"/>
  <c r="E28" i="4" a="1"/>
  <c r="E28" i="4" s="1"/>
  <c r="G28" i="4" a="1"/>
  <c r="G28" i="4" s="1"/>
  <c r="G30" i="4" s="1"/>
  <c r="G31" i="4" s="1"/>
  <c r="G33" i="4" s="1"/>
  <c r="H28" i="4" a="1"/>
  <c r="H28" i="4" s="1"/>
  <c r="H30" i="4" s="1"/>
  <c r="H31" i="4" s="1"/>
  <c r="H33" i="4" s="1"/>
  <c r="C28" i="4" a="1"/>
  <c r="C28" i="4" s="1"/>
  <c r="F28" i="4" a="1"/>
  <c r="F28" i="4" s="1"/>
  <c r="N28" i="4" a="1"/>
  <c r="N28" i="4" s="1"/>
  <c r="N30" i="4" s="1"/>
  <c r="N31" i="4" s="1"/>
  <c r="N33" i="4" s="1"/>
  <c r="M28" i="4" a="1"/>
  <c r="M28" i="4" s="1"/>
  <c r="D28" i="4" a="1"/>
  <c r="D28" i="4" s="1"/>
  <c r="D30" i="4" s="1"/>
  <c r="D31" i="4" s="1"/>
  <c r="D33" i="4" s="1"/>
  <c r="L28" i="4" a="1"/>
  <c r="L28" i="4" s="1"/>
  <c r="K28" i="4" a="1"/>
  <c r="K28" i="4" s="1"/>
  <c r="J28" i="4" a="1"/>
  <c r="J28" i="4" s="1"/>
  <c r="J46" i="4" a="1"/>
  <c r="J46" i="4" s="1"/>
  <c r="L46" i="4" a="1"/>
  <c r="L46" i="4" s="1"/>
  <c r="M46" i="4" a="1"/>
  <c r="M46" i="4" s="1"/>
  <c r="E46" i="4" a="1"/>
  <c r="E46" i="4" s="1"/>
  <c r="G46" i="4" a="1"/>
  <c r="G46" i="4" s="1"/>
  <c r="H46" i="4" a="1"/>
  <c r="H46" i="4" s="1"/>
  <c r="I46" i="4" a="1"/>
  <c r="I46" i="4" s="1"/>
  <c r="K46" i="4" a="1"/>
  <c r="K46" i="4" s="1"/>
  <c r="N46" i="4" a="1"/>
  <c r="N46" i="4" s="1"/>
  <c r="D46" i="4" a="1"/>
  <c r="D46" i="4" s="1"/>
  <c r="C46" i="4" a="1"/>
  <c r="C46" i="4" s="1"/>
  <c r="F46" i="4" a="1"/>
  <c r="F46" i="4" s="1"/>
  <c r="F20" i="17"/>
  <c r="E41" i="1"/>
  <c r="E39" i="1"/>
  <c r="E40" i="1"/>
  <c r="E38" i="1"/>
  <c r="E18" i="1"/>
  <c r="F21" i="17" s="1"/>
  <c r="T46" i="21" l="1" a="1"/>
  <c r="T46" i="21" s="1"/>
  <c r="R46" i="21" s="1"/>
  <c r="G49" i="21"/>
  <c r="R47" i="21"/>
  <c r="F48" i="4"/>
  <c r="F49" i="4" s="1"/>
  <c r="F51" i="4" s="1"/>
  <c r="D48" i="4"/>
  <c r="D49" i="4" s="1"/>
  <c r="D51" i="4" s="1"/>
  <c r="F39" i="4"/>
  <c r="F40" i="4" s="1"/>
  <c r="F42" i="4" s="1"/>
  <c r="L21" i="4"/>
  <c r="L22" i="4" s="1"/>
  <c r="L24" i="4" s="1"/>
  <c r="J21" i="4"/>
  <c r="J22" i="4" s="1"/>
  <c r="J24" i="4" s="1"/>
  <c r="F30" i="4"/>
  <c r="F31" i="4" s="1"/>
  <c r="F33" i="4" s="1"/>
  <c r="F12" i="4"/>
  <c r="F13" i="4" s="1"/>
  <c r="F15" i="4" s="1"/>
  <c r="G48" i="4"/>
  <c r="G49" i="4" s="1"/>
  <c r="G51" i="4" s="1"/>
  <c r="C30" i="4"/>
  <c r="C31" i="4" s="1"/>
  <c r="O28" i="4"/>
  <c r="K39" i="4"/>
  <c r="K40" i="4" s="1"/>
  <c r="K42" i="4" s="1"/>
  <c r="E21" i="4"/>
  <c r="E22" i="4" s="1"/>
  <c r="E24" i="4" s="1"/>
  <c r="M12" i="4"/>
  <c r="M13" i="4" s="1"/>
  <c r="M15" i="4" s="1"/>
  <c r="J30" i="4"/>
  <c r="J31" i="4" s="1"/>
  <c r="J33" i="4" s="1"/>
  <c r="M21" i="4"/>
  <c r="M22" i="4" s="1"/>
  <c r="M24" i="4" s="1"/>
  <c r="K30" i="4"/>
  <c r="K31" i="4" s="1"/>
  <c r="K33" i="4" s="1"/>
  <c r="D12" i="4"/>
  <c r="D13" i="4" s="1"/>
  <c r="D15" i="4" s="1"/>
  <c r="K12" i="4"/>
  <c r="K13" i="4" s="1"/>
  <c r="K15" i="4" s="1"/>
  <c r="M30" i="4"/>
  <c r="M31" i="4" s="1"/>
  <c r="M33" i="4" s="1"/>
  <c r="K21" i="4"/>
  <c r="K22" i="4" s="1"/>
  <c r="K24" i="4" s="1"/>
  <c r="J12" i="4"/>
  <c r="J13" i="4" s="1"/>
  <c r="J15" i="4" s="1"/>
  <c r="N39" i="4"/>
  <c r="N40" i="4" s="1"/>
  <c r="N42" i="4" s="1"/>
  <c r="H48" i="4"/>
  <c r="H49" i="4" s="1"/>
  <c r="H51" i="4" s="1"/>
  <c r="E48" i="4"/>
  <c r="E49" i="4" s="1"/>
  <c r="E51" i="4" s="1"/>
  <c r="G21" i="4"/>
  <c r="G22" i="4" s="1"/>
  <c r="G24" i="4" s="1"/>
  <c r="L12" i="4"/>
  <c r="L13" i="4" s="1"/>
  <c r="L15" i="4" s="1"/>
  <c r="C48" i="4"/>
  <c r="C49" i="4" s="1"/>
  <c r="O46" i="4"/>
  <c r="C21" i="4"/>
  <c r="C22" i="4" s="1"/>
  <c r="O19" i="4"/>
  <c r="L30" i="4"/>
  <c r="L31" i="4" s="1"/>
  <c r="L33" i="4" s="1"/>
  <c r="N21" i="4"/>
  <c r="N22" i="4" s="1"/>
  <c r="N24" i="4" s="1"/>
  <c r="N48" i="4"/>
  <c r="N49" i="4" s="1"/>
  <c r="N51" i="4" s="1"/>
  <c r="D39" i="4"/>
  <c r="D40" i="4" s="1"/>
  <c r="D42" i="4" s="1"/>
  <c r="K48" i="4"/>
  <c r="K49" i="4" s="1"/>
  <c r="K51" i="4" s="1"/>
  <c r="C39" i="4"/>
  <c r="C40" i="4" s="1"/>
  <c r="O37" i="4"/>
  <c r="I48" i="4"/>
  <c r="I49" i="4" s="1"/>
  <c r="I51" i="4" s="1"/>
  <c r="I12" i="4"/>
  <c r="I13" i="4" s="1"/>
  <c r="I15" i="4" s="1"/>
  <c r="M39" i="4"/>
  <c r="M40" i="4" s="1"/>
  <c r="M42" i="4" s="1"/>
  <c r="M48" i="4"/>
  <c r="M49" i="4" s="1"/>
  <c r="M51" i="4" s="1"/>
  <c r="E39" i="4"/>
  <c r="E40" i="4" s="1"/>
  <c r="E42" i="4" s="1"/>
  <c r="F21" i="4"/>
  <c r="F22" i="4" s="1"/>
  <c r="F24" i="4" s="1"/>
  <c r="H12" i="4"/>
  <c r="H13" i="4" s="1"/>
  <c r="H15" i="4" s="1"/>
  <c r="H39" i="4"/>
  <c r="H40" i="4" s="1"/>
  <c r="H42" i="4" s="1"/>
  <c r="C12" i="4"/>
  <c r="O10" i="4"/>
  <c r="L48" i="4"/>
  <c r="L49" i="4" s="1"/>
  <c r="L51" i="4" s="1"/>
  <c r="E30" i="4"/>
  <c r="E31" i="4" s="1"/>
  <c r="E33" i="4" s="1"/>
  <c r="L39" i="4"/>
  <c r="L40" i="4" s="1"/>
  <c r="L42" i="4" s="1"/>
  <c r="D21" i="4"/>
  <c r="D22" i="4" s="1"/>
  <c r="D24" i="4" s="1"/>
  <c r="G12" i="4"/>
  <c r="G13" i="4" s="1"/>
  <c r="G15" i="4" s="1"/>
  <c r="J48" i="4"/>
  <c r="J49" i="4" s="1"/>
  <c r="J51" i="4" s="1"/>
  <c r="I30" i="4"/>
  <c r="I31" i="4" s="1"/>
  <c r="I33" i="4" s="1"/>
  <c r="I39" i="4"/>
  <c r="I40" i="4" s="1"/>
  <c r="I42" i="4" s="1"/>
  <c r="G47" i="21" l="1"/>
  <c r="C13" i="4"/>
  <c r="C15" i="4" s="1"/>
  <c r="T48" i="21" a="1"/>
  <c r="T48" i="21" s="1"/>
  <c r="G51" i="21" s="1"/>
  <c r="O49" i="4"/>
  <c r="C51" i="4"/>
  <c r="O40" i="4"/>
  <c r="C42" i="4"/>
  <c r="O12" i="4"/>
  <c r="O30" i="4"/>
  <c r="O39" i="4"/>
  <c r="C24" i="4"/>
  <c r="O22" i="4"/>
  <c r="C33" i="4"/>
  <c r="O31" i="4"/>
  <c r="O48" i="4"/>
  <c r="O21" i="4"/>
  <c r="O15" i="4" l="1"/>
  <c r="O16" i="4"/>
  <c r="O13" i="4"/>
  <c r="O52" i="4"/>
  <c r="O51" i="4"/>
  <c r="O25" i="4"/>
  <c r="O24" i="4"/>
  <c r="O43" i="4"/>
  <c r="O42" i="4"/>
  <c r="O34" i="4"/>
  <c r="O33" i="4"/>
  <c r="N55" i="4" l="1" a="1"/>
  <c r="N55" i="4" s="1"/>
  <c r="G42" i="13" l="1"/>
  <c r="B57" i="21"/>
  <c r="G53" i="21"/>
  <c r="C13" i="1" l="1"/>
  <c r="K13" i="21"/>
  <c r="G45" i="13"/>
  <c r="J6" i="21" s="1"/>
  <c r="J5" i="21"/>
  <c r="D23" i="1"/>
  <c r="J7" i="21" l="1"/>
  <c r="F6" i="21"/>
  <c r="I43" i="13"/>
  <c r="B7" i="21"/>
  <c r="I41" i="13"/>
  <c r="C17" i="1"/>
  <c r="I44" i="13"/>
  <c r="I45" i="13"/>
  <c r="B6" i="21" s="1"/>
  <c r="B5" i="21"/>
  <c r="D26" i="1"/>
  <c r="N7" i="21"/>
  <c r="F7" i="21"/>
  <c r="I42" i="13"/>
  <c r="N6" i="21"/>
  <c r="C18" i="1" l="1"/>
  <c r="B21" i="17" s="1"/>
  <c r="B34" i="17"/>
  <c r="C47" i="1"/>
  <c r="E7" i="22"/>
  <c r="E34" i="17"/>
  <c r="B30" i="17"/>
  <c r="B32" i="17" s="1"/>
  <c r="E30" i="17"/>
  <c r="B20" i="17"/>
  <c r="B31" i="17"/>
  <c r="C45" i="1"/>
  <c r="C44" i="1"/>
  <c r="C24" i="17" s="1"/>
  <c r="E22" i="1"/>
  <c r="E25" i="1"/>
  <c r="E24" i="1"/>
  <c r="E26" i="1"/>
  <c r="E23" i="1"/>
  <c r="C25" i="17" l="1"/>
  <c r="E18" i="24"/>
  <c r="E31" i="17"/>
  <c r="E32" i="17"/>
  <c r="E36" i="17"/>
  <c r="E35" i="17"/>
  <c r="B35" i="17"/>
  <c r="B36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산정기준</author>
  </authors>
  <commentList>
    <comment ref="G3" authorId="0" shapeId="0" xr:uid="{D9DB7431-B18F-4E2C-BD18-F6ECAC42985A}">
      <text>
        <r>
          <rPr>
            <sz val="11"/>
            <color theme="1"/>
            <rFont val="맑은 고딕"/>
            <family val="2"/>
            <scheme val="minor"/>
          </rPr>
          <t>투입조수 = 현장 동시 투입 표준 작업조 수.
부록4 1일작업량은 1개 조 기준값이며, 적용값 = 표준값 × 투입조수.
정해진 표준 조수는 없음 → CPM 계획기간 역산·실적치·전문가 판단으로 결정.
부록4 인원 증원과 중복 계상 금지. 소규모는 1 기본.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7" authorId="0" shapeId="0" xr:uid="{2C6801DD-E062-4891-8276-DF4757DB47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2층 이상 골조 = 기준일(21) × (지상층수 - 1). 1층은 행16에서 별도 산정. 지상층수는 '2. 기본정보'!C6 "지하/지상"의 / 뒤 값. H17=X 시 0.</t>
        </r>
      </text>
    </comment>
    <comment ref="I22" authorId="0" shapeId="0" xr:uid="{04D59E5F-6D6E-4C27-B16B-72D8ECDE78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마감공사(층당) = 기준일 × 지상층수. 지상층수는 '2. 기본정보'!C6 "지하/지상"의 / 뒤 값. G9=X 시 0.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<sst xmlns="http://schemas.openxmlformats.org/spreadsheetml/2006/main" count="1761" uniqueCount="778">
  <si>
    <t>공사명</t>
  </si>
  <si>
    <t>착수 예정일</t>
  </si>
  <si>
    <t>시설물 유형</t>
  </si>
  <si>
    <t>공사 지역</t>
  </si>
  <si>
    <t>구분</t>
  </si>
  <si>
    <t>내용</t>
  </si>
  <si>
    <t>비고</t>
  </si>
  <si>
    <t>① 준비기간</t>
  </si>
  <si>
    <t>② 비작업일수</t>
  </si>
  <si>
    <t>③ 작업일수</t>
  </si>
  <si>
    <t>④ 정리기간</t>
  </si>
  <si>
    <t>총 공사기간</t>
  </si>
  <si>
    <t>해당 공사의 정식 공사명을 입력</t>
  </si>
  <si>
    <t>기상 비작업일수 산정 기준 지역</t>
  </si>
  <si>
    <t>주공정 공종</t>
  </si>
  <si>
    <t>철근콘크리트공사</t>
  </si>
  <si>
    <t>비작업일수 산정 기준 공종</t>
  </si>
  <si>
    <t>학교</t>
  </si>
  <si>
    <t>Y = 129.06 × X^0.2557</t>
  </si>
  <si>
    <t>청사</t>
  </si>
  <si>
    <t>의료시설</t>
  </si>
  <si>
    <t>경찰서</t>
  </si>
  <si>
    <t>기숙사</t>
  </si>
  <si>
    <t>체육시설</t>
  </si>
  <si>
    <t>소방시설</t>
  </si>
  <si>
    <t>준비기간 내용</t>
  </si>
  <si>
    <t>산정 근거 메모</t>
  </si>
  <si>
    <t>참고용</t>
  </si>
  <si>
    <t>공동주택</t>
  </si>
  <si>
    <t>고속도로공사</t>
  </si>
  <si>
    <t>철도공사</t>
  </si>
  <si>
    <t>공동구공사</t>
  </si>
  <si>
    <t>상수도공사</t>
  </si>
  <si>
    <t>하천공사</t>
  </si>
  <si>
    <t>항만공사</t>
  </si>
  <si>
    <t>강교가설공사</t>
  </si>
  <si>
    <t>교량보수공사</t>
  </si>
  <si>
    <t>정리기간 내용</t>
  </si>
  <si>
    <t>소계</t>
  </si>
  <si>
    <t>적용일수</t>
  </si>
  <si>
    <t>A+B-C</t>
  </si>
  <si>
    <t>단위</t>
  </si>
  <si>
    <t>㎡</t>
  </si>
  <si>
    <t>철골공사</t>
  </si>
  <si>
    <t>데크플레이트 설치</t>
  </si>
  <si>
    <t>㎥</t>
  </si>
  <si>
    <t>-</t>
  </si>
  <si>
    <t>연도</t>
  </si>
  <si>
    <t>합계</t>
  </si>
  <si>
    <r>
      <t>「공공 건설공사의 공사기간 산정기준」</t>
    </r>
    <r>
      <rPr>
        <i/>
        <sz val="9"/>
        <color rgb="FF8B95A1"/>
        <rFont val="맑은 고딕"/>
        <family val="3"/>
        <charset val="129"/>
      </rPr>
      <t>(</t>
    </r>
    <r>
      <rPr>
        <i/>
        <sz val="9"/>
        <color rgb="FF8B95A1"/>
        <rFont val="Noto Sans CJK SC"/>
        <family val="2"/>
      </rPr>
      <t>국토교통부고시 제</t>
    </r>
    <r>
      <rPr>
        <i/>
        <sz val="9"/>
        <color rgb="FF8B95A1"/>
        <rFont val="맑은 고딕"/>
        <family val="3"/>
        <charset val="129"/>
      </rPr>
      <t>2024-1021</t>
    </r>
    <r>
      <rPr>
        <i/>
        <sz val="9"/>
        <color rgb="FF8B95A1"/>
        <rFont val="Noto Sans CJK SC"/>
        <family val="2"/>
      </rPr>
      <t>호</t>
    </r>
    <r>
      <rPr>
        <i/>
        <sz val="9"/>
        <color rgb="FF8B95A1"/>
        <rFont val="맑은 고딕"/>
        <family val="3"/>
        <charset val="129"/>
      </rPr>
      <t>) · 2026</t>
    </r>
    <r>
      <rPr>
        <i/>
        <sz val="9"/>
        <color rgb="FF8B95A1"/>
        <rFont val="Noto Sans CJK SC"/>
        <family val="2"/>
      </rPr>
      <t>년 가이드라인 적용</t>
    </r>
  </si>
  <si>
    <t>총공사비 (억원)</t>
  </si>
  <si>
    <t>일수 (일)</t>
  </si>
  <si>
    <t>비율 (%)</t>
  </si>
  <si>
    <t>법정공휴일 + 기상조건 비작업일</t>
  </si>
  <si>
    <t>준공검사 준비, 현장정리 등</t>
  </si>
  <si>
    <r>
      <t xml:space="preserve">추정금액 기준 </t>
    </r>
    <r>
      <rPr>
        <i/>
        <sz val="8"/>
        <color rgb="FF8B95A1"/>
        <rFont val="맑은 고딕"/>
        <family val="3"/>
        <charset val="129"/>
      </rPr>
      <t>(</t>
    </r>
    <r>
      <rPr>
        <i/>
        <sz val="8"/>
        <color rgb="FF8B95A1"/>
        <rFont val="Noto Sans CJK SC"/>
        <family val="2"/>
      </rPr>
      <t>부가세</t>
    </r>
    <r>
      <rPr>
        <i/>
        <sz val="8"/>
        <color rgb="FF8B95A1"/>
        <rFont val="맑은 고딕"/>
        <family val="3"/>
        <charset val="129"/>
      </rPr>
      <t>·</t>
    </r>
    <r>
      <rPr>
        <i/>
        <sz val="8"/>
        <color rgb="FF8B95A1"/>
        <rFont val="Noto Sans CJK SC"/>
        <family val="2"/>
      </rPr>
      <t>관급자재 포함</t>
    </r>
    <r>
      <rPr>
        <i/>
        <sz val="8"/>
        <color rgb="FF8B95A1"/>
        <rFont val="맑은 고딕"/>
        <family val="3"/>
        <charset val="129"/>
      </rPr>
      <t>)</t>
    </r>
  </si>
  <si>
    <r>
      <t xml:space="preserve">공사 착수 예정일 </t>
    </r>
    <r>
      <rPr>
        <i/>
        <sz val="8"/>
        <color rgb="FF8B95A1"/>
        <rFont val="맑은 고딕"/>
        <family val="3"/>
        <charset val="129"/>
      </rPr>
      <t>(YYYY-MM-DD)</t>
    </r>
  </si>
  <si>
    <t>200억원 이하</t>
  </si>
  <si>
    <t>300억원 이하</t>
  </si>
  <si>
    <t>대학·연구시설</t>
  </si>
  <si>
    <t>준비기간 (일)</t>
  </si>
  <si>
    <t>설계도서 검토, 안전관리계획 승인,
하도급업체 선정, 측량, 가설건물 설치,
주요 자재·장비 조달 등</t>
  </si>
  <si>
    <t>공연·전시시설 준비기간 적용</t>
  </si>
  <si>
    <r>
      <t>고시 제</t>
    </r>
    <r>
      <rPr>
        <i/>
        <sz val="8"/>
        <color rgb="FF8B95A1"/>
        <rFont val="맑은 고딕"/>
        <family val="3"/>
        <charset val="129"/>
      </rPr>
      <t>2</t>
    </r>
    <r>
      <rPr>
        <i/>
        <sz val="8"/>
        <color rgb="FF8B95A1"/>
        <rFont val="Noto Sans CJK SC"/>
        <family val="2"/>
      </rPr>
      <t>조제</t>
    </r>
    <r>
      <rPr>
        <i/>
        <sz val="8"/>
        <color rgb="FF8B95A1"/>
        <rFont val="맑은 고딕"/>
        <family val="3"/>
        <charset val="129"/>
      </rPr>
      <t>6</t>
    </r>
    <r>
      <rPr>
        <i/>
        <sz val="8"/>
        <color rgb="FF8B95A1"/>
        <rFont val="Noto Sans CJK SC"/>
        <family val="2"/>
      </rPr>
      <t>호 참조</t>
    </r>
  </si>
  <si>
    <t>45일</t>
  </si>
  <si>
    <t>180일</t>
  </si>
  <si>
    <t>90일</t>
  </si>
  <si>
    <t>포장공사(신설)</t>
  </si>
  <si>
    <t>50일</t>
  </si>
  <si>
    <t>포장공사(수선)</t>
  </si>
  <si>
    <t>60일</t>
  </si>
  <si>
    <t>80일</t>
  </si>
  <si>
    <t>40일</t>
  </si>
  <si>
    <t>PC교량공사</t>
  </si>
  <si>
    <t>70일</t>
  </si>
  <si>
    <t>정리기간 (일)</t>
  </si>
  <si>
    <t>준공검사 준비, 시설물 인수 행정절차,
청소 등 현장정리</t>
  </si>
  <si>
    <t>준공 전 1개월 적용</t>
  </si>
  <si>
    <r>
      <t>고시 제</t>
    </r>
    <r>
      <rPr>
        <i/>
        <sz val="8"/>
        <color rgb="FF8B95A1"/>
        <rFont val="맑은 고딕"/>
        <family val="3"/>
        <charset val="129"/>
      </rPr>
      <t>2</t>
    </r>
    <r>
      <rPr>
        <i/>
        <sz val="8"/>
        <color rgb="FF8B95A1"/>
        <rFont val="Noto Sans CJK SC"/>
        <family val="2"/>
      </rPr>
      <t>조제</t>
    </r>
    <r>
      <rPr>
        <i/>
        <sz val="8"/>
        <color rgb="FF8B95A1"/>
        <rFont val="맑은 고딕"/>
        <family val="3"/>
        <charset val="129"/>
      </rPr>
      <t>8</t>
    </r>
    <r>
      <rPr>
        <i/>
        <sz val="8"/>
        <color rgb="FF8B95A1"/>
        <rFont val="Noto Sans CJK SC"/>
        <family val="2"/>
      </rPr>
      <t>호 참조</t>
    </r>
  </si>
  <si>
    <t>공사기간 (개월)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</si>
  <si>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</si>
  <si>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</si>
  <si>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</si>
  <si>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</si>
  <si>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</si>
  <si>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</si>
  <si>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</si>
  <si>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</si>
  <si>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</si>
  <si>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</si>
  <si>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</si>
  <si>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</si>
  <si>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법정공휴일(B)</t>
  </si>
  <si>
    <t>기상비작업(A)</t>
  </si>
  <si>
    <t>중복일수(C)</t>
  </si>
  <si>
    <t>주40H 비작업</t>
  </si>
  <si>
    <t>램머(80kg) 다짐</t>
  </si>
  <si>
    <t>콘테이너형 가설건축물 설치</t>
  </si>
  <si>
    <t>강관지주 설치</t>
  </si>
  <si>
    <t>강관비계 설치</t>
  </si>
  <si>
    <t>H-Beam 철거</t>
  </si>
  <si>
    <t>기성말뚝 기초</t>
  </si>
  <si>
    <t>강관말뚝 두부정리</t>
  </si>
  <si>
    <t>콘크리트말뚝 두부정리</t>
  </si>
  <si>
    <t>합판거푸집 해체</t>
  </si>
  <si>
    <t>블록 보강쌓기</t>
  </si>
  <si>
    <t>시멘트 모르타르 바름</t>
  </si>
  <si>
    <t>콘크리트면 마무리</t>
  </si>
  <si>
    <t>경량기포 콘크리트 타설</t>
  </si>
  <si>
    <t>모르타르 타설</t>
  </si>
  <si>
    <t>바탕처리</t>
  </si>
  <si>
    <t>방수 프라이머 바름</t>
  </si>
  <si>
    <t>도막방수</t>
  </si>
  <si>
    <t>시트방수</t>
  </si>
  <si>
    <t>시멘트 액체방수</t>
  </si>
  <si>
    <t>목재데크 설치</t>
  </si>
  <si>
    <t>칸막이벽틀</t>
  </si>
  <si>
    <t>벽체합판</t>
  </si>
  <si>
    <t>수장합판</t>
  </si>
  <si>
    <t>합성수지 창호 설치</t>
  </si>
  <si>
    <t>창호유리 설치</t>
  </si>
  <si>
    <t>벽판설치 및 천정마감</t>
  </si>
  <si>
    <t>단열재 설치</t>
  </si>
  <si>
    <t>단열재(차음재) 깔기</t>
  </si>
  <si>
    <t>경량벽체틀 설치</t>
  </si>
  <si>
    <t>석고판 설치(벽)</t>
  </si>
  <si>
    <t>석고판 설치(천장)</t>
  </si>
  <si>
    <t>각형덕트 설치</t>
  </si>
  <si>
    <t>1. 공사 개요</t>
    <phoneticPr fontId="5" type="noConversion"/>
  </si>
  <si>
    <t>공사 기본정보 입력</t>
    <phoneticPr fontId="5" type="noConversion"/>
  </si>
  <si>
    <t>기타 건축물</t>
  </si>
  <si>
    <t>—</t>
  </si>
  <si>
    <t>Y = 155.94 × ln(X) − 82.355</t>
  </si>
  <si>
    <t>Y = -0.0385X² + 8.9084X + 140.87</t>
  </si>
  <si>
    <t>Y = -0.0154X² + 7.9986X + 145.51</t>
  </si>
  <si>
    <t>Y = 201.62 × ln(X) − 175.51</t>
  </si>
  <si>
    <t>공연·전시시설</t>
  </si>
  <si>
    <t>Y = -205.7 × ln(X) + 1,375.4</t>
  </si>
  <si>
    <t>Y = -0.0204X² + 6.6742X + 166.51</t>
  </si>
  <si>
    <t>공장, 창고</t>
  </si>
  <si>
    <t>Y = -0.0271X² + 6.9664X + 146.97</t>
  </si>
  <si>
    <t>Y = 112.19 × X^0.3719</t>
  </si>
  <si>
    <t>Y = -0.0497X² + 10.744X + 114.94</t>
  </si>
  <si>
    <t>Y = 공사기간(일)
X = 총공사비(억원)</t>
  </si>
  <si>
    <t>Y = -278.109 + 189.438×ln(C)</t>
  </si>
  <si>
    <t>Y = 공사기간(일)
C = 총공사비(억원)
A = 연면적(100㎡)
G = 지상층수(층)
B = 지하층수(층)</t>
  </si>
  <si>
    <t>10억원 이상</t>
  </si>
  <si>
    <t>연면적(㎡)</t>
    <phoneticPr fontId="5" type="noConversion"/>
  </si>
  <si>
    <t>규모(지하/지상)</t>
    <phoneticPr fontId="5" type="noConversion"/>
  </si>
  <si>
    <t>내용 · 근거</t>
  </si>
  <si>
    <t>적용 시설물 유형</t>
  </si>
  <si>
    <t>산정공식 결과 (Y)</t>
  </si>
  <si>
    <t>Y = 공사기간 (비작업일수 포함)</t>
  </si>
  <si>
    <t>표준공기 방식 총 공사기간</t>
  </si>
  <si>
    <t>Y + 준비기간 + 정리기간</t>
  </si>
  <si>
    <t>구분</t>
    <phoneticPr fontId="18" type="noConversion"/>
  </si>
  <si>
    <t>공종</t>
    <phoneticPr fontId="18" type="noConversion"/>
  </si>
  <si>
    <t>기준</t>
    <phoneticPr fontId="18" type="noConversion"/>
  </si>
  <si>
    <t>해당여부</t>
    <phoneticPr fontId="18" type="noConversion"/>
  </si>
  <si>
    <t>비고</t>
    <phoneticPr fontId="18" type="noConversion"/>
  </si>
  <si>
    <t>공사준비</t>
    <phoneticPr fontId="18" type="noConversion"/>
  </si>
  <si>
    <t>착공 등</t>
    <phoneticPr fontId="18" type="noConversion"/>
  </si>
  <si>
    <t>10억원 미만</t>
    <phoneticPr fontId="18" type="noConversion"/>
  </si>
  <si>
    <t>10억원 이상</t>
    <phoneticPr fontId="18" type="noConversion"/>
  </si>
  <si>
    <t>철거공사</t>
    <phoneticPr fontId="18" type="noConversion"/>
  </si>
  <si>
    <t>건물철거, 90㎡ 당</t>
    <phoneticPr fontId="18" type="noConversion"/>
  </si>
  <si>
    <t>마감재철거, 90㎡ 당</t>
    <phoneticPr fontId="18" type="noConversion"/>
  </si>
  <si>
    <t>마감공사</t>
    <phoneticPr fontId="18" type="noConversion"/>
  </si>
  <si>
    <t>토목공사: 건축공사 완료 후</t>
    <phoneticPr fontId="18" type="noConversion"/>
  </si>
  <si>
    <t>조경공사: 토목공사 완료 후</t>
    <phoneticPr fontId="18" type="noConversion"/>
  </si>
  <si>
    <t>정리기간</t>
    <phoneticPr fontId="18" type="noConversion"/>
  </si>
  <si>
    <t>준공 등</t>
    <phoneticPr fontId="18" type="noConversion"/>
  </si>
  <si>
    <t>10억원 미만</t>
  </si>
  <si>
    <t>도서벽지 할증</t>
    <phoneticPr fontId="18" type="noConversion"/>
  </si>
  <si>
    <t>등급 '가' 지역</t>
    <phoneticPr fontId="18" type="noConversion"/>
  </si>
  <si>
    <t>등급 '나' 지역</t>
    <phoneticPr fontId="18" type="noConversion"/>
  </si>
  <si>
    <t>등급 '다' 지역</t>
    <phoneticPr fontId="18" type="noConversion"/>
  </si>
  <si>
    <t>등급 '라' 지역</t>
    <phoneticPr fontId="18" type="noConversion"/>
  </si>
  <si>
    <t>계</t>
    <phoneticPr fontId="18" type="noConversion"/>
  </si>
  <si>
    <t>석면철거, 400㎡ 당</t>
    <phoneticPr fontId="18" type="noConversion"/>
  </si>
  <si>
    <t>X</t>
  </si>
  <si>
    <t>석면면적 해당 시 작성</t>
    <phoneticPr fontId="5" type="noConversion"/>
  </si>
  <si>
    <t>도서지역 할증</t>
    <phoneticPr fontId="5" type="noConversion"/>
  </si>
  <si>
    <t>안전관리계획서 제출 대상</t>
    <phoneticPr fontId="18" type="noConversion"/>
  </si>
  <si>
    <t>토목공사</t>
    <phoneticPr fontId="18" type="noConversion"/>
  </si>
  <si>
    <t>터파기</t>
    <phoneticPr fontId="18" type="noConversion"/>
  </si>
  <si>
    <t>지하1층당</t>
    <phoneticPr fontId="18" type="noConversion"/>
  </si>
  <si>
    <t>흙막이</t>
    <phoneticPr fontId="18" type="noConversion"/>
  </si>
  <si>
    <t>자립식, 1층당</t>
    <phoneticPr fontId="18" type="noConversion"/>
  </si>
  <si>
    <t>어스앵커, 1층당</t>
    <phoneticPr fontId="18" type="noConversion"/>
  </si>
  <si>
    <t>건축</t>
    <phoneticPr fontId="18" type="noConversion"/>
  </si>
  <si>
    <t>기초공사</t>
    <phoneticPr fontId="18" type="noConversion"/>
  </si>
  <si>
    <t>파일기초</t>
    <phoneticPr fontId="18" type="noConversion"/>
  </si>
  <si>
    <t>깊이15m 이하 선굴착말뚝공법</t>
    <phoneticPr fontId="18" type="noConversion"/>
  </si>
  <si>
    <t>깊이15m 이상 선굴착말뚝공법</t>
    <phoneticPr fontId="18" type="noConversion"/>
  </si>
  <si>
    <t>지지력시험</t>
    <phoneticPr fontId="18" type="noConversion"/>
  </si>
  <si>
    <t>골
조
공
사</t>
    <phoneticPr fontId="18" type="noConversion"/>
  </si>
  <si>
    <t>지
하
층</t>
    <phoneticPr fontId="18" type="noConversion"/>
  </si>
  <si>
    <t>지하층</t>
    <phoneticPr fontId="18" type="noConversion"/>
  </si>
  <si>
    <t>지하주차장</t>
    <phoneticPr fontId="18" type="noConversion"/>
  </si>
  <si>
    <t>1개층 주차대수 150대 미만</t>
    <phoneticPr fontId="18" type="noConversion"/>
  </si>
  <si>
    <t>1개층 주차대수 150대 이상</t>
    <phoneticPr fontId="18" type="noConversion"/>
  </si>
  <si>
    <t>지
상
층</t>
    <phoneticPr fontId="18" type="noConversion"/>
  </si>
  <si>
    <t>골조</t>
    <phoneticPr fontId="18" type="noConversion"/>
  </si>
  <si>
    <t>1층</t>
    <phoneticPr fontId="18" type="noConversion"/>
  </si>
  <si>
    <t>동절기보정</t>
    <phoneticPr fontId="18" type="noConversion"/>
  </si>
  <si>
    <t>층당</t>
    <phoneticPr fontId="18" type="noConversion"/>
  </si>
  <si>
    <t>지붕</t>
    <phoneticPr fontId="18" type="noConversion"/>
  </si>
  <si>
    <t>콘크리트 경사지붕</t>
    <phoneticPr fontId="18" type="noConversion"/>
  </si>
  <si>
    <t>콘크리트 평지붕</t>
    <phoneticPr fontId="18" type="noConversion"/>
  </si>
  <si>
    <t>철골경사지붕</t>
    <phoneticPr fontId="18" type="noConversion"/>
  </si>
  <si>
    <t>조적공사, 층당</t>
    <phoneticPr fontId="18" type="noConversion"/>
  </si>
  <si>
    <t>미장공사, 층당</t>
    <phoneticPr fontId="18" type="noConversion"/>
  </si>
  <si>
    <t>창호공사, 층당</t>
    <phoneticPr fontId="18" type="noConversion"/>
  </si>
  <si>
    <t>방수공사, 층당</t>
    <phoneticPr fontId="18" type="noConversion"/>
  </si>
  <si>
    <t>타일공사, 층당</t>
    <phoneticPr fontId="18" type="noConversion"/>
  </si>
  <si>
    <t>내장공사, 층당</t>
    <phoneticPr fontId="18" type="noConversion"/>
  </si>
  <si>
    <t>도장공사, 층당</t>
    <phoneticPr fontId="18" type="noConversion"/>
  </si>
  <si>
    <t>토목, 조경공사</t>
    <phoneticPr fontId="18" type="noConversion"/>
  </si>
  <si>
    <t>2층이상</t>
    <phoneticPr fontId="5" type="noConversion"/>
  </si>
  <si>
    <t>지붕형태</t>
    <phoneticPr fontId="5" type="noConversion"/>
  </si>
  <si>
    <t>석면해체제거면적(㎡)</t>
    <phoneticPr fontId="5" type="noConversion"/>
  </si>
  <si>
    <t>건물철거면적(㎡)</t>
    <phoneticPr fontId="5" type="noConversion"/>
  </si>
  <si>
    <t>조경공사</t>
    <phoneticPr fontId="5" type="noConversion"/>
  </si>
  <si>
    <t xml:space="preserve">토목공사 </t>
    <phoneticPr fontId="5" type="noConversion"/>
  </si>
  <si>
    <t>해당</t>
    <phoneticPr fontId="5" type="noConversion"/>
  </si>
  <si>
    <t>콘크리트 평지붕</t>
  </si>
  <si>
    <t>'공종별_작업일수' 시트의 공종·세부공종 드롭박스와 1일작업량·단위·근거가 이 표를 참조합니다. 표준값은 단일 작업조(1조) 기준.</t>
  </si>
  <si>
    <t>공종그룹</t>
  </si>
  <si>
    <t>세부공종</t>
  </si>
  <si>
    <t>1일작업량</t>
  </si>
  <si>
    <t>가설공사</t>
  </si>
  <si>
    <t>개</t>
  </si>
  <si>
    <t>콘테이너 9m×3m, 비계공4·특별2·크레인10t</t>
  </si>
  <si>
    <t>m</t>
  </si>
  <si>
    <t>지주높이3.5m이하 간격2.0m, 비계공3·보통1·굴삭기0.2</t>
  </si>
  <si>
    <t>토공사</t>
  </si>
  <si>
    <t>가설울타리(EGI휀스) 설치</t>
  </si>
  <si>
    <t>높이3.0m이하, 비계공3·보통1</t>
  </si>
  <si>
    <t>기초공사</t>
  </si>
  <si>
    <t>높이10m이하 쌍줄비계, 비계공3·보통1</t>
  </si>
  <si>
    <t>철근공사</t>
  </si>
  <si>
    <t>시스템비계 설치·해체</t>
  </si>
  <si>
    <t>10m이하, 비계공4·보통1</t>
  </si>
  <si>
    <t>거푸집공사</t>
  </si>
  <si>
    <t>콘크리트공사</t>
  </si>
  <si>
    <t>강관동바리 설치·해체(건축)</t>
  </si>
  <si>
    <t>높이3.5m이하, 형틀목공5·보통1</t>
  </si>
  <si>
    <t>조적공사</t>
  </si>
  <si>
    <t>터파기(굴삭기0.6㎥)</t>
  </si>
  <si>
    <t>모래·보통토 자연상태, 굴삭기0.6㎥ 1대</t>
  </si>
  <si>
    <t>미장공사</t>
  </si>
  <si>
    <t>터파기(굴삭기1.0㎥·양호)</t>
  </si>
  <si>
    <t>모래·보통토 자연상태, 굴삭기1.0㎥ 1대</t>
  </si>
  <si>
    <t>방수공사</t>
  </si>
  <si>
    <t>터파기(굴삭기1.0㎥·보통)</t>
  </si>
  <si>
    <t>보통토사, 난이도 보통, 굴삭기1.0㎥ 1대</t>
  </si>
  <si>
    <t>타일공사</t>
  </si>
  <si>
    <t>터파기(굴삭기1.0㎥·불량)</t>
  </si>
  <si>
    <t>지장물 발생, 굴삭기1.0㎥ 1대</t>
  </si>
  <si>
    <t>창호유리공사</t>
  </si>
  <si>
    <t>기초지정(모래지정)</t>
  </si>
  <si>
    <t>굴삭기0.2+플레이트콤팩터, 보통인부1</t>
  </si>
  <si>
    <t>수장공사</t>
  </si>
  <si>
    <t>수평지보공(H-Beam) 설치</t>
  </si>
  <si>
    <t>본</t>
  </si>
  <si>
    <t>H=500이하 9~11m, 철골2·용접4·크레인25t</t>
  </si>
  <si>
    <t>단열경량벽체</t>
  </si>
  <si>
    <t>철골2·용접4·보통2·크레인25t</t>
  </si>
  <si>
    <t>도배바닥재</t>
  </si>
  <si>
    <t>ø508 L12m 점질토, 파일천공장비100t 등</t>
  </si>
  <si>
    <t>기계설비</t>
  </si>
  <si>
    <t>말뚝박기용 천공(H-Pile)</t>
  </si>
  <si>
    <t>ø500미만 L12m 점질토, 파일천공장비40t 등</t>
  </si>
  <si>
    <t>조경공사</t>
  </si>
  <si>
    <t>ø500 강관말뚝 자동절단, 용접1·보통1</t>
  </si>
  <si>
    <t>ø500 그라인더 절단, 할석1·보통1</t>
  </si>
  <si>
    <t>철근가공</t>
  </si>
  <si>
    <t>ton</t>
  </si>
  <si>
    <t>인력가공(절단·절곡), 철근공3·보통1</t>
  </si>
  <si>
    <t>철근 현장조립(토목 TypeⅡ)</t>
  </si>
  <si>
    <t>기계이음·간격재 포함, 철근공5·보통2</t>
  </si>
  <si>
    <t>철근 현장조립(건축 TypeⅠ)</t>
  </si>
  <si>
    <t>φ13이하 50%미만, 철근공6·보통2</t>
  </si>
  <si>
    <t>철근 현장조립(건축 TypeⅡ)</t>
  </si>
  <si>
    <t>φ13이하 50%이상, 철근공6·보통2</t>
  </si>
  <si>
    <t>철근 현장조립(건축 TypeⅡ 기계이음)</t>
  </si>
  <si>
    <t>나사·원터치식, 철근공6·보통2</t>
  </si>
  <si>
    <t>합판거푸집 설치(간단)</t>
  </si>
  <si>
    <t>내수합판12mm, 형틀목공5·보통2</t>
  </si>
  <si>
    <t>합판거푸집 설치(보통)</t>
  </si>
  <si>
    <t>합판거푸집 설치(복잡)</t>
  </si>
  <si>
    <t>형틀목공5·보통2</t>
  </si>
  <si>
    <t>유로폼 설치(간단)</t>
  </si>
  <si>
    <t>수직고7m이하, 형틀목공4·보통1</t>
  </si>
  <si>
    <t>유로폼 설치(보통)</t>
  </si>
  <si>
    <t>유로폼 해체</t>
  </si>
  <si>
    <t>알루미늄폼 설치·해체(셋팅층)</t>
  </si>
  <si>
    <t>벽식기준, 형틀목공4·보통1</t>
  </si>
  <si>
    <t>알루미늄폼 설치·해체(마감층)</t>
  </si>
  <si>
    <t>알루미늄폼 설치·해체(일반층)</t>
  </si>
  <si>
    <t>갱폼 설치·해체(셋팅층)</t>
  </si>
  <si>
    <t>타워크레인 별도, 형틀목공4·보통1</t>
  </si>
  <si>
    <t>갱폼 설치·해체(마감층)</t>
  </si>
  <si>
    <t>갱폼 설치·해체(일반층)</t>
  </si>
  <si>
    <t>강관동바리 설치·해체(3.5m이하)</t>
  </si>
  <si>
    <t>설치간격0.6~0.8m, 형틀목공5·보통1</t>
  </si>
  <si>
    <t>시스템동바리 설치·해체(공㎥)</t>
  </si>
  <si>
    <t>공㎥</t>
  </si>
  <si>
    <t>높이10m이하, 형틀목공4·보통1·크레인15t</t>
  </si>
  <si>
    <t>펌프카 타설(무근구조물)</t>
  </si>
  <si>
    <t>펌프차80㎥/hr↑ 슬럼프15, 콘크리트공4·특별2·보통1</t>
  </si>
  <si>
    <t>펌프카 타설(TypeⅡ/Ⅰ)</t>
  </si>
  <si>
    <t>슬럼프15 시설Type-Ⅱ/현장Type-Ⅰ, 펌프차1대</t>
  </si>
  <si>
    <t>펌프카 타설(철근구조물)</t>
  </si>
  <si>
    <t>철근구조물 슬럼프15, 콘크리트공4·특별2·보통1</t>
  </si>
  <si>
    <t>되메우기(램머)</t>
  </si>
  <si>
    <t>벽돌쌓기(0.5B)</t>
  </si>
  <si>
    <t>시멘트벽돌(19×9×5.7), 3.6m이하, 조적공3·보통1</t>
  </si>
  <si>
    <t>콘크리트블록(90×190×190) 한면마감, 조적공2·보통1</t>
  </si>
  <si>
    <t>24mm이하/2회 쇠흙손, 미장공3·보통1</t>
  </si>
  <si>
    <t>연마기 면정리, 미장공3·견출1·보통1</t>
  </si>
  <si>
    <t>스티로폴/기포액, 미장공5·보통3·장비1</t>
  </si>
  <si>
    <t>미장공5·보통3·타설장비1</t>
  </si>
  <si>
    <t>콘크리트 바닥, 방수공3·보통1</t>
  </si>
  <si>
    <t>롤러 1회, 방수공3·보통1</t>
  </si>
  <si>
    <t>도막 1회 바닥, 방수공3·보통1</t>
  </si>
  <si>
    <t>접착식 시트1겹 두께1.0~2.0mm, 방수공3·보통1</t>
  </si>
  <si>
    <t>시멘트페이스트 1·2차 바닥, 방수공3·보통1</t>
  </si>
  <si>
    <t>바탕고르기 모르타르 바름</t>
  </si>
  <si>
    <t>24mm이하 2회 벽, 미장공3·보통1</t>
  </si>
  <si>
    <t>떠붙이기(벽)</t>
  </si>
  <si>
    <t>0.11~0.20㎡ 벽면, 타일공3·보통1·줄눈1</t>
  </si>
  <si>
    <t>압착붙이기(바닥)</t>
  </si>
  <si>
    <t>0.11~0.20㎡ 바닥, 타일공3·보통1·줄눈1</t>
  </si>
  <si>
    <t>접착붙이기(벽)</t>
  </si>
  <si>
    <t>개소</t>
  </si>
  <si>
    <t>미서기 이중창 6~9㎡이하, 창호공4·보통1</t>
  </si>
  <si>
    <t>복층유리 18mm이하, 유리공5·보통1</t>
  </si>
  <si>
    <t>석고판 나사고정 2겹, 내장공2·보통1</t>
  </si>
  <si>
    <t>나사고정 바탕용2겹, 내장공2·보통1</t>
  </si>
  <si>
    <t>나사고정 천장1겹, 내장공2·보통1</t>
  </si>
  <si>
    <t>볼트고정 평구조, 건축목공3·보통1</t>
  </si>
  <si>
    <t>틀간격450~600mm, 건축목공2·보통1</t>
  </si>
  <si>
    <t>벽체틀 바탕 합판설치, 건축목공2·보통1</t>
  </si>
  <si>
    <t>바탕합판 위 수장합판, 건축목공2·보통1</t>
  </si>
  <si>
    <t>접착제 1겹 100mm이하 벽면, 내장공4·보통1</t>
  </si>
  <si>
    <t>슬래브위 발포폴리스티렌 1겹, 내장공2·보통1</t>
  </si>
  <si>
    <t>경량철골 스터드 폭150mm이하, 내장공2·보통1</t>
  </si>
  <si>
    <t>도배 바름(벽지)</t>
  </si>
  <si>
    <t>합판·석고보드면 벽지, 도배공2·보통1</t>
  </si>
  <si>
    <t>도배 바름(천장지)</t>
  </si>
  <si>
    <t>합판·석고보드면 천장지, 도배공2·보통1</t>
  </si>
  <si>
    <t>바닥재 깔기(타일형)</t>
  </si>
  <si>
    <t>PVC계 타일형, 내장공2·보통1</t>
  </si>
  <si>
    <t>바닥재 깔기(시트형)</t>
  </si>
  <si>
    <t>PVC계 시트형 전면접착, 내장공2·보통1</t>
  </si>
  <si>
    <t>바닥재 깔기(마루)</t>
  </si>
  <si>
    <t>플로어링 마루, 내장공2·보통1</t>
  </si>
  <si>
    <t>강관 설치(50mm·아크용접)</t>
  </si>
  <si>
    <t>배관용탄소강관 옥내일반, 배관공2·용접1·보통1</t>
  </si>
  <si>
    <t>강관 설치(100mm·아크용접)</t>
  </si>
  <si>
    <t>강관 설치(32mm·나사식)</t>
  </si>
  <si>
    <t>배관용탄소강관 나사식, 배관공2·보통1</t>
  </si>
  <si>
    <t>강관 설치(100mm·그루브)</t>
  </si>
  <si>
    <t>그루브조인트식, 배관공3·보통1</t>
  </si>
  <si>
    <t>강관 설치(200mm·그루브)</t>
  </si>
  <si>
    <t>스테인리스강관(50mm·TIG)</t>
  </si>
  <si>
    <t>TIG용접, 배관공2·용접1·보통1</t>
  </si>
  <si>
    <t>스테인리스강관(100mm·TIG)</t>
  </si>
  <si>
    <t>스테인리스강관(25mm·프레스)</t>
  </si>
  <si>
    <t>프레스식, 배관공2·보통1</t>
  </si>
  <si>
    <t>주철관 설치(100mm)</t>
  </si>
  <si>
    <t>접합개소</t>
  </si>
  <si>
    <t>배수용주철관 기계식접합, 배관공3·보통1</t>
  </si>
  <si>
    <t>주철관 설치(200mm)</t>
  </si>
  <si>
    <t>경질관 설치(50mm)</t>
  </si>
  <si>
    <t>경질PVC 소켓접합, 배관공2·보통1</t>
  </si>
  <si>
    <t>경질관 설치(100mm)</t>
  </si>
  <si>
    <t>난방배관 설치(PB 20mm)</t>
  </si>
  <si>
    <t>옥내난방 PB일반접합 20mm이하, 배관공3·보통1</t>
  </si>
  <si>
    <t>아연도금강판 0.6mm, 덕트공5·보통1</t>
  </si>
  <si>
    <t>식재(흉고8~9)</t>
  </si>
  <si>
    <t>주</t>
  </si>
  <si>
    <t>근원9~11, 조경공3·보통1·굴삭기0.4</t>
  </si>
  <si>
    <t>식재(흉고10~17)</t>
  </si>
  <si>
    <t>근원12~20, 조경공3·보통1·굴삭기0.4</t>
  </si>
  <si>
    <t>식재(흉고18~24)</t>
  </si>
  <si>
    <t>근원21~29, 조경공3·보통1·굴삭기0.4</t>
  </si>
  <si>
    <t>식재(흉고25~34)</t>
  </si>
  <si>
    <t>근원30~41, 조경공3·보통1·굴삭기0.4</t>
  </si>
  <si>
    <t>잔디붙임(줄떼)</t>
  </si>
  <si>
    <t>홈파기·뗏밥·물주기, 조경공1·보통4</t>
  </si>
  <si>
    <t>잔디붙임(평떼)</t>
  </si>
  <si>
    <t>순번</t>
  </si>
  <si>
    <t>물 량</t>
  </si>
  <si>
    <t>표준
1일작업량</t>
  </si>
  <si>
    <t>투입
조수</t>
  </si>
  <si>
    <t>적용
1일작업량</t>
  </si>
  <si>
    <t>소요일수
(일)</t>
  </si>
  <si>
    <t>주공정
(CP)</t>
  </si>
  <si>
    <t>CP반영
일수</t>
  </si>
  <si>
    <t>근거 (부록4 작업조건)</t>
  </si>
  <si>
    <t>Y</t>
  </si>
  <si>
    <t>[ 투입조수 판단 기준 ]  ※ 부록4·가이드라인에 정해진 표준 조수는 없으며, 현장 여건에 따라 산정자가 판단·입력하는 변수임</t>
  </si>
  <si>
    <t>산정 기준 · 법적 근거 · 출처</t>
  </si>
  <si>
    <t>1. 법적 근거</t>
  </si>
  <si>
    <t>「건설기술 진흥법」 제45조의2</t>
  </si>
  <si>
    <t>공사기간 산정기준 (발주청의 적정 공사기간 산정 의무)</t>
  </si>
  <si>
    <t>「공공 건설공사의 공사기간 산정기준」</t>
  </si>
  <si>
    <t>국토교통부고시 제2024-1021호 (시행 2025.1.6.)</t>
  </si>
  <si>
    <t>적정 공사기간 확보를 위한 가이드라인</t>
  </si>
  <si>
    <t>국토교통부·한국건설기술연구원, 2026년판</t>
  </si>
  <si>
    <t>「건설기술 진흥법 시행령」 제17~19조</t>
  </si>
  <si>
    <t>총공사비 100억(시·군·구 50억) 이상 공사기간 적정성 심의</t>
  </si>
  <si>
    <t>2. 산정 체계</t>
  </si>
  <si>
    <t>구 분</t>
  </si>
  <si>
    <t>기 준</t>
  </si>
  <si>
    <t>비 고 / 근거</t>
  </si>
  <si>
    <t>강우·강설 시</t>
  </si>
  <si>
    <t>콘크리트 타설 원칙 금지</t>
  </si>
  <si>
    <t>일반콘크리트 표준시방서 14 20 10</t>
  </si>
  <si>
    <t>동절기 저온</t>
  </si>
  <si>
    <t>일평균기온 4℃ 이하 / 타설 후 24h 최저 0℃ 이하</t>
  </si>
  <si>
    <t>콘크리트 타설 제한(한중콘크리트)</t>
  </si>
  <si>
    <t>폭염</t>
  </si>
  <si>
    <t>일 최고기온 33℃ 이상</t>
  </si>
  <si>
    <t>산안규칙 제560조, 옥외작업 제한·휴식</t>
  </si>
  <si>
    <t>강풍</t>
  </si>
  <si>
    <t>최대순간풍속 15m/s 이상 (타워크레인 10m/s 초과)</t>
  </si>
  <si>
    <t>산안규칙 제37조 (악천후·강풍 작업중지)</t>
  </si>
  <si>
    <t>신적설(강설)</t>
  </si>
  <si>
    <t>신적설 5㎝ 이상</t>
  </si>
  <si>
    <t>토공·가시설 등 옥외공사 중단</t>
  </si>
  <si>
    <t>미세먼지</t>
  </si>
  <si>
    <t>비상저감조치 발령 시</t>
  </si>
  <si>
    <t>작업시간 단축 (수도권 연평균 약 5일)</t>
  </si>
  <si>
    <t>5. 출처 및 주의사항</t>
  </si>
  <si>
    <t>· (A)법정공휴일수는 부록1(2026~2035), (B)기상 비작업일수는 부록3(기상조건별·지역별, 최근10년)의 해당 지역값으로 반드시 대체할 것</t>
  </si>
  <si>
    <t>· 기상데이터는 공사구역이 속한 행정지역 기준(여러 지역 분포 시 최다 면적 지역), 기상청 관측데이터 최근 10년(필요 시 5년) 적용</t>
  </si>
  <si>
    <t>· 작업일수(순작업)는 실제 공정표(Bar-chart/CPM)로 주공정을 확정하여 조정, 지역·규모·난이도 보정(고시 제13조) 별도 검토</t>
  </si>
  <si>
    <t>· 총공사비 100억원 이상(시·군·구 50억원 이상)은 공사기간 적정성 심의 대상, 입찰서류에 산정근거 명시(고시 제5조)</t>
  </si>
  <si>
    <t>· 본 파일은 예시값 기반 계산 도구이며, 실제 발주 전 설계자·공정전문가 검토 및 발주청 내부 확인 필요</t>
  </si>
  <si>
    <r>
      <rPr>
        <i/>
        <sz val="8"/>
        <color rgb="FF8B95A1"/>
        <rFont val="맑은 고딕"/>
        <family val="3"/>
        <charset val="129"/>
      </rPr>
      <t>연면적</t>
    </r>
    <r>
      <rPr>
        <i/>
        <sz val="8"/>
        <color rgb="FF8B95A1"/>
        <rFont val="Arial"/>
        <family val="2"/>
      </rPr>
      <t xml:space="preserve"> </t>
    </r>
    <r>
      <rPr>
        <i/>
        <sz val="8"/>
        <color rgb="FF8B95A1"/>
        <rFont val="맑은 고딕"/>
        <family val="3"/>
        <charset val="129"/>
      </rPr>
      <t>직접</t>
    </r>
    <r>
      <rPr>
        <i/>
        <sz val="8"/>
        <color rgb="FF8B95A1"/>
        <rFont val="Arial"/>
        <family val="2"/>
      </rPr>
      <t xml:space="preserve"> </t>
    </r>
    <r>
      <rPr>
        <i/>
        <sz val="8"/>
        <color rgb="FF8B95A1"/>
        <rFont val="맑은 고딕"/>
        <family val="3"/>
        <charset val="129"/>
      </rPr>
      <t>입력</t>
    </r>
    <r>
      <rPr>
        <i/>
        <sz val="8"/>
        <color rgb="FF8B95A1"/>
        <rFont val="Arial"/>
        <family val="2"/>
      </rPr>
      <t xml:space="preserve"> (</t>
    </r>
    <r>
      <rPr>
        <i/>
        <sz val="8"/>
        <color rgb="FF8B95A1"/>
        <rFont val="맑은 고딕"/>
        <family val="3"/>
        <charset val="129"/>
      </rPr>
      <t>㎡</t>
    </r>
    <r>
      <rPr>
        <i/>
        <sz val="8"/>
        <color rgb="FF8B95A1"/>
        <rFont val="Arial"/>
        <family val="2"/>
      </rPr>
      <t>)</t>
    </r>
    <phoneticPr fontId="5" type="noConversion"/>
  </si>
  <si>
    <r>
      <rPr>
        <i/>
        <sz val="8"/>
        <color rgb="FF8B95A1"/>
        <rFont val="맑은 고딕"/>
        <family val="3"/>
        <charset val="129"/>
      </rPr>
      <t>지하</t>
    </r>
    <r>
      <rPr>
        <i/>
        <sz val="8"/>
        <color rgb="FF8B95A1"/>
        <rFont val="Arial"/>
        <family val="2"/>
      </rPr>
      <t>/</t>
    </r>
    <r>
      <rPr>
        <i/>
        <sz val="8"/>
        <color rgb="FF8B95A1"/>
        <rFont val="맑은 고딕"/>
        <family val="3"/>
        <charset val="129"/>
      </rPr>
      <t>지상</t>
    </r>
    <r>
      <rPr>
        <i/>
        <sz val="8"/>
        <color rgb="FF8B95A1"/>
        <rFont val="Arial"/>
        <family val="2"/>
      </rPr>
      <t xml:space="preserve"> </t>
    </r>
    <r>
      <rPr>
        <i/>
        <sz val="8"/>
        <color rgb="FF8B95A1"/>
        <rFont val="맑은 고딕"/>
        <family val="3"/>
        <charset val="129"/>
      </rPr>
      <t>층수</t>
    </r>
    <r>
      <rPr>
        <i/>
        <sz val="8"/>
        <color rgb="FF8B95A1"/>
        <rFont val="Arial"/>
        <family val="2"/>
      </rPr>
      <t xml:space="preserve"> (</t>
    </r>
    <r>
      <rPr>
        <i/>
        <sz val="8"/>
        <color rgb="FF8B95A1"/>
        <rFont val="맑은 고딕"/>
        <family val="3"/>
        <charset val="129"/>
      </rPr>
      <t>예</t>
    </r>
    <r>
      <rPr>
        <i/>
        <sz val="8"/>
        <color rgb="FF8B95A1"/>
        <rFont val="Arial"/>
        <family val="2"/>
      </rPr>
      <t xml:space="preserve">: 1/5 = </t>
    </r>
    <r>
      <rPr>
        <i/>
        <sz val="8"/>
        <color rgb="FF8B95A1"/>
        <rFont val="맑은 고딕"/>
        <family val="3"/>
        <charset val="129"/>
      </rPr>
      <t>지하</t>
    </r>
    <r>
      <rPr>
        <i/>
        <sz val="8"/>
        <color rgb="FF8B95A1"/>
        <rFont val="Arial"/>
        <family val="2"/>
      </rPr>
      <t>·1·</t>
    </r>
    <r>
      <rPr>
        <i/>
        <sz val="8"/>
        <color rgb="FF8B95A1"/>
        <rFont val="맑은 고딕"/>
        <family val="3"/>
        <charset val="129"/>
      </rPr>
      <t>지상</t>
    </r>
    <r>
      <rPr>
        <i/>
        <sz val="8"/>
        <color rgb="FF8B95A1"/>
        <rFont val="Arial"/>
        <family val="2"/>
      </rPr>
      <t>·5)</t>
    </r>
    <phoneticPr fontId="5" type="noConversion"/>
  </si>
  <si>
    <t>지붕형태 선택 (드롭다운)</t>
    <phoneticPr fontId="5" type="noConversion"/>
  </si>
  <si>
    <t>철골 현장세우기</t>
  </si>
  <si>
    <t>20층미만, 가공완료 철골 현장설치, 철골공5·비계공2·특별1·크레인1대</t>
  </si>
  <si>
    <t>탑다운공법 철골 지하 현장세우기</t>
  </si>
  <si>
    <t>지하7층미만, 탑다운공법 철골 현장설치, 철골공4·비계공2·특별1·크레인1대</t>
  </si>
  <si>
    <t>데크플레이트 설치·플라즈마절단, 철골공3·용접공1·특별1</t>
  </si>
  <si>
    <t>목재데크틀 설치</t>
  </si>
  <si>
    <t>각관·형강 평구조, 철공8·용접공1·보통4</t>
  </si>
  <si>
    <t>철거공사</t>
    <phoneticPr fontId="5" type="noConversion"/>
  </si>
  <si>
    <t>석면해체공4.8, 보통인부6.8</t>
    <phoneticPr fontId="5" type="noConversion"/>
  </si>
  <si>
    <t>석면건축자재 해체</t>
    <phoneticPr fontId="5" type="noConversion"/>
  </si>
  <si>
    <t>특별인부2, 보통인부1, 굴착기+압쇄기 1대, 굴착기 1대</t>
    <phoneticPr fontId="5" type="noConversion"/>
  </si>
  <si>
    <t>콘크리트구조물 헐기</t>
    <phoneticPr fontId="5" type="noConversion"/>
  </si>
  <si>
    <t>도서할증</t>
  </si>
  <si>
    <t>도서할증</t>
    <phoneticPr fontId="5" type="noConversion"/>
  </si>
  <si>
    <t>가'등급</t>
    <phoneticPr fontId="5" type="noConversion"/>
  </si>
  <si>
    <t>나'등급</t>
    <phoneticPr fontId="5" type="noConversion"/>
  </si>
  <si>
    <t>다'등급</t>
    <phoneticPr fontId="5" type="noConversion"/>
  </si>
  <si>
    <t>라'등급</t>
    <phoneticPr fontId="5" type="noConversion"/>
  </si>
  <si>
    <t>1식</t>
    <phoneticPr fontId="5" type="noConversion"/>
  </si>
  <si>
    <r>
      <t>※ 노란색 셀에 입력하십시오</t>
    </r>
    <r>
      <rPr>
        <sz val="8"/>
        <rFont val="맑은 고딕"/>
        <family val="3"/>
        <charset val="129"/>
      </rPr>
      <t xml:space="preserve">. </t>
    </r>
    <r>
      <rPr>
        <sz val="8"/>
        <rFont val="Noto Sans CJK SC"/>
        <family val="2"/>
      </rPr>
      <t>드롭다운이 있는 항목은 목록에서 선택하십시오</t>
    </r>
    <r>
      <rPr>
        <sz val="8"/>
        <rFont val="맑은 고딕"/>
        <family val="3"/>
        <charset val="129"/>
      </rPr>
      <t>.</t>
    </r>
  </si>
  <si>
    <t>학교시설이나 총사업비 200억이상이경우, 기타시설물적용</t>
    <phoneticPr fontId="5" type="noConversion"/>
  </si>
  <si>
    <t>준비기간</t>
  </si>
  <si>
    <t>설계도서 검토, 착공준비, 자재·장비 조달 등</t>
  </si>
  <si>
    <t>정리기간</t>
  </si>
  <si>
    <t>준공검사 준비, 시설물 인수, 현장정리 등</t>
  </si>
  <si>
    <t>③ 작업일수 (순작업일수)</t>
  </si>
  <si>
    <t>주공정(CP) 반영 소요일수 합계</t>
  </si>
  <si>
    <t>표준품셈 방식 총 공사기간</t>
  </si>
  <si>
    <t>준비 + 비작업 + 작업일수 + 정리</t>
  </si>
  <si>
    <t>도서지역 할증 등급 선택 (해당 시)</t>
    <phoneticPr fontId="5" type="noConversion"/>
  </si>
  <si>
    <t>② 작업일수 (본공사)</t>
  </si>
  <si>
    <t>③ 정리기간</t>
  </si>
  <si>
    <t>④ 도서벽지 할증</t>
  </si>
  <si>
    <t>토목·골조·마감·철거 등 본공사 (주공정)</t>
  </si>
  <si>
    <t>도서·벽지 지역 시공 할증일수</t>
  </si>
  <si>
    <t>검토1안</t>
  </si>
  <si>
    <t>검토2안</t>
  </si>
  <si>
    <t>검토3안</t>
  </si>
  <si>
    <t>설계도서 검토, 착공준비 등</t>
  </si>
  <si>
    <t>③ 작업일수(순)</t>
  </si>
  <si>
    <t>주공정(CP) 기준 순작업일수</t>
  </si>
  <si>
    <t>준비+비작업+작업(순)+정리</t>
  </si>
  <si>
    <t>건축철거 해당 시 작성</t>
    <phoneticPr fontId="5" type="noConversion"/>
  </si>
  <si>
    <t>② 작업일수(본공사)</t>
  </si>
  <si>
    <t>토목·골조·마감·철거 등</t>
  </si>
  <si>
    <t>준비+본공사+정리+할증</t>
  </si>
  <si>
    <t>⑤ 도서벽지 할증</t>
  </si>
  <si>
    <t>( 개월 환산 )</t>
  </si>
  <si>
    <t>총 ÷ 30</t>
  </si>
  <si>
    <t>2. 공사기간 구성 요약 (검토안별 비교)</t>
  </si>
  <si>
    <t>공사준비 (착공)</t>
  </si>
  <si>
    <t>준공 (준공검사 등)</t>
  </si>
  <si>
    <t>도서·벽지 지역 추가일수</t>
  </si>
  <si>
    <t>해당없음</t>
  </si>
  <si>
    <t>① 산정공식 결과(Y)</t>
  </si>
  <si>
    <t>② 준비기간</t>
  </si>
  <si>
    <t>산정공식(Y) + 준비 + 정리</t>
  </si>
  <si>
    <t>O</t>
  </si>
  <si>
    <t>3. 검토 결론 및 채택안</t>
  </si>
  <si>
    <t>채택 검토안</t>
  </si>
  <si>
    <t>채택 사유</t>
  </si>
  <si>
    <t>3개 검토안 중 총 공사기간이 가장 짧아, 적정 공기 확보와 과다 산정 방지 측면에서 유리하여 채택함.</t>
  </si>
  <si>
    <t>3개 안 비교</t>
  </si>
  <si>
    <t>공사기간산정 검토(안)</t>
    <phoneticPr fontId="5" type="noConversion"/>
  </si>
  <si>
    <t>공사기간 산정 검토 요약 보고서</t>
  </si>
  <si>
    <t>총공사비</t>
  </si>
  <si>
    <t>연면적</t>
  </si>
  <si>
    <t>규모(지하/지상)</t>
  </si>
  <si>
    <t>착수예정일</t>
  </si>
  <si>
    <t>지붕형태</t>
  </si>
  <si>
    <t>도서지역 할증</t>
  </si>
  <si>
    <t>검토1안 · 표준품셈</t>
  </si>
  <si>
    <t>검토2안 · 표준공기</t>
  </si>
  <si>
    <t>공사명</t>
    <phoneticPr fontId="5" type="noConversion"/>
  </si>
  <si>
    <t>3. 검토 결론 및 채택안</t>
    <phoneticPr fontId="5" type="noConversion"/>
  </si>
  <si>
    <t>작업일수</t>
  </si>
  <si>
    <t>비작업일수</t>
  </si>
  <si>
    <t>준비 + 정리</t>
  </si>
  <si>
    <t>공사기간 구성 비율</t>
  </si>
  <si>
    <t>작업일수 — 공종별 산정 (주공정 기준)</t>
  </si>
  <si>
    <t>공종별 작업일수 내역</t>
  </si>
  <si>
    <t>공종명</t>
  </si>
  <si>
    <t>수량</t>
  </si>
  <si>
    <r>
      <t xml:space="preserve">공사기간 = ① 준비기간 + ② 작업일수 + ③ 비작업일수 + ④ 정리기간
공사기간 = 준비기간 + </t>
    </r>
    <r>
      <rPr>
        <sz val="10"/>
        <rFont val="Calibri"/>
        <family val="3"/>
        <charset val="161"/>
      </rPr>
      <t>Σ</t>
    </r>
    <r>
      <rPr>
        <sz val="10"/>
        <rFont val="맑은 고딕"/>
        <family val="3"/>
        <charset val="129"/>
      </rPr>
      <t>(CP 공종별 공사기간 = 작업일수 + 비작업일수) + 정리기간
 ※ 작업일수 = 공종별 물량÷1일작업량(부록4)  ※ 준비·정리기간에는 비작업일수 미계상</t>
    </r>
    <phoneticPr fontId="5" type="noConversion"/>
  </si>
  <si>
    <t>▼ 차트 데이터 — 공종별 작업일수 집계 (SUMIF)</t>
  </si>
  <si>
    <t>공종</t>
  </si>
  <si>
    <t>공종별 작업일수 비율</t>
  </si>
  <si>
    <t xml:space="preserve">준비 60일 / 정리 30일 </t>
    <phoneticPr fontId="5" type="noConversion"/>
  </si>
  <si>
    <t>「참고2」</t>
    <phoneticPr fontId="5" type="noConversion"/>
  </si>
  <si>
    <t>「참고1」</t>
    <phoneticPr fontId="5" type="noConversion"/>
  </si>
  <si>
    <t>시설물별 회귀식 산출</t>
    <phoneticPr fontId="5" type="noConversion"/>
  </si>
  <si>
    <t xml:space="preserve"> 비작업일 포함</t>
    <phoneticPr fontId="5" type="noConversion"/>
  </si>
  <si>
    <r>
      <rPr>
        <b/>
        <sz val="11"/>
        <color rgb="FFFFFFFF"/>
        <rFont val="Segoe UI Emoji"/>
        <family val="2"/>
      </rPr>
      <t>🔗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Segoe UI Symbol"/>
        <family val="2"/>
      </rPr>
      <t>②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검토</t>
    </r>
    <r>
      <rPr>
        <b/>
        <sz val="11"/>
        <color rgb="FFFFFFFF"/>
        <rFont val="Calibri"/>
        <family val="2"/>
      </rPr>
      <t>2</t>
    </r>
    <r>
      <rPr>
        <b/>
        <sz val="11"/>
        <color rgb="FFFFFFFF"/>
        <rFont val="맑은 고딕"/>
        <family val="3"/>
        <charset val="129"/>
      </rPr>
      <t>안</t>
    </r>
    <r>
      <rPr>
        <b/>
        <sz val="11"/>
        <color rgb="FFFFFFFF"/>
        <rFont val="Calibri"/>
        <family val="2"/>
      </rPr>
      <t xml:space="preserve"> — </t>
    </r>
    <r>
      <rPr>
        <b/>
        <sz val="11"/>
        <color rgb="FFFFFFFF"/>
        <rFont val="맑은 고딕"/>
        <family val="3"/>
        <charset val="129"/>
      </rPr>
      <t>표준공기</t>
    </r>
    <r>
      <rPr>
        <b/>
        <sz val="11"/>
        <color rgb="FFFFFFFF"/>
        <rFont val="Calibri"/>
        <family val="2"/>
      </rPr>
      <t>(</t>
    </r>
    <r>
      <rPr>
        <b/>
        <sz val="11"/>
        <color rgb="FFFFFFFF"/>
        <rFont val="맑은 고딕"/>
        <family val="3"/>
        <charset val="129"/>
      </rPr>
      <t>기준일</t>
    </r>
    <r>
      <rPr>
        <b/>
        <sz val="11"/>
        <color rgb="FFFFFFFF"/>
        <rFont val="Calibri"/>
        <family val="2"/>
      </rPr>
      <t xml:space="preserve">) </t>
    </r>
    <r>
      <rPr>
        <b/>
        <sz val="11"/>
        <color rgb="FFFFFFFF"/>
        <rFont val="맑은 고딕"/>
        <family val="3"/>
        <charset val="129"/>
      </rPr>
      <t>방식</t>
    </r>
    <phoneticPr fontId="5" type="noConversion"/>
  </si>
  <si>
    <r>
      <rPr>
        <b/>
        <sz val="11"/>
        <color rgb="FFFFFFFF"/>
        <rFont val="Segoe UI Emoji"/>
        <family val="2"/>
      </rPr>
      <t>🔗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Segoe UI Symbol"/>
        <family val="2"/>
      </rPr>
      <t>①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검토</t>
    </r>
    <r>
      <rPr>
        <b/>
        <sz val="11"/>
        <color rgb="FFFFFFFF"/>
        <rFont val="Calibri"/>
        <family val="2"/>
      </rPr>
      <t>1</t>
    </r>
    <r>
      <rPr>
        <b/>
        <sz val="11"/>
        <color rgb="FFFFFFFF"/>
        <rFont val="맑은 고딕"/>
        <family val="3"/>
        <charset val="129"/>
      </rPr>
      <t>안</t>
    </r>
    <r>
      <rPr>
        <b/>
        <sz val="11"/>
        <color rgb="FFFFFFFF"/>
        <rFont val="Calibri"/>
        <family val="2"/>
      </rPr>
      <t xml:space="preserve"> — </t>
    </r>
    <r>
      <rPr>
        <b/>
        <sz val="11"/>
        <color rgb="FFFFFFFF"/>
        <rFont val="맑은 고딕"/>
        <family val="3"/>
        <charset val="129"/>
      </rPr>
      <t>표준품셈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방식</t>
    </r>
    <phoneticPr fontId="5" type="noConversion"/>
  </si>
  <si>
    <t>공 종(A)</t>
    <phoneticPr fontId="5" type="noConversion"/>
  </si>
  <si>
    <t>세부공종(B)</t>
    <phoneticPr fontId="5" type="noConversion"/>
  </si>
  <si>
    <t>① 개념 : 투입조수 = 현장에 동시 투입하는 표준 작업조(1개 조)의 수.  부록4 1일작업량은 산출근거에 명시된 1개 조(예: 형틀목공5·보통2) 기준값이므로, 적용 1일작업량 = 표준 1일작업량 × 투입조수 로 보정함. (예: 합판거푸집 60㎡/일 × 4개조 = 240㎡/일)
② 결정 방법(근거) : 아래 중 하나로 산정하며, 결정 근거를 공사기간 산정서에 명시할 것.
    ㉮ (권장) CPM/공정표에서 공종별 계획기간을 먼저 정하고, 그 기간을 맞추는 데 필요한 작업조 수를 역산
    ㉯ 발주청(전라남도교육청)의 유사공사 실적치 적용
    ㉰ 설계자·공정관리 전문가의 판단
③ 고려 요소 : 공사 규모·물량, 동시 작업 가능 공간(작업면), 층별·구간 분할 가능성, 투입 가능 인력·장비, 계약 공기 제약
④ 이중계상 금지 : 부록4 산출근거의 조 편성 인원을 늘리는 방식과 투입조수를 늘리는 방식은 중복되므로 반드시 한 가지 방식만 적용
⑤ 기본값 원칙 : 소규모 공사·단일 작업면 공종은 1을 기본으로 하고, 병행 시공이 가능한 대규모 공종만 상향 적용 (본 시트의 1~4는 예시값)</t>
    <phoneticPr fontId="5" type="noConversion"/>
  </si>
  <si>
    <r>
      <t xml:space="preserve">※ 공종(A) 드롭박스 선택 → 세부공종(B) 연동 드롭박스 목록 자동 변경(공종값 기준)/  세부공종 선택 → 단위·표준1일작업량·근거 자동 반영
※ 주공정(CP)=Y 공종만 순작업일수에 합산(병행공종 미포함) /빈 행은 추가 입력으로 가능 /물량·투입조수는 노란셀 입력
※ 부록4 미수록 공종(도장.전기·통신·소방 등)은 필요 시 표준품셈 별도 산정
※ 공사기간 = 준비기간 + </t>
    </r>
    <r>
      <rPr>
        <sz val="10"/>
        <rFont val="Calibri"/>
        <family val="3"/>
        <charset val="161"/>
      </rPr>
      <t>Σ</t>
    </r>
    <r>
      <rPr>
        <sz val="10"/>
        <rFont val="맑은 고딕"/>
        <family val="3"/>
        <charset val="129"/>
      </rPr>
      <t>(CP 공종별 공사기간=작업일수+비작업일수) + 정리기간 (가이드라인 본문 산정식)</t>
    </r>
    <phoneticPr fontId="5" type="noConversion"/>
  </si>
  <si>
    <t>공종을 드롭박스에서 선택하면 세부공종 목록이 자동 연동되고, 세부공종 선택 시 단위·표준 1일작업량·근거가 부록4에서 자동 반영됩니다.  소요일수 = ( 물량 ÷ (표준 1일작업량 × 투입조수) ).  순작업일수(②) = 주공정(CP=Y) 소요일수 합계.</t>
    <phoneticPr fontId="5" type="noConversion"/>
  </si>
  <si>
    <t>[검토1안] 표준품셈 작업일수</t>
    <phoneticPr fontId="5" type="noConversion"/>
  </si>
  <si>
    <t>[검토2안] 공사기간(작업일수) 산정</t>
    <phoneticPr fontId="18" type="noConversion"/>
  </si>
  <si>
    <t>공사기간(일)</t>
    <phoneticPr fontId="18" type="noConversion"/>
  </si>
  <si>
    <t>기준
(일)</t>
    <phoneticPr fontId="18" type="noConversion"/>
  </si>
  <si>
    <t xml:space="preserve">※ 노란색 셀에 입력하십시오. </t>
    <phoneticPr fontId="5" type="noConversion"/>
  </si>
  <si>
    <t>순작업일수 ( 작업일수 = 주공정 CP 반영 소요일수 합계)</t>
    <phoneticPr fontId="5" type="noConversion"/>
  </si>
  <si>
    <t>표준품셈 방식 총 공사기간 산정표 (준비·정리기간 합산)</t>
    <phoneticPr fontId="5" type="noConversion"/>
  </si>
  <si>
    <t>본 시트연동 (주공정 CP)</t>
    <phoneticPr fontId="5" type="noConversion"/>
  </si>
  <si>
    <t>표준공기 방식 총 공사기간 산정표 (기준일 × 해당여부)</t>
    <phoneticPr fontId="5" type="noConversion"/>
  </si>
  <si>
    <t>총공사비 200억원 미만
(200억↑ 기타건축물)</t>
    <phoneticPr fontId="5" type="noConversion"/>
  </si>
  <si>
    <t>500억원 이하</t>
    <phoneticPr fontId="5" type="noConversion"/>
  </si>
  <si>
    <t>5억원 이상, 
300억원 이하</t>
    <phoneticPr fontId="5" type="noConversion"/>
  </si>
  <si>
    <t>표준공기 산정방식에 의한 공사기간 산정표</t>
    <phoneticPr fontId="5" type="noConversion"/>
  </si>
  <si>
    <r>
      <rPr>
        <sz val="8"/>
        <color rgb="FF8B95A1"/>
        <rFont val="맑은 고딕"/>
        <family val="3"/>
        <charset val="129"/>
      </rPr>
      <t>※</t>
    </r>
    <r>
      <rPr>
        <sz val="8"/>
        <color rgb="FF8B95A1"/>
        <rFont val="Calibri"/>
        <family val="2"/>
      </rPr>
      <t xml:space="preserve"> </t>
    </r>
    <r>
      <rPr>
        <sz val="8"/>
        <color rgb="FF8B95A1"/>
        <rFont val="맑은 고딕"/>
        <family val="3"/>
        <charset val="129"/>
      </rPr>
      <t>총공사비</t>
    </r>
    <r>
      <rPr>
        <sz val="8"/>
        <color rgb="FF8B95A1"/>
        <rFont val="Calibri"/>
        <family val="2"/>
      </rPr>
      <t>·</t>
    </r>
    <r>
      <rPr>
        <sz val="8"/>
        <color rgb="FF8B95A1"/>
        <rFont val="맑은 고딕"/>
        <family val="3"/>
        <charset val="129"/>
      </rPr>
      <t>연면적</t>
    </r>
    <r>
      <rPr>
        <sz val="8"/>
        <color rgb="FF8B95A1"/>
        <rFont val="Calibri"/>
        <family val="2"/>
      </rPr>
      <t>·</t>
    </r>
    <r>
      <rPr>
        <sz val="8"/>
        <color rgb="FF8B95A1"/>
        <rFont val="맑은 고딕"/>
        <family val="3"/>
        <charset val="129"/>
      </rPr>
      <t>규모는</t>
    </r>
    <r>
      <rPr>
        <sz val="8"/>
        <color rgb="FF8B95A1"/>
        <rFont val="Calibri"/>
        <family val="2"/>
      </rPr>
      <t xml:space="preserve"> </t>
    </r>
    <r>
      <rPr>
        <sz val="8"/>
        <color rgb="FF8B95A1"/>
        <rFont val="맑은 고딕"/>
        <family val="3"/>
        <charset val="129"/>
      </rPr>
      <t>「1</t>
    </r>
    <r>
      <rPr>
        <sz val="8"/>
        <color rgb="FF8B95A1"/>
        <rFont val="Calibri"/>
        <family val="2"/>
      </rPr>
      <t xml:space="preserve">. </t>
    </r>
    <r>
      <rPr>
        <sz val="8"/>
        <color rgb="FF8B95A1"/>
        <rFont val="맑은 고딕"/>
        <family val="3"/>
        <charset val="129"/>
      </rPr>
      <t>기본정보」에서</t>
    </r>
    <r>
      <rPr>
        <sz val="8"/>
        <color rgb="FF8B95A1"/>
        <rFont val="Calibri"/>
        <family val="2"/>
      </rPr>
      <t xml:space="preserve"> </t>
    </r>
    <r>
      <rPr>
        <sz val="8"/>
        <color rgb="FF8B95A1"/>
        <rFont val="맑은 고딕"/>
        <family val="3"/>
        <charset val="129"/>
      </rPr>
      <t>자동</t>
    </r>
    <r>
      <rPr>
        <sz val="8"/>
        <color rgb="FF8B95A1"/>
        <rFont val="Calibri"/>
        <family val="2"/>
      </rPr>
      <t xml:space="preserve"> </t>
    </r>
    <r>
      <rPr>
        <sz val="8"/>
        <color rgb="FF8B95A1"/>
        <rFont val="맑은 고딕"/>
        <family val="3"/>
        <charset val="129"/>
      </rPr>
      <t>연동됩니다</t>
    </r>
    <r>
      <rPr>
        <sz val="8"/>
        <color rgb="FF8B95A1"/>
        <rFont val="Calibri"/>
        <family val="2"/>
      </rPr>
      <t>.</t>
    </r>
    <phoneticPr fontId="5" type="noConversion"/>
  </si>
  <si>
    <t>※ 산정공식 결과(Y)에는 비작업일수가 포함되어 있으므로 준비기간·정리기간만 추가합니다. (참고1)</t>
    <phoneticPr fontId="5" type="noConversion"/>
  </si>
  <si>
    <t>Y = -68.550 + 18.192×B + 12.079×G 5.25×ln(A) + 167.632×ln(C)</t>
    <phoneticPr fontId="5" type="noConversion"/>
  </si>
  <si>
    <t>Y = -21.674 + 7.953×G 
+ 116.835×ln(C)</t>
    <phoneticPr fontId="5" type="noConversion"/>
  </si>
  <si>
    <t>다변수 공식 변수</t>
    <phoneticPr fontId="5" type="noConversion"/>
  </si>
  <si>
    <t>시설물별 공사기간 산정공식</t>
    <phoneticPr fontId="5" type="noConversion"/>
  </si>
  <si>
    <t>산정
결과</t>
    <phoneticPr fontId="5" type="noConversion"/>
  </si>
  <si>
    <t>「1. 기본정보」 연면적 ÷ 100 자동작성 (1,000단위)</t>
    <phoneticPr fontId="5" type="noConversion"/>
  </si>
  <si>
    <t xml:space="preserve">연면적 A </t>
    <phoneticPr fontId="5" type="noConversion"/>
  </si>
  <si>
    <t>지상층수 G</t>
    <phoneticPr fontId="5" type="noConversion"/>
  </si>
  <si>
    <t xml:space="preserve">지하층수 B </t>
    <phoneticPr fontId="5" type="noConversion"/>
  </si>
  <si>
    <t>「1. 기본정보」 규모 → 지상층수 자동작성 (층 단위)</t>
    <phoneticPr fontId="5" type="noConversion"/>
  </si>
  <si>
    <t>「1. 기본정보」 규모 → 지하층수 자동작성 (층 단위)</t>
    <phoneticPr fontId="5" type="noConversion"/>
  </si>
  <si>
    <t>[검토3안] 표준공기 산정</t>
    <phoneticPr fontId="5" type="noConversion"/>
  </si>
  <si>
    <t>건축물 유형</t>
    <phoneticPr fontId="5" type="noConversion"/>
  </si>
  <si>
    <t>산정공식</t>
    <phoneticPr fontId="5" type="noConversion"/>
  </si>
  <si>
    <t>변수 정의</t>
    <phoneticPr fontId="5" type="noConversion"/>
  </si>
  <si>
    <t>적용범위</t>
    <phoneticPr fontId="5" type="noConversion"/>
  </si>
  <si>
    <t>작업조건 / 산출근거</t>
    <phoneticPr fontId="5" type="noConversion"/>
  </si>
  <si>
    <t>1일
작업량</t>
    <phoneticPr fontId="5" type="noConversion"/>
  </si>
  <si>
    <t>준비기간 (비작업일수 미계상)</t>
    <phoneticPr fontId="5" type="noConversion"/>
  </si>
  <si>
    <t>정리기간 (비작업일수 미계상)</t>
    <phoneticPr fontId="5" type="noConversion"/>
  </si>
  <si>
    <t>참고: 건설공사 유형별 준비기간 예시 (2026년 가이드라인)</t>
    <phoneticPr fontId="5" type="noConversion"/>
  </si>
  <si>
    <t>3. 작업제한 기상조건</t>
    <phoneticPr fontId="5" type="noConversion"/>
  </si>
  <si>
    <t>공사기간 내 비작업일수 산정</t>
    <phoneticPr fontId="5" type="noConversion"/>
  </si>
  <si>
    <t>공사기간 내 비작업일수 합계 (착수예정일 C3 기준 · C4개월 월별 실산정)</t>
  </si>
  <si>
    <t>항목</t>
  </si>
  <si>
    <t>근거</t>
  </si>
  <si>
    <t>적용 근거</t>
  </si>
  <si>
    <t>「관공서의 공휴일에 관한 규정」에 따른 공휴일 및 대체공휴일을 비작업일수에 포함하여 산정</t>
  </si>
  <si>
    <t>공사기간 산정기준 고시 · 가이드라인 부록1</t>
  </si>
  <si>
    <t>공휴일 (제2조)</t>
  </si>
  <si>
    <t>일요일, 국경일(3·1절·광복절·개천절·한글날), 1월 1일, 설날·추석 각 3일, 부처님오신날, 어린이날, 현충일, 성탄절 등</t>
  </si>
  <si>
    <t>관공서 공휴일 규정 제2조</t>
  </si>
  <si>
    <t>대체공휴일 (제3조)</t>
  </si>
  <si>
    <t>3·1절·광복절·개천절·한글날·어린이날·부처님오신날·성탄절이 토·일요일과 겹치거나, 설날·추석이 일요일·다른 공휴일과 겹치면 다음 첫 비공휴일을 대체 지정</t>
  </si>
  <si>
    <t>관공서 공휴일 규정 제3조</t>
  </si>
  <si>
    <t>제외 대상</t>
  </si>
  <si>
    <t>공직선거법상 선거일 및 정부가 수시 지정하는 임시공휴일은 산정에서 제외</t>
  </si>
  <si>
    <t>가이드라인</t>
  </si>
  <si>
    <t>데이터 기간</t>
  </si>
  <si>
    <t>2026~2035년은 가이드라인 부록1 공식 수치, 2036~2040년은 동일 규정에 따른 산출값</t>
  </si>
  <si>
    <t>가이드라인 부록1 / 관공서 공휴일 규정</t>
  </si>
  <si>
    <t>산정 반영</t>
  </si>
  <si>
    <t>법정공휴일수(A)는 기상 비작업일수(B)와 합산 후 중복일수(C)를 차감하여 월별 비작업일수 산정</t>
  </si>
  <si>
    <t>공사기간 산정기준 고시</t>
  </si>
  <si>
    <t>※ 출처: 국가법령정보센터 「관공서의 공휴일에 관한 규정」 제2조·제3조, 「공공 건설공사의 공사기간 산정기준」(국토교통부고시 제2024-1021호, 2025.1.6. 시행)</t>
  </si>
  <si>
    <t>월별 비작업일수 산정표 (철근콘크리트공사 기준 — 기상조건: 동절기·강우·강풍·혹서기 적용)</t>
    <phoneticPr fontId="5" type="noConversion"/>
  </si>
  <si>
    <t>법정공휴일수 산정 법적 기준</t>
    <phoneticPr fontId="5" type="noConversion"/>
  </si>
  <si>
    <t>비작업일수 — 월별 산정 (전남·광주 기준)</t>
  </si>
  <si>
    <t>비작업일수 구성 (전체 공사기간)</t>
  </si>
  <si>
    <t>법정공휴일</t>
  </si>
  <si>
    <t>기상 비작업</t>
  </si>
  <si>
    <t>고시 제8~10조 · 주40시간 하한 적용</t>
  </si>
  <si>
    <t>구성</t>
  </si>
  <si>
    <t>일수</t>
  </si>
  <si>
    <t>월별 비작업일수 (연간 프로파일 · 전남·광주)</t>
  </si>
  <si>
    <t>산정 공식 (고시 제8조①)    비작업일수 = A(기상) + B(법정공휴일) − C(중복일수)     ※ 월별 비작업일수 ≥ 주40시간 근무제(월 8일)</t>
  </si>
  <si>
    <t>■ 법정공휴일</t>
  </si>
  <si>
    <t>■ 기상 비작업</t>
  </si>
  <si>
    <t>■ 중복 차감</t>
  </si>
  <si>
    <t>■ 적용(순)</t>
  </si>
  <si>
    <t>공사기간 산정 검토 요약 대시보드(검토1안 전용)</t>
    <phoneticPr fontId="5" type="noConversion"/>
  </si>
  <si>
    <t>포함</t>
    <phoneticPr fontId="5" type="noConversion"/>
  </si>
  <si>
    <t>도서지역 할증 미해당 (할증 0%)</t>
  </si>
  <si>
    <t>· 출처: 국토교통부 「2026년 적정 공사기간 확보를 위한 가이드라인」 / 고시 제2024-1021호 / 국가법령정보센터</t>
    <phoneticPr fontId="5" type="noConversion"/>
  </si>
  <si>
    <r>
      <rPr>
        <b/>
        <sz val="11"/>
        <color theme="0"/>
        <rFont val="Segoe UI Emoji"/>
        <family val="2"/>
      </rPr>
      <t>🔗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Segoe UI Symbol"/>
        <family val="2"/>
      </rPr>
      <t>③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검토</t>
    </r>
    <r>
      <rPr>
        <b/>
        <sz val="11"/>
        <color theme="0"/>
        <rFont val="Calibri"/>
        <family val="2"/>
      </rPr>
      <t>3</t>
    </r>
    <r>
      <rPr>
        <b/>
        <sz val="11"/>
        <color theme="0"/>
        <rFont val="맑은 고딕"/>
        <family val="3"/>
        <charset val="129"/>
      </rPr>
      <t>안</t>
    </r>
    <r>
      <rPr>
        <b/>
        <sz val="11"/>
        <color theme="0"/>
        <rFont val="Calibri"/>
        <family val="2"/>
      </rPr>
      <t xml:space="preserve"> — </t>
    </r>
    <r>
      <rPr>
        <b/>
        <sz val="11"/>
        <color theme="0"/>
        <rFont val="맑은 고딕"/>
        <family val="3"/>
        <charset val="129"/>
      </rPr>
      <t>시설물별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산정공식</t>
    </r>
    <r>
      <rPr>
        <b/>
        <sz val="11"/>
        <color theme="0"/>
        <rFont val="Calibri"/>
        <family val="2"/>
      </rPr>
      <t>(</t>
    </r>
    <r>
      <rPr>
        <b/>
        <sz val="11"/>
        <color theme="0"/>
        <rFont val="맑은 고딕"/>
        <family val="3"/>
        <charset val="129"/>
      </rPr>
      <t>부록</t>
    </r>
    <r>
      <rPr>
        <b/>
        <sz val="11"/>
        <color theme="0"/>
        <rFont val="Calibri"/>
        <family val="2"/>
      </rPr>
      <t xml:space="preserve">5) </t>
    </r>
    <r>
      <rPr>
        <b/>
        <sz val="11"/>
        <color theme="0"/>
        <rFont val="맑은 고딕"/>
        <family val="3"/>
        <charset val="129"/>
      </rPr>
      <t>방식</t>
    </r>
    <phoneticPr fontId="5" type="noConversion"/>
  </si>
  <si>
    <t>4. 준비기간·정리기간(안)</t>
    <phoneticPr fontId="5" type="noConversion"/>
  </si>
  <si>
    <t>검토3안 · 산정공식</t>
  </si>
  <si>
    <t>철거(㎡) / 석면(㎡)</t>
    <phoneticPr fontId="5" type="noConversion"/>
  </si>
  <si>
    <t>4. 세부 공사일수</t>
    <phoneticPr fontId="5" type="noConversion"/>
  </si>
  <si>
    <t>기상 지점</t>
    <phoneticPr fontId="5" type="noConversion"/>
  </si>
  <si>
    <t>강우</t>
  </si>
  <si>
    <t>강우</t>
    <phoneticPr fontId="5" type="noConversion"/>
  </si>
  <si>
    <t>혹서기, 동절기, 강우, 바람 지역 선정</t>
    <phoneticPr fontId="5" type="noConversion"/>
  </si>
  <si>
    <t>목포</t>
  </si>
  <si>
    <t>혹서기</t>
  </si>
  <si>
    <t>동절기</t>
  </si>
  <si>
    <t>바람</t>
  </si>
  <si>
    <t>체감온도 33℃ 이상</t>
  </si>
  <si>
    <t>일최고기온 0℃ 이하</t>
  </si>
  <si>
    <t>일강수량 3mm 이상</t>
  </si>
  <si>
    <t>일최대순간풍속 15m/s 이상</t>
  </si>
  <si>
    <t>체감온도 35℃ 이상</t>
  </si>
  <si>
    <t>일최심신적설 5cm 이상</t>
  </si>
  <si>
    <t>일강수량 5mm 이상</t>
  </si>
  <si>
    <t>일최고기온 33℃ 이상</t>
  </si>
  <si>
    <t>일최고기온 0℃ 이하 또는 신적설 5cm</t>
  </si>
  <si>
    <t>일강수량 10mm 이상</t>
  </si>
  <si>
    <t>일최고기온 35℃ 이상</t>
  </si>
  <si>
    <t>일최저기온 -12℃ 이하</t>
  </si>
  <si>
    <t>일강수량 20mm 이상</t>
  </si>
  <si>
    <t>기상조건</t>
  </si>
  <si>
    <t>행정구역</t>
  </si>
  <si>
    <t>지점명</t>
  </si>
  <si>
    <t>코드</t>
  </si>
  <si>
    <r>
      <rPr>
        <b/>
        <sz val="8"/>
        <color rgb="FFFFFFFF"/>
        <rFont val="맑은 고딕"/>
        <family val="3"/>
        <charset val="129"/>
      </rPr>
      <t>1</t>
    </r>
    <r>
      <rPr>
        <b/>
        <sz val="8"/>
        <color rgb="FFFFFFFF"/>
        <rFont val="Noto Sans CJK SC"/>
        <family val="2"/>
      </rPr>
      <t>월</t>
    </r>
  </si>
  <si>
    <r>
      <rPr>
        <b/>
        <sz val="8"/>
        <color rgb="FFFFFFFF"/>
        <rFont val="맑은 고딕"/>
        <family val="3"/>
        <charset val="129"/>
      </rPr>
      <t>2</t>
    </r>
    <r>
      <rPr>
        <b/>
        <sz val="8"/>
        <color rgb="FFFFFFFF"/>
        <rFont val="Noto Sans CJK SC"/>
        <family val="2"/>
      </rPr>
      <t>월</t>
    </r>
  </si>
  <si>
    <r>
      <rPr>
        <b/>
        <sz val="8"/>
        <color rgb="FFFFFFFF"/>
        <rFont val="맑은 고딕"/>
        <family val="3"/>
        <charset val="129"/>
      </rPr>
      <t>3</t>
    </r>
    <r>
      <rPr>
        <b/>
        <sz val="8"/>
        <color rgb="FFFFFFFF"/>
        <rFont val="Noto Sans CJK SC"/>
        <family val="2"/>
      </rPr>
      <t>월</t>
    </r>
  </si>
  <si>
    <r>
      <rPr>
        <b/>
        <sz val="8"/>
        <color rgb="FFFFFFFF"/>
        <rFont val="맑은 고딕"/>
        <family val="3"/>
        <charset val="129"/>
      </rPr>
      <t>4</t>
    </r>
    <r>
      <rPr>
        <b/>
        <sz val="8"/>
        <color rgb="FFFFFFFF"/>
        <rFont val="Noto Sans CJK SC"/>
        <family val="2"/>
      </rPr>
      <t>월</t>
    </r>
  </si>
  <si>
    <r>
      <rPr>
        <b/>
        <sz val="8"/>
        <color rgb="FFFFFFFF"/>
        <rFont val="맑은 고딕"/>
        <family val="3"/>
        <charset val="129"/>
      </rPr>
      <t>5</t>
    </r>
    <r>
      <rPr>
        <b/>
        <sz val="8"/>
        <color rgb="FFFFFFFF"/>
        <rFont val="Noto Sans CJK SC"/>
        <family val="2"/>
      </rPr>
      <t>월</t>
    </r>
  </si>
  <si>
    <r>
      <rPr>
        <b/>
        <sz val="8"/>
        <color rgb="FFFFFFFF"/>
        <rFont val="맑은 고딕"/>
        <family val="3"/>
        <charset val="129"/>
      </rPr>
      <t>6</t>
    </r>
    <r>
      <rPr>
        <b/>
        <sz val="8"/>
        <color rgb="FFFFFFFF"/>
        <rFont val="Noto Sans CJK SC"/>
        <family val="2"/>
      </rPr>
      <t>월</t>
    </r>
  </si>
  <si>
    <r>
      <rPr>
        <b/>
        <sz val="8"/>
        <color rgb="FFFFFFFF"/>
        <rFont val="맑은 고딕"/>
        <family val="3"/>
        <charset val="129"/>
      </rPr>
      <t>7</t>
    </r>
    <r>
      <rPr>
        <b/>
        <sz val="8"/>
        <color rgb="FFFFFFFF"/>
        <rFont val="Noto Sans CJK SC"/>
        <family val="2"/>
      </rPr>
      <t>월</t>
    </r>
  </si>
  <si>
    <r>
      <rPr>
        <b/>
        <sz val="8"/>
        <color rgb="FFFFFFFF"/>
        <rFont val="맑은 고딕"/>
        <family val="3"/>
        <charset val="129"/>
      </rPr>
      <t>8</t>
    </r>
    <r>
      <rPr>
        <b/>
        <sz val="8"/>
        <color rgb="FFFFFFFF"/>
        <rFont val="Noto Sans CJK SC"/>
        <family val="2"/>
      </rPr>
      <t>월</t>
    </r>
  </si>
  <si>
    <r>
      <rPr>
        <b/>
        <sz val="8"/>
        <color rgb="FFFFFFFF"/>
        <rFont val="맑은 고딕"/>
        <family val="3"/>
        <charset val="129"/>
      </rPr>
      <t>9</t>
    </r>
    <r>
      <rPr>
        <b/>
        <sz val="8"/>
        <color rgb="FFFFFFFF"/>
        <rFont val="Noto Sans CJK SC"/>
        <family val="2"/>
      </rPr>
      <t>월</t>
    </r>
  </si>
  <si>
    <r>
      <rPr>
        <b/>
        <sz val="8"/>
        <color rgb="FFFFFFFF"/>
        <rFont val="맑은 고딕"/>
        <family val="3"/>
        <charset val="129"/>
      </rPr>
      <t>10</t>
    </r>
    <r>
      <rPr>
        <b/>
        <sz val="8"/>
        <color rgb="FFFFFFFF"/>
        <rFont val="Noto Sans CJK SC"/>
        <family val="2"/>
      </rPr>
      <t>월</t>
    </r>
  </si>
  <si>
    <r>
      <rPr>
        <b/>
        <sz val="8"/>
        <color rgb="FFFFFFFF"/>
        <rFont val="맑은 고딕"/>
        <family val="3"/>
        <charset val="129"/>
      </rPr>
      <t>11</t>
    </r>
    <r>
      <rPr>
        <b/>
        <sz val="8"/>
        <color rgb="FFFFFFFF"/>
        <rFont val="Noto Sans CJK SC"/>
        <family val="2"/>
      </rPr>
      <t>월</t>
    </r>
  </si>
  <si>
    <r>
      <rPr>
        <b/>
        <sz val="8"/>
        <color rgb="FFFFFFFF"/>
        <rFont val="맑은 고딕"/>
        <family val="3"/>
        <charset val="129"/>
      </rPr>
      <t>12</t>
    </r>
    <r>
      <rPr>
        <b/>
        <sz val="8"/>
        <color rgb="FFFFFFFF"/>
        <rFont val="Noto Sans CJK SC"/>
        <family val="2"/>
      </rPr>
      <t>월</t>
    </r>
  </si>
  <si>
    <t>광주광역시</t>
  </si>
  <si>
    <t>광주</t>
  </si>
  <si>
    <t>전라남도</t>
  </si>
  <si>
    <t>여수</t>
  </si>
  <si>
    <t>순천</t>
  </si>
  <si>
    <t>완도</t>
  </si>
  <si>
    <t>고흥</t>
  </si>
  <si>
    <t>해남</t>
  </si>
  <si>
    <t>진도군</t>
  </si>
  <si>
    <t>흑산도</t>
  </si>
  <si>
    <t>비작업일수 = A(기상) + B(법정공휴일) − C(중복일수)  |  단, 월별 비작업일수 ≥ 주40시간 근무제 비작업일수 (월 8일)  |  고시 제8조①</t>
    <phoneticPr fontId="5" type="noConversion"/>
  </si>
  <si>
    <t>지점</t>
    <phoneticPr fontId="5" type="noConversion"/>
  </si>
  <si>
    <t>착수연도</t>
    <phoneticPr fontId="5" type="noConversion"/>
  </si>
  <si>
    <t>착수월</t>
    <phoneticPr fontId="5" type="noConversion"/>
  </si>
  <si>
    <t>공사기간</t>
    <phoneticPr fontId="5" type="noConversion"/>
  </si>
  <si>
    <t>혹서기</t>
    <phoneticPr fontId="5" type="noConversion"/>
  </si>
  <si>
    <t>동절기</t>
    <phoneticPr fontId="5" type="noConversion"/>
  </si>
  <si>
    <t>바람</t>
    <phoneticPr fontId="5" type="noConversion"/>
  </si>
  <si>
    <t>체감온도 33℃ 이상</t>
    <phoneticPr fontId="5" type="noConversion"/>
  </si>
  <si>
    <t>일최고기온 0℃ 이하</t>
    <phoneticPr fontId="5" type="noConversion"/>
  </si>
  <si>
    <t>일강수량 3mm 이상</t>
    <phoneticPr fontId="5" type="noConversion"/>
  </si>
  <si>
    <t>일최대순간풍속 15m/s 이상</t>
    <phoneticPr fontId="5" type="noConversion"/>
  </si>
  <si>
    <t>체감온도 35℃ 이상</t>
    <phoneticPr fontId="5" type="noConversion"/>
  </si>
  <si>
    <t>일최심신적설 5cm 이상</t>
    <phoneticPr fontId="5" type="noConversion"/>
  </si>
  <si>
    <t>일강수량 5mm 이상</t>
    <phoneticPr fontId="5" type="noConversion"/>
  </si>
  <si>
    <t>일최고기온 33℃ 이상</t>
    <phoneticPr fontId="5" type="noConversion"/>
  </si>
  <si>
    <t>일최고기온 0℃ 이하 또는 신적설 5cm</t>
    <phoneticPr fontId="5" type="noConversion"/>
  </si>
  <si>
    <t>일강수량 10mm 이상</t>
    <phoneticPr fontId="5" type="noConversion"/>
  </si>
  <si>
    <t>일최고기온 35℃ 이상</t>
    <phoneticPr fontId="5" type="noConversion"/>
  </si>
  <si>
    <t>일최저기온 -12℃ 이하</t>
    <phoneticPr fontId="5" type="noConversion"/>
  </si>
  <si>
    <t>일강수량 20mm 이상</t>
    <phoneticPr fontId="5" type="noConversion"/>
  </si>
  <si>
    <t xml:space="preserve">  ■ 공사기간 내 월별 비작업일수 산정표</t>
    <phoneticPr fontId="5" type="noConversion"/>
  </si>
  <si>
    <t>구분</t>
    <phoneticPr fontId="5" type="noConversion"/>
  </si>
  <si>
    <t>기상조건</t>
    <phoneticPr fontId="5" type="noConversion"/>
  </si>
  <si>
    <t>1월</t>
    <phoneticPr fontId="5" type="noConversion"/>
  </si>
  <si>
    <t>2월</t>
    <phoneticPr fontId="5" type="noConversion"/>
  </si>
  <si>
    <t>3월</t>
    <phoneticPr fontId="5" type="noConversion"/>
  </si>
  <si>
    <t>4월</t>
    <phoneticPr fontId="5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</si>
  <si>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</si>
  <si>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</si>
  <si>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</si>
  <si>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</si>
  <si>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</si>
  <si>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</si>
  <si>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</si>
  <si>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12월</t>
    <phoneticPr fontId="5" type="noConversion"/>
  </si>
  <si>
    <t>합계</t>
    <phoneticPr fontId="5" type="noConversion"/>
  </si>
  <si>
    <t>풍속 15m/s 이상</t>
    <phoneticPr fontId="5" type="noConversion"/>
  </si>
  <si>
    <t>기상(A합계)</t>
    <phoneticPr fontId="5" type="noConversion"/>
  </si>
  <si>
    <t>적용조건 합산 (Y항목만)</t>
    <phoneticPr fontId="5" type="noConversion"/>
  </si>
  <si>
    <t>법정공휴일(B)</t>
    <phoneticPr fontId="5" type="noConversion"/>
  </si>
  <si>
    <t>중복일수(C)</t>
    <phoneticPr fontId="5" type="noConversion"/>
  </si>
  <si>
    <t>C=ROUND(B×A÷달력일수, 0)</t>
    <phoneticPr fontId="5" type="noConversion"/>
  </si>
  <si>
    <t>A+B-C</t>
    <phoneticPr fontId="5" type="noConversion"/>
  </si>
  <si>
    <t>산술 합계</t>
    <phoneticPr fontId="5" type="noConversion"/>
  </si>
  <si>
    <t>주40H 하한</t>
    <phoneticPr fontId="5" type="noConversion"/>
  </si>
  <si>
    <t>월 8일 (고시 제8조②)</t>
    <phoneticPr fontId="5" type="noConversion"/>
  </si>
  <si>
    <t>▶ 적용 비작업일수</t>
    <phoneticPr fontId="5" type="noConversion"/>
  </si>
  <si>
    <t>MAX(A+B-C, 8일)</t>
    <phoneticPr fontId="5" type="noConversion"/>
  </si>
  <si>
    <t>※ 기상데이터: 부록 3(광주광역시 지점코드156 · 2015~2024년 10년 평균) / 적용조건: 동절기(일최고기온 0℃ 이하) + 강우(일강수량 3mm 이상) 기본 적용 / 필요시 이 시트 하단 '기상조건 선택'표에서 Y/N 변경</t>
    <phoneticPr fontId="5" type="noConversion"/>
  </si>
  <si>
    <t xml:space="preserve">  ■ 산정 기준 (기본정보 연동)</t>
  </si>
  <si>
    <t>직접 입력</t>
    <phoneticPr fontId="5" type="noConversion"/>
  </si>
  <si>
    <r>
      <rPr>
        <sz val="8"/>
        <color rgb="FF8B95A1"/>
        <rFont val="맑은 고딕"/>
        <family val="3"/>
        <charset val="129"/>
      </rPr>
      <t>※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「관공서의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공휴일에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관한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규정」에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따른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공휴일·대체공휴일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적용. 선거일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및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정부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수시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지정일</t>
    </r>
    <r>
      <rPr>
        <sz val="8"/>
        <color rgb="FF8B95A1"/>
        <rFont val="Arial"/>
        <family val="2"/>
      </rPr>
      <t xml:space="preserve"> </t>
    </r>
    <r>
      <rPr>
        <sz val="8"/>
        <color rgb="FF8B95A1"/>
        <rFont val="맑은 고딕"/>
        <family val="3"/>
        <charset val="129"/>
      </rPr>
      <t>제외</t>
    </r>
    <phoneticPr fontId="5" type="noConversion"/>
  </si>
  <si>
    <t>해당될 경우 작성</t>
    <phoneticPr fontId="5" type="noConversion"/>
  </si>
  <si>
    <t>선택</t>
  </si>
  <si>
    <t xml:space="preserve">  ■ 기상조건 (기본정보 시트 연동 — 선택은 기본정보에서)</t>
  </si>
  <si>
    <t>세부 기준</t>
  </si>
  <si>
    <r>
      <t xml:space="preserve">기상조건 선택 (적용할 조건에 </t>
    </r>
    <r>
      <rPr>
        <b/>
        <sz val="11"/>
        <color rgb="FFFFFFFF"/>
        <rFont val="Segoe UI Symbol"/>
        <family val="2"/>
      </rPr>
      <t>☑</t>
    </r>
    <r>
      <rPr>
        <b/>
        <sz val="11"/>
        <color rgb="FFFFFFFF"/>
        <rFont val="맑은 고딕"/>
        <family val="3"/>
        <charset val="129"/>
      </rPr>
      <t xml:space="preserve"> 체크)</t>
    </r>
    <phoneticPr fontId="5" type="noConversion"/>
  </si>
  <si>
    <t>▼비작업 구성(공사기간 내)</t>
  </si>
  <si>
    <t>「부록1」 연동 · 고시 제7조</t>
  </si>
  <si>
    <t>「부록3」 연동 (공사기간 내 비작업일수 합계)</t>
  </si>
  <si>
    <t>「부록1」 연동 · 고시 제12조</t>
  </si>
  <si>
    <t>참고1 공종별 1일 작업량 (건축분야)</t>
    <phoneticPr fontId="5" type="noConversion"/>
  </si>
  <si>
    <t>부록1 준비기간 및 정리기간 산정 (고시 제7조, 제12조)</t>
    <phoneticPr fontId="5" type="noConversion"/>
  </si>
  <si>
    <t xml:space="preserve">부록2  법정공휴일수 (2026~2040년) </t>
    <phoneticPr fontId="5" type="noConversion"/>
  </si>
  <si>
    <t>부록3 비작업일수 산정</t>
    <phoneticPr fontId="5" type="noConversion"/>
  </si>
  <si>
    <r>
      <rPr>
        <b/>
        <sz val="14"/>
        <color rgb="FFFFFFFF"/>
        <rFont val="맑은 고딕"/>
        <family val="3"/>
        <charset val="129"/>
      </rPr>
      <t>부록4 기상비작업일수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산정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계산서</t>
    </r>
    <r>
      <rPr>
        <b/>
        <sz val="14"/>
        <color rgb="FFFFFFFF"/>
        <rFont val="Arial"/>
        <family val="2"/>
      </rPr>
      <t xml:space="preserve"> </t>
    </r>
    <phoneticPr fontId="5" type="noConversion"/>
  </si>
  <si>
    <r>
      <rPr>
        <b/>
        <sz val="12"/>
        <color rgb="FFFFFFFF"/>
        <rFont val="맑은 고딕"/>
        <family val="3"/>
        <charset val="129"/>
      </rPr>
      <t>부록</t>
    </r>
    <r>
      <rPr>
        <b/>
        <sz val="12"/>
        <color rgb="FFFFFFFF"/>
        <rFont val="Arial"/>
        <family val="2"/>
      </rPr>
      <t xml:space="preserve"> 5  </t>
    </r>
    <r>
      <rPr>
        <b/>
        <sz val="12"/>
        <color rgb="FFFFFFFF"/>
        <rFont val="맑은 고딕"/>
        <family val="3"/>
        <charset val="129"/>
      </rPr>
      <t>기상조건별</t>
    </r>
    <r>
      <rPr>
        <b/>
        <sz val="12"/>
        <color rgb="FFFFFFFF"/>
        <rFont val="Arial"/>
        <family val="2"/>
      </rPr>
      <t>·</t>
    </r>
    <r>
      <rPr>
        <b/>
        <sz val="12"/>
        <color rgb="FFFFFFFF"/>
        <rFont val="맑은 고딕"/>
        <family val="3"/>
        <charset val="129"/>
      </rPr>
      <t>지역별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비작업일수</t>
    </r>
    <r>
      <rPr>
        <b/>
        <sz val="12"/>
        <color rgb="FFFFFFFF"/>
        <rFont val="Arial"/>
        <family val="2"/>
      </rPr>
      <t xml:space="preserve">  </t>
    </r>
    <r>
      <rPr>
        <b/>
        <sz val="12"/>
        <color rgb="FFFFFFFF"/>
        <rFont val="맑은 고딕"/>
        <family val="3"/>
        <charset val="129"/>
      </rPr>
      <t>전남</t>
    </r>
    <r>
      <rPr>
        <b/>
        <sz val="12"/>
        <color rgb="FFFFFFFF"/>
        <rFont val="Arial"/>
        <family val="2"/>
      </rPr>
      <t>·</t>
    </r>
    <r>
      <rPr>
        <b/>
        <sz val="12"/>
        <color rgb="FFFFFFFF"/>
        <rFont val="맑은 고딕"/>
        <family val="3"/>
        <charset val="129"/>
      </rPr>
      <t>광주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지역</t>
    </r>
    <r>
      <rPr>
        <b/>
        <sz val="12"/>
        <color rgb="FFFFFFFF"/>
        <rFont val="Arial"/>
        <family val="2"/>
      </rPr>
      <t xml:space="preserve">  (2015~2024</t>
    </r>
    <r>
      <rPr>
        <b/>
        <sz val="12"/>
        <color rgb="FFFFFFFF"/>
        <rFont val="맑은 고딕"/>
        <family val="3"/>
        <charset val="129"/>
      </rPr>
      <t>년</t>
    </r>
    <r>
      <rPr>
        <b/>
        <sz val="12"/>
        <color rgb="FFFFFFFF"/>
        <rFont val="Arial"/>
        <family val="2"/>
      </rPr>
      <t xml:space="preserve"> 10</t>
    </r>
    <r>
      <rPr>
        <b/>
        <sz val="12"/>
        <color rgb="FFFFFFFF"/>
        <rFont val="맑은 고딕"/>
        <family val="3"/>
        <charset val="129"/>
      </rPr>
      <t>년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평균</t>
    </r>
    <r>
      <rPr>
        <b/>
        <sz val="12"/>
        <color rgb="FFFFFFFF"/>
        <rFont val="Arial"/>
        <family val="2"/>
      </rPr>
      <t>)</t>
    </r>
    <phoneticPr fontId="5" type="noConversion"/>
  </si>
  <si>
    <t>적정 공사기간 확보를 위한 가이드라인 (국토교통부 고시 제2024-1021호) 기준</t>
  </si>
  <si>
    <t>공사기간 산정 검토 보고서</t>
  </si>
  <si>
    <t>총 공사비</t>
  </si>
  <si>
    <t>1-1. 공사기간 검토 기준</t>
    <phoneticPr fontId="5" type="noConversion"/>
  </si>
  <si>
    <t>검토1안
표준품셈 방식</t>
  </si>
  <si>
    <t>검토2안
표준공기 방식</t>
  </si>
  <si>
    <t>검토3안
시설물별 산정공식</t>
  </si>
  <si>
    <t>산정공식 결과(Y) + 준비 + 정리</t>
  </si>
  <si>
    <t>준비 + 비작업일수 + 작업일수(순) + 정리</t>
    <phoneticPr fontId="5" type="noConversion"/>
  </si>
  <si>
    <t>공사준비 + 본공사 + 준공 + 정리</t>
    <phoneticPr fontId="5" type="noConversion"/>
  </si>
  <si>
    <r>
      <t xml:space="preserve">표준품셈 작업일수 기준 산정
</t>
    </r>
    <r>
      <rPr>
        <b/>
        <sz val="10"/>
        <color rgb="FF002060"/>
        <rFont val="맑은 고딕"/>
        <family val="3"/>
        <charset val="129"/>
      </rPr>
      <t>(주공정 CP 순작업일수)</t>
    </r>
    <phoneticPr fontId="5" type="noConversion"/>
  </si>
  <si>
    <r>
      <t>국토부 고시</t>
    </r>
    <r>
      <rPr>
        <b/>
        <sz val="10"/>
        <color rgb="FFFF0000"/>
        <rFont val="맑은 고딕"/>
        <family val="3"/>
        <charset val="129"/>
      </rPr>
      <t xml:space="preserve"> </t>
    </r>
    <r>
      <rPr>
        <b/>
        <sz val="10"/>
        <color rgb="FF002060"/>
        <rFont val="맑은 고딕"/>
        <family val="3"/>
        <charset val="129"/>
      </rPr>
      <t>표준공기(기준일) 적용</t>
    </r>
    <phoneticPr fontId="5" type="noConversion"/>
  </si>
  <si>
    <r>
      <rPr>
        <b/>
        <sz val="10"/>
        <color rgb="FF002060"/>
        <rFont val="맑은 고딕"/>
        <family val="3"/>
        <charset val="129"/>
      </rPr>
      <t>시설물별 산정공식</t>
    </r>
    <r>
      <rPr>
        <sz val="10"/>
        <color rgb="FF212121"/>
        <rFont val="맑은 고딕"/>
        <family val="3"/>
        <charset val="129"/>
      </rPr>
      <t xml:space="preserve"> 회귀식 산출</t>
    </r>
    <phoneticPr fontId="5" type="noConversion"/>
  </si>
  <si>
    <t xml:space="preserve">2. 공사기간 검토 결과 </t>
    <phoneticPr fontId="5" type="noConversion"/>
  </si>
  <si>
    <t>산정 기준 (근거)</t>
    <phoneticPr fontId="5" type="noConversion"/>
  </si>
  <si>
    <t>세부 내용 (공사기간 구성)</t>
    <phoneticPr fontId="5" type="noConversion"/>
  </si>
  <si>
    <t>신안교육지원청사 이설공사</t>
    <phoneticPr fontId="5" type="noConversion"/>
  </si>
  <si>
    <t>0/4</t>
    <phoneticPr fontId="5" type="noConversion"/>
  </si>
  <si>
    <t>공종 (작업일수 5일 이상 · 전체)</t>
  </si>
  <si>
    <r>
      <rPr>
        <b/>
        <sz val="10"/>
        <color rgb="FFFFFFFF"/>
        <rFont val="맑은 고딕"/>
        <family val="3"/>
        <charset val="129"/>
      </rPr>
      <t>혹서기：체감온도</t>
    </r>
    <r>
      <rPr>
        <b/>
        <sz val="10"/>
        <color rgb="FFFFFFFF"/>
        <rFont val="Arial"/>
        <family val="2"/>
      </rPr>
      <t xml:space="preserve"> 33</t>
    </r>
    <r>
      <rPr>
        <b/>
        <sz val="10"/>
        <color rgb="FFFFFFFF"/>
        <rFont val="Noto Sans CJK SC"/>
        <family val="1"/>
        <charset val="129"/>
      </rPr>
      <t>℃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이상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</si>
  <si>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혹서기：체감온도</t>
    </r>
    <r>
      <rPr>
        <b/>
        <sz val="10"/>
        <color rgb="FFFFFFFF"/>
        <rFont val="Arial"/>
        <family val="2"/>
      </rPr>
      <t xml:space="preserve"> 35</t>
    </r>
    <r>
      <rPr>
        <b/>
        <sz val="10"/>
        <color rgb="FFFFFFFF"/>
        <rFont val="Noto Sans CJK SC"/>
        <family val="1"/>
        <charset val="129"/>
      </rPr>
      <t>℃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이상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</si>
  <si>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혹서기：일최고기온</t>
    </r>
    <r>
      <rPr>
        <b/>
        <sz val="10"/>
        <color rgb="FFFFFFFF"/>
        <rFont val="Arial"/>
        <family val="2"/>
      </rPr>
      <t xml:space="preserve"> 33</t>
    </r>
    <r>
      <rPr>
        <b/>
        <sz val="10"/>
        <color rgb="FFFFFFFF"/>
        <rFont val="Noto Sans CJK SC"/>
        <family val="1"/>
        <charset val="129"/>
      </rPr>
      <t>℃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이상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</si>
  <si>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혹서기：일최고기온</t>
    </r>
    <r>
      <rPr>
        <b/>
        <sz val="10"/>
        <color rgb="FFFFFFFF"/>
        <rFont val="Arial"/>
        <family val="2"/>
      </rPr>
      <t xml:space="preserve"> 35</t>
    </r>
    <r>
      <rPr>
        <b/>
        <sz val="10"/>
        <color rgb="FFFFFFFF"/>
        <rFont val="Noto Sans CJK SC"/>
        <family val="1"/>
        <charset val="129"/>
      </rPr>
      <t>℃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이상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</si>
  <si>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동절기：일최고기온</t>
    </r>
    <r>
      <rPr>
        <b/>
        <sz val="10"/>
        <color rgb="FFFFFFFF"/>
        <rFont val="Arial"/>
        <family val="2"/>
      </rPr>
      <t xml:space="preserve"> 0</t>
    </r>
    <r>
      <rPr>
        <b/>
        <sz val="10"/>
        <color rgb="FFFFFFFF"/>
        <rFont val="Noto Sans CJK SC"/>
        <family val="1"/>
        <charset val="129"/>
      </rPr>
      <t>℃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이하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</si>
  <si>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동절기：일최심신적설</t>
    </r>
    <r>
      <rPr>
        <b/>
        <sz val="10"/>
        <color rgb="FFFFFFFF"/>
        <rFont val="Arial"/>
        <family val="2"/>
      </rPr>
      <t xml:space="preserve"> 5cm </t>
    </r>
    <r>
      <rPr>
        <b/>
        <sz val="10"/>
        <color rgb="FFFFFFFF"/>
        <rFont val="맑은 고딕"/>
        <family val="3"/>
        <charset val="129"/>
      </rPr>
      <t>이상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</si>
  <si>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동절기：일최고기온</t>
    </r>
    <r>
      <rPr>
        <b/>
        <sz val="10"/>
        <color rgb="FFFFFFFF"/>
        <rFont val="Arial"/>
        <family val="2"/>
      </rPr>
      <t xml:space="preserve"> 0</t>
    </r>
    <r>
      <rPr>
        <b/>
        <sz val="10"/>
        <color rgb="FFFFFFFF"/>
        <rFont val="Noto Sans CJK SC"/>
        <family val="1"/>
        <charset val="129"/>
      </rPr>
      <t>℃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이하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또는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신적설</t>
    </r>
    <r>
      <rPr>
        <b/>
        <sz val="10"/>
        <color rgb="FFFFFFFF"/>
        <rFont val="Arial"/>
        <family val="2"/>
      </rPr>
      <t xml:space="preserve"> 5cm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</si>
  <si>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동절기：일최저기온</t>
    </r>
    <r>
      <rPr>
        <b/>
        <sz val="10"/>
        <color rgb="FFFFFFFF"/>
        <rFont val="Arial"/>
        <family val="2"/>
      </rPr>
      <t xml:space="preserve"> -12</t>
    </r>
    <r>
      <rPr>
        <b/>
        <sz val="10"/>
        <color rgb="FFFFFFFF"/>
        <rFont val="Noto Sans CJK SC"/>
        <family val="1"/>
        <charset val="129"/>
      </rPr>
      <t>℃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이하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</si>
  <si>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강우：일강수량</t>
    </r>
    <r>
      <rPr>
        <b/>
        <sz val="10"/>
        <color rgb="FFFFFFFF"/>
        <rFont val="Arial"/>
        <family val="2"/>
      </rPr>
      <t xml:space="preserve"> 3mm </t>
    </r>
    <r>
      <rPr>
        <b/>
        <sz val="10"/>
        <color rgb="FFFFFFFF"/>
        <rFont val="맑은 고딕"/>
        <family val="3"/>
        <charset val="129"/>
      </rPr>
      <t>이상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</si>
  <si>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강우：일강수량</t>
    </r>
    <r>
      <rPr>
        <b/>
        <sz val="10"/>
        <color rgb="FFFFFFFF"/>
        <rFont val="Arial"/>
        <family val="2"/>
      </rPr>
      <t xml:space="preserve"> 5mm </t>
    </r>
    <r>
      <rPr>
        <b/>
        <sz val="10"/>
        <color rgb="FFFFFFFF"/>
        <rFont val="맑은 고딕"/>
        <family val="3"/>
        <charset val="129"/>
      </rPr>
      <t>이상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</si>
  <si>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강우：일강수량</t>
    </r>
    <r>
      <rPr>
        <b/>
        <sz val="10"/>
        <color rgb="FFFFFFFF"/>
        <rFont val="Arial"/>
        <family val="2"/>
      </rPr>
      <t xml:space="preserve"> 10mm </t>
    </r>
    <r>
      <rPr>
        <b/>
        <sz val="10"/>
        <color rgb="FFFFFFFF"/>
        <rFont val="맑은 고딕"/>
        <family val="3"/>
        <charset val="129"/>
      </rPr>
      <t>이상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</si>
  <si>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강우：일강수량</t>
    </r>
    <r>
      <rPr>
        <b/>
        <sz val="10"/>
        <color rgb="FFFFFFFF"/>
        <rFont val="Arial"/>
        <family val="2"/>
      </rPr>
      <t xml:space="preserve"> 20mm </t>
    </r>
    <r>
      <rPr>
        <b/>
        <sz val="10"/>
        <color rgb="FFFFFFFF"/>
        <rFont val="맑은 고딕"/>
        <family val="3"/>
        <charset val="129"/>
      </rPr>
      <t>이상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</si>
  <si>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바람：일최대순간풍속</t>
    </r>
    <r>
      <rPr>
        <b/>
        <sz val="10"/>
        <color rgb="FFFFFFFF"/>
        <rFont val="Arial"/>
        <family val="2"/>
      </rPr>
      <t xml:space="preserve"> 15m/s </t>
    </r>
    <r>
      <rPr>
        <b/>
        <sz val="10"/>
        <color rgb="FFFFFFFF"/>
        <rFont val="맑은 고딕"/>
        <family val="3"/>
        <charset val="129"/>
      </rPr>
      <t>이상</t>
    </r>
    <phoneticPr fontId="5" type="noConversion"/>
  </si>
  <si>
    <r>
      <t xml:space="preserve">비작업일수 </t>
    </r>
    <r>
      <rPr>
        <sz val="9"/>
        <color rgb="FF1A1A1A"/>
        <rFont val="맑은 고딕"/>
        <family val="3"/>
        <charset val="129"/>
      </rPr>
      <t>= A(</t>
    </r>
    <r>
      <rPr>
        <sz val="9"/>
        <color rgb="FF1A1A1A"/>
        <rFont val="Noto Sans CJK SC"/>
        <family val="2"/>
      </rPr>
      <t>기상</t>
    </r>
    <r>
      <rPr>
        <sz val="9"/>
        <color rgb="FF1A1A1A"/>
        <rFont val="맑은 고딕"/>
        <family val="3"/>
        <charset val="129"/>
      </rPr>
      <t>) + B(</t>
    </r>
    <r>
      <rPr>
        <sz val="9"/>
        <color rgb="FF1A1A1A"/>
        <rFont val="Noto Sans CJK SC"/>
        <family val="2"/>
      </rPr>
      <t>법정공휴일</t>
    </r>
    <r>
      <rPr>
        <sz val="9"/>
        <color rgb="FF1A1A1A"/>
        <rFont val="맑은 고딕"/>
        <family val="3"/>
        <charset val="129"/>
      </rPr>
      <t>) − C(</t>
    </r>
    <r>
      <rPr>
        <sz val="9"/>
        <color rgb="FF1A1A1A"/>
        <rFont val="Noto Sans CJK SC"/>
        <family val="2"/>
      </rPr>
      <t>중복일수</t>
    </r>
    <r>
      <rPr>
        <sz val="9"/>
        <color rgb="FF1A1A1A"/>
        <rFont val="맑은 고딕"/>
        <family val="3"/>
        <charset val="129"/>
      </rPr>
      <t xml:space="preserve">)   </t>
    </r>
    <r>
      <rPr>
        <sz val="9"/>
        <color rgb="FF1A1A1A"/>
        <rFont val="Noto Sans CJK SC"/>
        <family val="2"/>
      </rPr>
      <t>단</t>
    </r>
    <r>
      <rPr>
        <sz val="9"/>
        <color rgb="FF1A1A1A"/>
        <rFont val="맑은 고딕"/>
        <family val="3"/>
        <charset val="129"/>
      </rPr>
      <t xml:space="preserve">, </t>
    </r>
    <r>
      <rPr>
        <sz val="9"/>
        <color rgb="FF1A1A1A"/>
        <rFont val="Noto Sans CJK SC"/>
        <family val="2"/>
      </rPr>
      <t>월별 비작업일수 ≥ 주</t>
    </r>
    <r>
      <rPr>
        <sz val="9"/>
        <color rgb="FF1A1A1A"/>
        <rFont val="맑은 고딕"/>
        <family val="3"/>
        <charset val="129"/>
      </rPr>
      <t>40</t>
    </r>
    <r>
      <rPr>
        <sz val="9"/>
        <color rgb="FF1A1A1A"/>
        <rFont val="Noto Sans CJK SC"/>
        <family val="2"/>
      </rPr>
      <t>시간 근무제 비작업일수</t>
    </r>
    <r>
      <rPr>
        <sz val="9"/>
        <color rgb="FF1A1A1A"/>
        <rFont val="맑은 고딕"/>
        <family val="3"/>
        <charset val="129"/>
      </rPr>
      <t>(</t>
    </r>
    <r>
      <rPr>
        <sz val="9"/>
        <color rgb="FF1A1A1A"/>
        <rFont val="Noto Sans CJK SC"/>
        <family val="2"/>
      </rPr>
      <t xml:space="preserve">월 </t>
    </r>
    <r>
      <rPr>
        <sz val="9"/>
        <color rgb="FF1A1A1A"/>
        <rFont val="맑은 고딕"/>
        <family val="3"/>
        <charset val="129"/>
      </rPr>
      <t>8</t>
    </r>
    <r>
      <rPr>
        <sz val="9"/>
        <color rgb="FF1A1A1A"/>
        <rFont val="Noto Sans CJK SC"/>
        <family val="2"/>
      </rPr>
      <t>일</t>
    </r>
    <r>
      <rPr>
        <sz val="9"/>
        <color rgb="FF1A1A1A"/>
        <rFont val="맑은 고딕"/>
        <family val="3"/>
        <charset val="129"/>
      </rPr>
      <t>)</t>
    </r>
  </si>
  <si>
    <r>
      <t>전남</t>
    </r>
    <r>
      <rPr>
        <sz val="10"/>
        <color rgb="FF1A1A1A"/>
        <rFont val="맑은 고딕"/>
        <family val="3"/>
        <charset val="129"/>
      </rPr>
      <t>·</t>
    </r>
    <r>
      <rPr>
        <sz val="10"/>
        <color rgb="FF1A1A1A"/>
        <rFont val="Noto Sans CJK SC"/>
        <family val="2"/>
      </rPr>
      <t>광주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</si>
</sst>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&quot;일&quot;"/>
    <numFmt numFmtId="177" formatCode="0.0&quot;개월&quot;"/>
    <numFmt numFmtId="178" formatCode="0.0"/>
    <numFmt numFmtId="179" formatCode="0.0&quot;일&quot;"/>
    <numFmt numFmtId="180" formatCode="#,##0&quot;억원&quot;"/>
    <numFmt numFmtId="181" formatCode="0.0%"/>
    <numFmt numFmtId="182" formatCode="#,##0.0"/>
    <numFmt numFmtId="183" formatCode="yyyy\.mm\.dd"/>
    <numFmt numFmtId="184" formatCode="0&quot;일&quot;"/>
  </numFmts>
  <fonts count="148">
    <font>
      <sz val="11"/>
      <color theme="1"/>
      <name val="Calibri"/>
      <family val="2"/>
      <charset val="1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3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FFFFFF"/>
      <name val="맑은 고딕"/>
      <family val="3"/>
      <charset val="129"/>
    </font>
    <font>
      <i/>
      <sz val="9"/>
      <color rgb="FF8B95A1"/>
      <name val="Noto Sans CJK SC"/>
      <family val="2"/>
    </font>
    <font>
      <i/>
      <sz val="9"/>
      <color rgb="FF8B95A1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rgb="FF212121"/>
      <name val="맑은 고딕"/>
      <family val="3"/>
      <charset val="129"/>
    </font>
    <font>
      <i/>
      <sz val="8"/>
      <color rgb="FF8B95A1"/>
      <name val="Noto Sans CJK SC"/>
      <family val="2"/>
    </font>
    <font>
      <i/>
      <sz val="8"/>
      <color rgb="FF8B95A1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Calibri"/>
      <family val="2"/>
      <charset val="1"/>
    </font>
    <font>
      <b/>
      <sz val="18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sz val="10.5"/>
      <color theme="1"/>
      <name val="맑은 고딕"/>
      <family val="2"/>
      <charset val="129"/>
      <scheme val="minor"/>
    </font>
    <font>
      <i/>
      <sz val="8"/>
      <color rgb="FF8B95A1"/>
      <name val="맑은 고딕"/>
      <family val="1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595959"/>
      <name val="맑은 고딕"/>
      <family val="3"/>
      <charset val="129"/>
    </font>
    <font>
      <i/>
      <sz val="8"/>
      <color rgb="FF8B95A1"/>
      <name val="Arial"/>
      <family val="2"/>
    </font>
    <font>
      <i/>
      <sz val="8"/>
      <color rgb="FF8B95A1"/>
      <name val="Noto Sans CJK SC"/>
      <family val="3"/>
      <charset val="129"/>
    </font>
    <font>
      <sz val="8"/>
      <name val="Noto Sans CJK SC"/>
      <family val="2"/>
    </font>
    <font>
      <sz val="8"/>
      <name val="맑은 고딕"/>
      <family val="3"/>
      <charset val="129"/>
    </font>
    <font>
      <sz val="8"/>
      <color rgb="FF8B95A1"/>
      <name val="Noto Sans CJK SC"/>
      <family val="2"/>
    </font>
    <font>
      <sz val="8"/>
      <color rgb="FF8B95A1"/>
      <name val="맑은 고딕"/>
      <family val="3"/>
      <charset val="129"/>
    </font>
    <font>
      <sz val="10"/>
      <color rgb="FF80808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2"/>
      <color rgb="FF595959"/>
      <name val="맑은 고딕"/>
      <family val="3"/>
      <charset val="129"/>
    </font>
    <font>
      <u/>
      <sz val="11"/>
      <color theme="10"/>
      <name val="Calibri"/>
      <family val="2"/>
      <charset val="1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family val="2"/>
    </font>
    <font>
      <b/>
      <sz val="12"/>
      <color rgb="FF6B7280"/>
      <name val="맑은 고딕"/>
      <family val="3"/>
      <charset val="129"/>
    </font>
    <font>
      <sz val="9"/>
      <color rgb="FF6B7280"/>
      <name val="맑은 고딕"/>
      <family val="3"/>
      <charset val="129"/>
    </font>
    <font>
      <sz val="9"/>
      <color rgb="FF9CA3AF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sz val="9"/>
      <color rgb="FF4B5563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sz val="10"/>
      <color rgb="FF6B7280"/>
      <name val="맑은 고딕"/>
      <family val="3"/>
      <charset val="129"/>
    </font>
    <font>
      <b/>
      <sz val="10"/>
      <color rgb="FF111827"/>
      <name val="맑은 고딕"/>
      <family val="3"/>
      <charset val="129"/>
    </font>
    <font>
      <sz val="10"/>
      <name val="Calibri"/>
      <family val="3"/>
      <charset val="161"/>
    </font>
    <font>
      <i/>
      <sz val="9"/>
      <color rgb="FF9CA3AF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color rgb="FFFFFFFF"/>
      <name val="Segoe UI Emoji"/>
      <family val="2"/>
    </font>
    <font>
      <b/>
      <sz val="11"/>
      <color rgb="FFFFFFFF"/>
      <name val="Segoe UI Symbol"/>
      <family val="2"/>
    </font>
    <font>
      <b/>
      <sz val="8"/>
      <color rgb="FFFFFFFF"/>
      <name val="맑은 고딕"/>
      <family val="3"/>
      <charset val="129"/>
    </font>
    <font>
      <sz val="8"/>
      <color rgb="FF8B95A1"/>
      <name val="Calibri"/>
      <family val="3"/>
      <charset val="129"/>
    </font>
    <font>
      <sz val="8"/>
      <color rgb="FF8B95A1"/>
      <name val="Calibri"/>
      <family val="2"/>
    </font>
    <font>
      <i/>
      <sz val="8"/>
      <color rgb="FF8B95A1"/>
      <name val="Noto Sans CJK SC"/>
      <family val="1"/>
    </font>
    <font>
      <b/>
      <sz val="11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rgb="FF6B7280"/>
      <name val="맑은 고딕"/>
      <family val="3"/>
      <charset val="129"/>
    </font>
    <font>
      <b/>
      <sz val="9"/>
      <color rgb="FF374151"/>
      <name val="맑은 고딕"/>
      <family val="3"/>
      <charset val="129"/>
    </font>
    <font>
      <b/>
      <sz val="10"/>
      <color rgb="FF6B7280"/>
      <name val="맑은 고딕"/>
      <family val="3"/>
      <charset val="129"/>
    </font>
    <font>
      <b/>
      <sz val="11"/>
      <color theme="0"/>
      <name val="Calibri"/>
      <family val="2"/>
      <charset val="1"/>
    </font>
    <font>
      <b/>
      <sz val="11"/>
      <color theme="0"/>
      <name val="Segoe UI Emoji"/>
      <family val="2"/>
    </font>
    <font>
      <b/>
      <sz val="11"/>
      <color theme="0"/>
      <name val="Calibri"/>
      <family val="2"/>
    </font>
    <font>
      <b/>
      <sz val="11"/>
      <color theme="0"/>
      <name val="Segoe UI Symbol"/>
      <family val="2"/>
    </font>
    <font>
      <b/>
      <sz val="11"/>
      <color theme="0"/>
      <name val="맑은 고딕"/>
      <family val="3"/>
      <charset val="129"/>
    </font>
    <font>
      <b/>
      <sz val="14"/>
      <color rgb="FFFFFFFF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sz val="8"/>
      <color rgb="FF64748B"/>
      <name val="Noto Sans CJK SC"/>
      <family val="2"/>
      <charset val="1"/>
    </font>
    <font>
      <sz val="9"/>
      <color rgb="FF1E293B"/>
      <name val="Noto Sans CJK SC"/>
      <family val="2"/>
      <charset val="1"/>
    </font>
    <font>
      <sz val="9"/>
      <color rgb="FF1E293B"/>
      <name val="맑은 고딕"/>
      <family val="3"/>
      <charset val="129"/>
    </font>
    <font>
      <sz val="9"/>
      <color rgb="FFB91C1C"/>
      <name val="Noto Sans CJK SC"/>
      <family val="2"/>
      <charset val="1"/>
    </font>
    <font>
      <sz val="9"/>
      <color rgb="FFB91C1C"/>
      <name val="맑은 고딕"/>
      <family val="3"/>
      <charset val="129"/>
    </font>
    <font>
      <sz val="8"/>
      <color rgb="FFFFFFFF"/>
      <name val="Noto Sans CJK SC"/>
      <family val="2"/>
      <charset val="1"/>
    </font>
    <font>
      <sz val="9"/>
      <color rgb="FF64748B"/>
      <name val="Noto Sans CJK SC"/>
      <family val="2"/>
      <charset val="1"/>
    </font>
    <font>
      <sz val="8"/>
      <color rgb="FF64748B"/>
      <name val="맑은 고딕"/>
      <family val="3"/>
      <charset val="129"/>
    </font>
    <font>
      <sz val="9"/>
      <color rgb="FF64748B"/>
      <name val="맑은 고딕"/>
      <family val="3"/>
      <charset val="129"/>
    </font>
    <font>
      <b/>
      <sz val="10"/>
      <color rgb="FF92400E"/>
      <name val="Noto Sans CJK SC"/>
      <family val="2"/>
      <charset val="1"/>
    </font>
    <font>
      <sz val="9"/>
      <color rgb="FF92400E"/>
      <name val="맑은 고딕"/>
      <family val="3"/>
      <charset val="129"/>
    </font>
    <font>
      <b/>
      <sz val="10"/>
      <color rgb="FF92400E"/>
      <name val="맑은 고딕"/>
      <family val="3"/>
      <charset val="129"/>
    </font>
    <font>
      <i/>
      <sz val="9"/>
      <color rgb="FF64748B"/>
      <name val="Noto Sans CJK SC"/>
      <family val="2"/>
      <charset val="1"/>
    </font>
    <font>
      <b/>
      <sz val="12"/>
      <color rgb="FFFFFFFF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8"/>
      <color rgb="FFFFFFFF"/>
      <name val="Noto Sans CJK SC"/>
      <family val="2"/>
      <charset val="1"/>
    </font>
    <font>
      <b/>
      <sz val="8"/>
      <color rgb="FFFFFFFF"/>
      <name val="Noto Sans CJK SC"/>
      <family val="2"/>
    </font>
    <font>
      <sz val="8"/>
      <color rgb="FF1E293B"/>
      <name val="Noto Sans CJK SC"/>
      <family val="2"/>
      <charset val="1"/>
    </font>
    <font>
      <sz val="8"/>
      <color rgb="FFF97316"/>
      <name val="맑은 고딕"/>
      <family val="3"/>
      <charset val="129"/>
    </font>
    <font>
      <b/>
      <sz val="8"/>
      <color rgb="FFF97316"/>
      <name val="맑은 고딕"/>
      <family val="3"/>
      <charset val="129"/>
    </font>
    <font>
      <sz val="8"/>
      <color rgb="FF1E293B"/>
      <name val="맑은 고딕"/>
      <family val="3"/>
      <charset val="129"/>
    </font>
    <font>
      <b/>
      <sz val="8"/>
      <color rgb="FF1E293B"/>
      <name val="맑은 고딕"/>
      <family val="3"/>
      <charset val="129"/>
    </font>
    <font>
      <b/>
      <sz val="8"/>
      <color rgb="FF64748B"/>
      <name val="맑은 고딕"/>
      <family val="3"/>
      <charset val="129"/>
    </font>
    <font>
      <sz val="8"/>
      <color rgb="FFB91C1C"/>
      <name val="맑은 고딕"/>
      <family val="3"/>
      <charset val="129"/>
    </font>
    <font>
      <b/>
      <sz val="8"/>
      <color rgb="FFB91C1C"/>
      <name val="맑은 고딕"/>
      <family val="3"/>
      <charset val="129"/>
    </font>
    <font>
      <sz val="8"/>
      <color rgb="FF8B95A1"/>
      <name val="Arial"/>
      <family val="2"/>
    </font>
    <font>
      <sz val="8"/>
      <color rgb="FF8B95A1"/>
      <name val="Noto Sans CJK SC"/>
      <family val="3"/>
      <charset val="129"/>
    </font>
    <font>
      <b/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4"/>
      <color rgb="FFFFFFFF"/>
      <name val="Noto Sans CJK SC"/>
      <family val="3"/>
      <charset val="129"/>
    </font>
    <font>
      <b/>
      <sz val="12"/>
      <color rgb="FFFFFFFF"/>
      <name val="Arial"/>
      <family val="2"/>
    </font>
    <font>
      <b/>
      <sz val="12"/>
      <color rgb="FFFFFFFF"/>
      <name val="Noto Sans CJK SC"/>
      <family val="3"/>
      <charset val="129"/>
    </font>
    <font>
      <b/>
      <sz val="28"/>
      <color rgb="FFFFFFFF"/>
      <name val="맑은 고딕"/>
      <family val="3"/>
      <charset val="129"/>
    </font>
    <font>
      <sz val="12"/>
      <color rgb="FF374151"/>
      <name val="맑은 고딕"/>
      <family val="3"/>
      <charset val="129"/>
    </font>
    <font>
      <sz val="12"/>
      <color theme="1"/>
      <name val="Calibri"/>
      <family val="2"/>
      <charset val="1"/>
    </font>
    <font>
      <b/>
      <sz val="10"/>
      <color rgb="FFFF0000"/>
      <name val="맑은 고딕"/>
      <family val="3"/>
      <charset val="129"/>
    </font>
    <font>
      <b/>
      <sz val="10"/>
      <color rgb="FF00206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color rgb="FF374151"/>
      <name val="맑은 고딕"/>
      <family val="3"/>
      <charset val="129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1"/>
      <charset val="129"/>
    </font>
    <font>
      <b/>
      <sz val="10"/>
      <color rgb="FFFFFFFF"/>
      <name val="Noto Sans CJK SC"/>
      <family val="3"/>
      <charset val="129"/>
    </font>
    <font>
      <b/>
      <sz val="20"/>
      <color rgb="FF1A1A1A"/>
      <name val="맑은 고딕"/>
      <family val="3"/>
      <charset val="129"/>
    </font>
    <font>
      <b/>
      <sz val="11"/>
      <color rgb="FF1A1A1A"/>
      <name val="맑은 고딕"/>
      <family val="3"/>
      <charset val="129"/>
    </font>
    <font>
      <sz val="11"/>
      <color rgb="FF1A1A1A"/>
      <name val="맑은 고딕"/>
      <family val="3"/>
      <charset val="129"/>
    </font>
    <font>
      <b/>
      <sz val="10"/>
      <color rgb="FF1A1A1A"/>
      <name val="맑은 고딕"/>
      <family val="3"/>
      <charset val="129"/>
    </font>
    <font>
      <sz val="10"/>
      <color rgb="FF1A1A1A"/>
      <name val="맑은 고딕"/>
      <family val="3"/>
      <charset val="129"/>
    </font>
    <font>
      <b/>
      <sz val="9"/>
      <color rgb="FF1A1A1A"/>
      <name val="맑은 고딕"/>
      <family val="3"/>
      <charset val="129"/>
    </font>
    <font>
      <sz val="9"/>
      <color rgb="FF1A1A1A"/>
      <name val="맑은 고딕"/>
      <family val="3"/>
      <charset val="129"/>
    </font>
    <font>
      <sz val="18"/>
      <color rgb="FF1A1A1A"/>
      <name val="맑은 고딕"/>
      <family val="3"/>
      <charset val="129"/>
    </font>
    <font>
      <b/>
      <sz val="22"/>
      <color rgb="FF1A1A1A"/>
      <name val="맑은 고딕"/>
      <family val="3"/>
      <charset val="129"/>
    </font>
    <font>
      <b/>
      <sz val="12"/>
      <color rgb="FF1A1A1A"/>
      <name val="맑은 고딕"/>
      <family val="3"/>
      <charset val="129"/>
    </font>
    <font>
      <sz val="8"/>
      <color rgb="FF1A1A1A"/>
      <name val="맑은 고딕"/>
      <family val="3"/>
      <charset val="129"/>
    </font>
    <font>
      <b/>
      <sz val="9"/>
      <color rgb="FF1A1A1A"/>
      <name val="Calibri"/>
      <family val="2"/>
      <charset val="1"/>
    </font>
    <font>
      <sz val="9"/>
      <color rgb="FF1A1A1A"/>
      <name val="Noto Sans CJK SC"/>
      <family val="2"/>
    </font>
    <font>
      <sz val="9"/>
      <color rgb="FF1A1A1A"/>
      <name val="Noto Sans CJK SC"/>
      <family val="2"/>
      <charset val="1"/>
    </font>
    <font>
      <sz val="10"/>
      <color rgb="FF1A1A1A"/>
      <name val="Noto Sans CJK SC"/>
      <family val="2"/>
      <charset val="1"/>
    </font>
    <font>
      <sz val="10"/>
      <color rgb="FF1A1A1A"/>
      <name val="Calibri"/>
      <family val="2"/>
      <charset val="1"/>
    </font>
    <font>
      <b/>
      <sz val="13"/>
      <color rgb="FFD00000"/>
      <name val="맑은 고딕"/>
      <family val="3"/>
      <charset val="129"/>
    </font>
    <font>
      <b/>
      <sz val="10"/>
      <color rgb="FFD00000"/>
      <name val="맑은 고딕"/>
      <family val="3"/>
      <charset val="129"/>
    </font>
    <font>
      <b/>
      <sz val="12"/>
      <color rgb="FFD00000"/>
      <name val="맑은 고딕"/>
      <family val="3"/>
      <charset val="129"/>
    </font>
    <font>
      <b/>
      <sz val="24"/>
      <color rgb="FF1A1A1A"/>
      <name val="맑은 고딕"/>
      <family val="3"/>
      <charset val="129"/>
    </font>
    <font>
      <b/>
      <sz val="24"/>
      <color rgb="FFD00000"/>
      <name val="맑은 고딕"/>
      <family val="3"/>
      <charset val="129"/>
    </font>
    <font>
      <b/>
      <sz val="8"/>
      <color rgb="FFD00000"/>
      <name val="맑은 고딕"/>
      <family val="3"/>
      <charset val="129"/>
    </font>
    <font>
      <sz val="10"/>
      <color rgb="FF1A1A1A"/>
      <name val="Noto Sans CJK SC"/>
      <family val="3"/>
      <charset val="129"/>
    </font>
    <font>
      <sz val="10"/>
      <color rgb="FF1A1A1A"/>
      <name val="Noto Sans CJK SC"/>
      <family val="2"/>
    </font>
    <font>
      <b/>
      <sz val="8"/>
      <color rgb="FF1A1A1A"/>
      <name val="맑은 고딕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8D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8FAFC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1F5F9"/>
        <bgColor rgb="FFF8FAFC"/>
      </patternFill>
    </fill>
    <fill>
      <patternFill patternType="solid">
        <fgColor rgb="FFE2E8F0"/>
        <bgColor rgb="FFDBEAFE"/>
      </patternFill>
    </fill>
    <fill>
      <patternFill patternType="solid">
        <fgColor rgb="FFFFFFFF"/>
        <bgColor rgb="FFF8FAFC"/>
      </patternFill>
    </fill>
    <fill>
      <patternFill patternType="solid">
        <fgColor rgb="FF1A1A1A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00000"/>
        <bgColor indexed="64"/>
      </patternFill>
    </fill>
    <fill>
      <patternFill patternType="solid">
        <fgColor rgb="FF808080"/>
        <bgColor indexed="64"/>
      </patternFill>
    </fill>
  </fills>
  <borders count="16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F3864"/>
      </left>
      <right style="thin">
        <color rgb="FF808080"/>
      </right>
      <top style="medium">
        <color rgb="FF1F38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1F3864"/>
      </top>
      <bottom style="thin">
        <color rgb="FF808080"/>
      </bottom>
      <diagonal/>
    </border>
    <border>
      <left style="thin">
        <color rgb="FF808080"/>
      </left>
      <right style="medium">
        <color rgb="FF1F3864"/>
      </right>
      <top style="medium">
        <color rgb="FF1F3864"/>
      </top>
      <bottom style="thin">
        <color rgb="FF808080"/>
      </bottom>
      <diagonal/>
    </border>
    <border>
      <left style="medium">
        <color rgb="FF1F38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1F3864"/>
      </right>
      <top style="thin">
        <color rgb="FF808080"/>
      </top>
      <bottom style="thin">
        <color rgb="FF808080"/>
      </bottom>
      <diagonal/>
    </border>
    <border>
      <left style="medium">
        <color rgb="FF1F3864"/>
      </left>
      <right style="thin">
        <color rgb="FF808080"/>
      </right>
      <top style="thin">
        <color rgb="FF808080"/>
      </top>
      <bottom style="medium">
        <color rgb="FF1F38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1F3864"/>
      </bottom>
      <diagonal/>
    </border>
    <border>
      <left style="thin">
        <color rgb="FF808080"/>
      </left>
      <right style="medium">
        <color rgb="FF1F3864"/>
      </right>
      <top style="thin">
        <color rgb="FF808080"/>
      </top>
      <bottom style="medium">
        <color rgb="FF1F3864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F3864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1F3864"/>
      </right>
      <top style="thin">
        <color rgb="FF808080"/>
      </top>
      <bottom/>
      <diagonal/>
    </border>
    <border>
      <left style="medium">
        <color rgb="FF1F3864"/>
      </left>
      <right style="thin">
        <color rgb="FF808080"/>
      </right>
      <top style="medium">
        <color rgb="FF1F3864"/>
      </top>
      <bottom style="medium">
        <color rgb="FF1F3864"/>
      </bottom>
      <diagonal/>
    </border>
    <border>
      <left style="thin">
        <color rgb="FF808080"/>
      </left>
      <right style="thin">
        <color rgb="FF808080"/>
      </right>
      <top style="medium">
        <color rgb="FF1F3864"/>
      </top>
      <bottom style="medium">
        <color rgb="FF1F3864"/>
      </bottom>
      <diagonal/>
    </border>
    <border>
      <left style="thin">
        <color rgb="FF808080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thin">
        <color rgb="FF808080"/>
      </bottom>
      <diagonal/>
    </border>
    <border>
      <left/>
      <right style="medium">
        <color rgb="FF1F3864"/>
      </right>
      <top style="medium">
        <color rgb="FF1F3864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medium">
        <color rgb="FF1F3864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medium">
        <color rgb="FF1F3864"/>
      </bottom>
      <diagonal/>
    </border>
    <border>
      <left/>
      <right style="medium">
        <color rgb="FF1F3864"/>
      </right>
      <top style="thin">
        <color rgb="FF808080"/>
      </top>
      <bottom style="medium">
        <color rgb="FF1F3864"/>
      </bottom>
      <diagonal/>
    </border>
    <border>
      <left style="medium">
        <color rgb="FF1F3864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rgb="FF1F3864"/>
      </right>
      <top/>
      <bottom style="thin">
        <color rgb="FF808080"/>
      </bottom>
      <diagonal/>
    </border>
    <border>
      <left/>
      <right/>
      <top/>
      <bottom style="medium">
        <color rgb="FF1F3864"/>
      </bottom>
      <diagonal/>
    </border>
    <border>
      <left style="thin">
        <color rgb="FF808080"/>
      </left>
      <right style="thin">
        <color rgb="FF808080"/>
      </right>
      <top/>
      <bottom style="medium">
        <color rgb="FF1F3864"/>
      </bottom>
      <diagonal/>
    </border>
    <border>
      <left style="thin">
        <color rgb="FF808080"/>
      </left>
      <right style="medium">
        <color rgb="FF1F3864"/>
      </right>
      <top/>
      <bottom style="medium">
        <color rgb="FF1F3864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1F3864"/>
      </left>
      <right style="thin">
        <color rgb="FF808080"/>
      </right>
      <top style="thin">
        <color rgb="FF1F3864"/>
      </top>
      <bottom style="thin">
        <color rgb="FF1F3864"/>
      </bottom>
      <diagonal/>
    </border>
    <border>
      <left style="thin">
        <color rgb="FF808080"/>
      </left>
      <right style="thin">
        <color rgb="FF808080"/>
      </right>
      <top style="thin">
        <color rgb="FF1F3864"/>
      </top>
      <bottom style="thin">
        <color rgb="FF1F3864"/>
      </bottom>
      <diagonal/>
    </border>
    <border>
      <left style="thin">
        <color rgb="FF808080"/>
      </left>
      <right style="medium">
        <color rgb="FF1F3864"/>
      </right>
      <top style="thin">
        <color rgb="FF1F3864"/>
      </top>
      <bottom style="thin">
        <color rgb="FF1F3864"/>
      </bottom>
      <diagonal/>
    </border>
    <border>
      <left/>
      <right style="medium">
        <color rgb="FF1F3864"/>
      </right>
      <top style="thin">
        <color rgb="FF808080"/>
      </top>
      <bottom/>
      <diagonal/>
    </border>
    <border>
      <left style="medium">
        <color rgb="FF1F3864"/>
      </left>
      <right/>
      <top style="thin">
        <color rgb="FF808080"/>
      </top>
      <bottom style="thin">
        <color rgb="FF808080"/>
      </bottom>
      <diagonal/>
    </border>
    <border>
      <left style="medium">
        <color rgb="FF1F3864"/>
      </left>
      <right/>
      <top style="thin">
        <color rgb="FF808080"/>
      </top>
      <bottom/>
      <diagonal/>
    </border>
    <border>
      <left style="thin">
        <color rgb="FF808080"/>
      </left>
      <right/>
      <top style="medium">
        <color rgb="FF1F3864"/>
      </top>
      <bottom style="thin">
        <color rgb="FF808080"/>
      </bottom>
      <diagonal/>
    </border>
    <border>
      <left/>
      <right style="thin">
        <color rgb="FF808080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808080"/>
      </right>
      <top style="thin">
        <color rgb="FF808080"/>
      </top>
      <bottom style="thin">
        <color rgb="FF1F38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1F3864"/>
      </bottom>
      <diagonal/>
    </border>
    <border>
      <left style="thin">
        <color rgb="FF808080"/>
      </left>
      <right style="medium">
        <color rgb="FF1F3864"/>
      </right>
      <top style="thin">
        <color rgb="FF808080"/>
      </top>
      <bottom style="thin">
        <color rgb="FF1F3864"/>
      </bottom>
      <diagonal/>
    </border>
    <border>
      <left style="medium">
        <color rgb="FF1F3864"/>
      </left>
      <right style="thin">
        <color rgb="FF808080"/>
      </right>
      <top style="thin">
        <color rgb="FF1F38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1F3864"/>
      </top>
      <bottom style="thin">
        <color rgb="FF808080"/>
      </bottom>
      <diagonal/>
    </border>
    <border>
      <left style="thin">
        <color rgb="FF808080"/>
      </left>
      <right style="medium">
        <color rgb="FF1F3864"/>
      </right>
      <top style="thin">
        <color rgb="FF1F3864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medium">
        <color rgb="FF1F3864"/>
      </bottom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/>
      <right/>
      <top style="medium">
        <color rgb="FF1F3864"/>
      </top>
      <bottom style="thin">
        <color rgb="FF1F3864"/>
      </bottom>
      <diagonal/>
    </border>
    <border>
      <left/>
      <right style="medium">
        <color rgb="FF1F3864"/>
      </right>
      <top style="medium">
        <color rgb="FF1F3864"/>
      </top>
      <bottom style="thin">
        <color rgb="FF1F3864"/>
      </bottom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theme="0" tint="-0.14996795556505021"/>
      </bottom>
      <diagonal/>
    </border>
    <border>
      <left style="medium">
        <color rgb="FF1F38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/>
      <bottom style="thin">
        <color rgb="FFBFBFBF"/>
      </bottom>
      <diagonal/>
    </border>
    <border>
      <left style="thin">
        <color rgb="FFBFBFBF"/>
      </left>
      <right/>
      <top style="medium">
        <color rgb="FF1F3864"/>
      </top>
      <bottom style="thin">
        <color rgb="FFBFBFBF"/>
      </bottom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/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1F3864"/>
      </right>
      <top/>
      <bottom/>
      <diagonal/>
    </border>
    <border>
      <left style="medium">
        <color rgb="FF1F3864"/>
      </left>
      <right style="thin">
        <color theme="0" tint="-0.24994659260841701"/>
      </right>
      <top style="medium">
        <color rgb="FF1F38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rgb="FF1F38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rgb="FF1F38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1F38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1F3864"/>
      </left>
      <right style="thin">
        <color theme="0" tint="-0.24994659260841701"/>
      </right>
      <top style="thin">
        <color theme="0" tint="-0.24994659260841701"/>
      </top>
      <bottom style="medium">
        <color rgb="FF1F38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rgb="FF1F3864"/>
      </bottom>
      <diagonal/>
    </border>
    <border>
      <left style="thin">
        <color theme="0" tint="-0.24994659260841701"/>
      </left>
      <right style="medium">
        <color rgb="FF1F3864"/>
      </right>
      <top style="thin">
        <color theme="0" tint="-0.24994659260841701"/>
      </top>
      <bottom style="medium">
        <color rgb="FF1F3864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medium">
        <color rgb="FF1F3864"/>
      </bottom>
      <diagonal/>
    </border>
    <border>
      <left style="thin">
        <color rgb="FF808080"/>
      </left>
      <right style="thin">
        <color rgb="FFBFBFBF"/>
      </right>
      <top style="thin">
        <color rgb="FF808080"/>
      </top>
      <bottom/>
      <diagonal/>
    </border>
    <border>
      <left style="thin">
        <color rgb="FFBFBFBF"/>
      </left>
      <right style="thin">
        <color rgb="FFBFBFBF"/>
      </right>
      <top style="thin">
        <color rgb="FF808080"/>
      </top>
      <bottom/>
      <diagonal/>
    </border>
    <border>
      <left style="thin">
        <color rgb="FFBFBFBF"/>
      </left>
      <right style="thin">
        <color rgb="FF808080"/>
      </right>
      <top style="thin">
        <color rgb="FF808080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1F3864"/>
      </right>
      <top style="medium">
        <color rgb="FF1F38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rgb="FF1F38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rgb="FF1F3864"/>
      </bottom>
      <diagonal/>
    </border>
    <border>
      <left style="medium">
        <color rgb="FF002060"/>
      </left>
      <right/>
      <top style="medium">
        <color rgb="FF1F3864"/>
      </top>
      <bottom style="thin">
        <color rgb="FF808080"/>
      </bottom>
      <diagonal/>
    </border>
    <border>
      <left/>
      <right style="medium">
        <color rgb="FF002060"/>
      </right>
      <top style="medium">
        <color rgb="FF1F3864"/>
      </top>
      <bottom style="thin">
        <color rgb="FF808080"/>
      </bottom>
      <diagonal/>
    </border>
    <border>
      <left style="medium">
        <color rgb="FF1F3864"/>
      </left>
      <right style="thin">
        <color theme="0" tint="-0.24994659260841701"/>
      </right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medium">
        <color rgb="FF002060"/>
      </right>
      <top style="medium">
        <color rgb="FF1F3864"/>
      </top>
      <bottom style="thin">
        <color rgb="FF808080"/>
      </bottom>
      <diagonal/>
    </border>
    <border>
      <left style="medium">
        <color rgb="FF1F3864"/>
      </left>
      <right/>
      <top style="thin">
        <color rgb="FF808080"/>
      </top>
      <bottom style="medium">
        <color rgb="FF1F3864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 style="thin">
        <color rgb="FF808080"/>
      </right>
      <top style="thin">
        <color rgb="FF1F3864"/>
      </top>
      <bottom style="medium">
        <color rgb="FF1F3864"/>
      </bottom>
      <diagonal/>
    </border>
    <border>
      <left style="thin">
        <color rgb="FF808080"/>
      </left>
      <right style="thin">
        <color rgb="FF808080"/>
      </right>
      <top style="thin">
        <color rgb="FF1F3864"/>
      </top>
      <bottom style="medium">
        <color rgb="FF1F3864"/>
      </bottom>
      <diagonal/>
    </border>
    <border>
      <left style="thin">
        <color rgb="FF808080"/>
      </left>
      <right style="medium">
        <color rgb="FF1F3864"/>
      </right>
      <top style="thin">
        <color rgb="FF1F3864"/>
      </top>
      <bottom style="medium">
        <color rgb="FF1F3864"/>
      </bottom>
      <diagonal/>
    </border>
    <border>
      <left/>
      <right/>
      <top style="thin">
        <color rgb="FFC7D2FE"/>
      </top>
      <bottom/>
      <diagonal/>
    </border>
    <border>
      <left/>
      <right/>
      <top/>
      <bottom style="thin">
        <color rgb="FFC7D2FE"/>
      </bottom>
      <diagonal/>
    </border>
    <border>
      <left style="thin">
        <color rgb="FFC7D2FE"/>
      </left>
      <right/>
      <top/>
      <bottom style="thin">
        <color rgb="FFC7D2FE"/>
      </bottom>
      <diagonal/>
    </border>
    <border>
      <left/>
      <right style="thin">
        <color rgb="FFC7D2FE"/>
      </right>
      <top/>
      <bottom style="thin">
        <color rgb="FFC7D2FE"/>
      </bottom>
      <diagonal/>
    </border>
    <border>
      <left style="thin">
        <color rgb="FFC7D2FE"/>
      </left>
      <right/>
      <top/>
      <bottom/>
      <diagonal/>
    </border>
    <border>
      <left/>
      <right style="thin">
        <color rgb="FFC7D2FE"/>
      </right>
      <top/>
      <bottom/>
      <diagonal/>
    </border>
    <border>
      <left style="thin">
        <color rgb="FF8497B0"/>
      </left>
      <right style="thin">
        <color rgb="FF8497B0"/>
      </right>
      <top style="thin">
        <color rgb="FF8497B0"/>
      </top>
      <bottom style="thin">
        <color rgb="FF8497B0"/>
      </bottom>
      <diagonal/>
    </border>
    <border>
      <left style="thin">
        <color rgb="FF8497B0"/>
      </left>
      <right style="medium">
        <color rgb="FF002060"/>
      </right>
      <top style="thin">
        <color rgb="FF8497B0"/>
      </top>
      <bottom style="thin">
        <color rgb="FF8497B0"/>
      </bottom>
      <diagonal/>
    </border>
    <border>
      <left style="thin">
        <color rgb="FF8497B0"/>
      </left>
      <right style="medium">
        <color rgb="FF002060"/>
      </right>
      <top style="thin">
        <color rgb="FF8497B0"/>
      </top>
      <bottom style="medium">
        <color rgb="FF002060"/>
      </bottom>
      <diagonal/>
    </border>
    <border>
      <left style="thin">
        <color rgb="FF8497B0"/>
      </left>
      <right style="thin">
        <color rgb="FF8497B0"/>
      </right>
      <top style="thin">
        <color rgb="FF8497B0"/>
      </top>
      <bottom style="medium">
        <color rgb="FF002060"/>
      </bottom>
      <diagonal/>
    </border>
    <border>
      <left style="medium">
        <color rgb="FF002060"/>
      </left>
      <right style="thin">
        <color rgb="FF8497B0"/>
      </right>
      <top style="thin">
        <color rgb="FF8497B0"/>
      </top>
      <bottom style="medium">
        <color rgb="FF002060"/>
      </bottom>
      <diagonal/>
    </border>
    <border>
      <left style="medium">
        <color rgb="FF002060"/>
      </left>
      <right style="thin">
        <color rgb="FF8497B0"/>
      </right>
      <top style="thin">
        <color rgb="FF8497B0"/>
      </top>
      <bottom style="thin">
        <color rgb="FF8497B0"/>
      </bottom>
      <diagonal/>
    </border>
    <border>
      <left style="medium">
        <color rgb="FF002060"/>
      </left>
      <right style="thin">
        <color rgb="FF8497B0"/>
      </right>
      <top style="medium">
        <color rgb="FF002060"/>
      </top>
      <bottom style="thin">
        <color rgb="FF8497B0"/>
      </bottom>
      <diagonal/>
    </border>
    <border>
      <left style="thin">
        <color rgb="FF8497B0"/>
      </left>
      <right style="thin">
        <color rgb="FF8497B0"/>
      </right>
      <top style="medium">
        <color rgb="FF002060"/>
      </top>
      <bottom style="thin">
        <color rgb="FF8497B0"/>
      </bottom>
      <diagonal/>
    </border>
    <border>
      <left style="thin">
        <color rgb="FF8497B0"/>
      </left>
      <right style="medium">
        <color rgb="FF002060"/>
      </right>
      <top style="medium">
        <color rgb="FF002060"/>
      </top>
      <bottom style="thin">
        <color rgb="FF8497B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thin">
        <color rgb="FFFFFFFF"/>
      </left>
      <right style="thin">
        <color theme="0" tint="-0.24994659260841701"/>
      </right>
      <top style="thin">
        <color rgb="FFFFFFFF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FFFFFF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rgb="FFFFFFFF"/>
      </top>
      <bottom style="thin">
        <color theme="0" tint="-0.24994659260841701"/>
      </bottom>
      <diagonal/>
    </border>
    <border>
      <left style="thin">
        <color rgb="FF1B3A6B"/>
      </left>
      <right style="thin">
        <color theme="0" tint="-0.24994659260841701"/>
      </right>
      <top style="thin">
        <color theme="0" tint="-0.24994659260841701"/>
      </top>
      <bottom style="thin">
        <color rgb="FF1B3A6B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1B3A6B"/>
      </bottom>
      <diagonal/>
    </border>
    <border>
      <left style="thin">
        <color theme="0" tint="-0.24994659260841701"/>
      </left>
      <right style="thin">
        <color rgb="FF1B3A6B"/>
      </right>
      <top style="thin">
        <color theme="0" tint="-0.24994659260841701"/>
      </top>
      <bottom style="thin">
        <color rgb="FF1B3A6B"/>
      </bottom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/>
      <right style="thin">
        <color theme="0" tint="-0.24994659260841701"/>
      </right>
      <top style="medium">
        <color rgb="FF1F38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rgb="FF1F3864"/>
      </top>
      <bottom/>
      <diagonal/>
    </border>
    <border>
      <left style="thin">
        <color theme="0" tint="-0.24994659260841701"/>
      </left>
      <right/>
      <top style="medium">
        <color rgb="FF1F3864"/>
      </top>
      <bottom/>
      <diagonal/>
    </border>
    <border>
      <left style="medium">
        <color rgb="FF1F3864"/>
      </left>
      <right/>
      <top style="medium">
        <color rgb="FF1F3864"/>
      </top>
      <bottom style="thin">
        <color rgb="FF1F3864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medium">
        <color rgb="FF002060"/>
      </left>
      <right style="thin">
        <color theme="0" tint="-0.14996795556505021"/>
      </right>
      <top style="medium">
        <color rgb="FF00206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rgb="FF002060"/>
      </top>
      <bottom style="thin">
        <color theme="0" tint="-0.14996795556505021"/>
      </bottom>
      <diagonal/>
    </border>
    <border>
      <left style="medium">
        <color rgb="FF1F38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1F38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1F3864"/>
      </left>
      <right style="thin">
        <color theme="0" tint="-0.14996795556505021"/>
      </right>
      <top style="thin">
        <color theme="0" tint="-0.14996795556505021"/>
      </top>
      <bottom style="medium">
        <color rgb="FF1F38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rgb="FF1F3864"/>
      </bottom>
      <diagonal/>
    </border>
    <border>
      <left style="thin">
        <color theme="0" tint="-0.14996795556505021"/>
      </left>
      <right style="medium">
        <color rgb="FF1F3864"/>
      </right>
      <top style="thin">
        <color theme="0" tint="-0.14996795556505021"/>
      </top>
      <bottom style="medium">
        <color rgb="FF1F3864"/>
      </bottom>
      <diagonal/>
    </border>
    <border>
      <left style="thin">
        <color theme="0" tint="-0.14996795556505021"/>
      </left>
      <right style="medium">
        <color rgb="FF002060"/>
      </right>
      <top style="medium">
        <color rgb="FF002060"/>
      </top>
      <bottom style="thin">
        <color theme="0" tint="-0.14996795556505021"/>
      </bottom>
      <diagonal/>
    </border>
    <border>
      <left/>
      <right style="medium">
        <color rgb="FF1F3864"/>
      </right>
      <top/>
      <bottom style="thin">
        <color rgb="FF808080"/>
      </bottom>
      <diagonal/>
    </border>
    <border>
      <left style="medium">
        <color rgb="FF1F3864"/>
      </left>
      <right style="thin">
        <color rgb="FF808080"/>
      </right>
      <top/>
      <bottom style="medium">
        <color rgb="FF1F3864"/>
      </bottom>
      <diagonal/>
    </border>
    <border>
      <left style="medium">
        <color rgb="FF1F3864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medium">
        <color rgb="FF1F3864"/>
      </right>
      <top/>
      <bottom/>
      <diagonal/>
    </border>
    <border>
      <left style="medium">
        <color rgb="FF1F3864"/>
      </left>
      <right/>
      <top/>
      <bottom style="thin">
        <color rgb="FF1F3864"/>
      </bottom>
      <diagonal/>
    </border>
    <border>
      <left/>
      <right/>
      <top/>
      <bottom style="thin">
        <color rgb="FF1F3864"/>
      </bottom>
      <diagonal/>
    </border>
    <border>
      <left/>
      <right style="medium">
        <color rgb="FF1F3864"/>
      </right>
      <top/>
      <bottom style="thin">
        <color rgb="FF1F3864"/>
      </bottom>
      <diagonal/>
    </border>
    <border>
      <left/>
      <right style="thin">
        <color rgb="FF808080"/>
      </right>
      <top/>
      <bottom style="medium">
        <color rgb="FF1F3864"/>
      </bottom>
      <diagonal/>
    </border>
    <border>
      <left style="thin">
        <color rgb="FF808080"/>
      </left>
      <right/>
      <top/>
      <bottom style="medium">
        <color rgb="FF1F3864"/>
      </bottom>
      <diagonal/>
    </border>
    <border>
      <left style="medium">
        <color rgb="FF1F38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1F3864"/>
      </left>
      <right/>
      <top style="thin">
        <color theme="0" tint="-0.24994659260841701"/>
      </top>
      <bottom style="medium">
        <color rgb="FF1F38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rgb="FF1F3864"/>
      </bottom>
      <diagonal/>
    </border>
  </borders>
  <cellStyleXfs count="6">
    <xf numFmtId="0" fontId="0" fillId="0" borderId="0"/>
    <xf numFmtId="41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6" fillId="0" borderId="0"/>
    <xf numFmtId="0" fontId="43" fillId="0" borderId="0" applyNumberFormat="0" applyFill="0" applyBorder="0" applyAlignment="0" applyProtection="0"/>
  </cellStyleXfs>
  <cellXfs count="746">
    <xf numFmtId="0" fontId="0" fillId="0" borderId="0" xfId="0"/>
    <xf numFmtId="0" fontId="0" fillId="0" borderId="3" xfId="0" applyBorder="1"/>
    <xf numFmtId="0" fontId="11" fillId="3" borderId="4" xfId="0" applyFont="1" applyFill="1" applyBorder="1" applyAlignment="1">
      <alignment horizontal="left" vertical="center"/>
    </xf>
    <xf numFmtId="0" fontId="0" fillId="0" borderId="6" xfId="0" applyBorder="1"/>
    <xf numFmtId="0" fontId="0" fillId="0" borderId="9" xfId="0" applyBorder="1"/>
    <xf numFmtId="0" fontId="11" fillId="3" borderId="1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6" fillId="6" borderId="2" xfId="0" applyFont="1" applyFill="1" applyBorder="1" applyAlignment="1">
      <alignment horizontal="center" vertical="center" wrapText="1"/>
    </xf>
    <xf numFmtId="0" fontId="19" fillId="0" borderId="0" xfId="3" applyFont="1" applyAlignment="1">
      <alignment horizontal="left" vertical="center"/>
    </xf>
    <xf numFmtId="0" fontId="19" fillId="0" borderId="0" xfId="3" applyFont="1">
      <alignment vertical="center"/>
    </xf>
    <xf numFmtId="0" fontId="20" fillId="0" borderId="0" xfId="3" applyFont="1">
      <alignment vertical="center"/>
    </xf>
    <xf numFmtId="0" fontId="21" fillId="0" borderId="0" xfId="3" applyFont="1">
      <alignment vertical="center"/>
    </xf>
    <xf numFmtId="0" fontId="26" fillId="0" borderId="0" xfId="4"/>
    <xf numFmtId="0" fontId="27" fillId="0" borderId="0" xfId="4" applyFont="1"/>
    <xf numFmtId="0" fontId="12" fillId="0" borderId="7" xfId="4" applyFont="1" applyBorder="1" applyAlignment="1">
      <alignment horizontal="left" vertical="center" wrapText="1"/>
    </xf>
    <xf numFmtId="0" fontId="26" fillId="0" borderId="0" xfId="4" applyAlignment="1">
      <alignment horizontal="center"/>
    </xf>
    <xf numFmtId="0" fontId="12" fillId="0" borderId="43" xfId="4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7" fillId="4" borderId="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0" fillId="6" borderId="16" xfId="0" applyFill="1" applyBorder="1" applyAlignment="1">
      <alignment vertical="center"/>
    </xf>
    <xf numFmtId="0" fontId="29" fillId="0" borderId="54" xfId="0" applyFont="1" applyBorder="1" applyAlignment="1">
      <alignment horizontal="left" vertical="center"/>
    </xf>
    <xf numFmtId="176" fontId="37" fillId="0" borderId="42" xfId="0" applyNumberFormat="1" applyFont="1" applyBorder="1" applyAlignment="1">
      <alignment horizontal="center" vertical="center"/>
    </xf>
    <xf numFmtId="0" fontId="29" fillId="0" borderId="43" xfId="0" applyFont="1" applyBorder="1" applyAlignment="1">
      <alignment horizontal="left" vertical="center"/>
    </xf>
    <xf numFmtId="0" fontId="36" fillId="0" borderId="56" xfId="0" applyFont="1" applyBorder="1" applyAlignment="1">
      <alignment horizontal="center" vertical="center"/>
    </xf>
    <xf numFmtId="181" fontId="36" fillId="0" borderId="56" xfId="0" applyNumberFormat="1" applyFont="1" applyBorder="1" applyAlignment="1">
      <alignment horizontal="center" vertical="center"/>
    </xf>
    <xf numFmtId="0" fontId="29" fillId="0" borderId="57" xfId="0" applyFont="1" applyBorder="1" applyAlignment="1">
      <alignment horizontal="left" vertical="center"/>
    </xf>
    <xf numFmtId="176" fontId="38" fillId="0" borderId="53" xfId="0" applyNumberFormat="1" applyFont="1" applyBorder="1" applyAlignment="1">
      <alignment horizontal="center" vertical="center"/>
    </xf>
    <xf numFmtId="176" fontId="38" fillId="0" borderId="42" xfId="0" applyNumberFormat="1" applyFont="1" applyBorder="1" applyAlignment="1">
      <alignment horizontal="center" vertical="center"/>
    </xf>
    <xf numFmtId="176" fontId="38" fillId="0" borderId="56" xfId="0" applyNumberFormat="1" applyFont="1" applyBorder="1" applyAlignment="1">
      <alignment horizontal="center" vertical="center"/>
    </xf>
    <xf numFmtId="176" fontId="39" fillId="4" borderId="6" xfId="0" applyNumberFormat="1" applyFont="1" applyFill="1" applyBorder="1" applyAlignment="1">
      <alignment horizontal="center" vertical="center"/>
    </xf>
    <xf numFmtId="176" fontId="38" fillId="0" borderId="6" xfId="0" applyNumberFormat="1" applyFont="1" applyBorder="1" applyAlignment="1">
      <alignment horizontal="center" vertical="center"/>
    </xf>
    <xf numFmtId="176" fontId="38" fillId="0" borderId="13" xfId="0" applyNumberFormat="1" applyFont="1" applyBorder="1" applyAlignment="1">
      <alignment horizontal="center" vertical="center"/>
    </xf>
    <xf numFmtId="176" fontId="39" fillId="4" borderId="16" xfId="0" applyNumberFormat="1" applyFont="1" applyFill="1" applyBorder="1" applyAlignment="1">
      <alignment horizontal="center" vertical="center"/>
    </xf>
    <xf numFmtId="0" fontId="0" fillId="3" borderId="0" xfId="0" applyFill="1"/>
    <xf numFmtId="0" fontId="54" fillId="3" borderId="0" xfId="0" applyFont="1" applyFill="1"/>
    <xf numFmtId="3" fontId="0" fillId="3" borderId="0" xfId="0" applyNumberFormat="1" applyFill="1"/>
    <xf numFmtId="0" fontId="13" fillId="4" borderId="8" xfId="0" applyFont="1" applyFill="1" applyBorder="1" applyAlignment="1">
      <alignment horizontal="center" vertical="center"/>
    </xf>
    <xf numFmtId="177" fontId="13" fillId="4" borderId="9" xfId="0" applyNumberFormat="1" applyFont="1" applyFill="1" applyBorder="1" applyAlignment="1">
      <alignment horizontal="center" vertical="center"/>
    </xf>
    <xf numFmtId="14" fontId="59" fillId="4" borderId="10" xfId="0" applyNumberFormat="1" applyFont="1" applyFill="1" applyBorder="1" applyAlignment="1">
      <alignment horizontal="center" vertical="center"/>
    </xf>
    <xf numFmtId="177" fontId="16" fillId="4" borderId="9" xfId="0" applyNumberFormat="1" applyFont="1" applyFill="1" applyBorder="1" applyAlignment="1">
      <alignment horizontal="center" vertical="center"/>
    </xf>
    <xf numFmtId="3" fontId="25" fillId="3" borderId="81" xfId="3" applyNumberFormat="1" applyFont="1" applyFill="1" applyBorder="1" applyAlignment="1">
      <alignment horizontal="center" vertical="center"/>
    </xf>
    <xf numFmtId="0" fontId="17" fillId="4" borderId="78" xfId="4" applyFont="1" applyFill="1" applyBorder="1" applyAlignment="1">
      <alignment horizontal="center" vertical="center" wrapText="1"/>
    </xf>
    <xf numFmtId="176" fontId="25" fillId="0" borderId="13" xfId="0" applyNumberFormat="1" applyFont="1" applyBorder="1" applyAlignment="1">
      <alignment horizontal="center" vertical="center"/>
    </xf>
    <xf numFmtId="176" fontId="25" fillId="3" borderId="35" xfId="0" applyNumberFormat="1" applyFont="1" applyFill="1" applyBorder="1" applyAlignment="1">
      <alignment horizontal="center" vertical="center"/>
    </xf>
    <xf numFmtId="176" fontId="25" fillId="3" borderId="20" xfId="0" applyNumberFormat="1" applyFont="1" applyFill="1" applyBorder="1" applyAlignment="1">
      <alignment horizontal="center" vertical="center"/>
    </xf>
    <xf numFmtId="0" fontId="25" fillId="3" borderId="81" xfId="3" applyFont="1" applyFill="1" applyBorder="1" applyAlignment="1">
      <alignment horizontal="center" vertical="center"/>
    </xf>
    <xf numFmtId="0" fontId="25" fillId="5" borderId="81" xfId="3" applyFont="1" applyFill="1" applyBorder="1" applyAlignment="1">
      <alignment horizontal="center" vertical="center"/>
    </xf>
    <xf numFmtId="0" fontId="25" fillId="3" borderId="84" xfId="3" applyFont="1" applyFill="1" applyBorder="1" applyAlignment="1">
      <alignment horizontal="center" vertical="center"/>
    </xf>
    <xf numFmtId="178" fontId="13" fillId="3" borderId="6" xfId="0" applyNumberFormat="1" applyFont="1" applyFill="1" applyBorder="1" applyAlignment="1">
      <alignment horizontal="center" vertical="center"/>
    </xf>
    <xf numFmtId="1" fontId="13" fillId="3" borderId="6" xfId="0" applyNumberFormat="1" applyFont="1" applyFill="1" applyBorder="1" applyAlignment="1">
      <alignment horizontal="center" vertical="center"/>
    </xf>
    <xf numFmtId="1" fontId="13" fillId="3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3" fillId="3" borderId="0" xfId="0" applyFont="1" applyFill="1" applyAlignment="1">
      <alignment horizontal="left" vertical="center"/>
    </xf>
    <xf numFmtId="0" fontId="25" fillId="0" borderId="6" xfId="0" applyFont="1" applyBorder="1" applyAlignment="1">
      <alignment horizontal="center" vertical="center" shrinkToFit="1"/>
    </xf>
    <xf numFmtId="0" fontId="9" fillId="0" borderId="0" xfId="0" applyFont="1" applyAlignment="1">
      <alignment vertical="center"/>
    </xf>
    <xf numFmtId="0" fontId="44" fillId="9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65" fillId="3" borderId="7" xfId="0" applyFont="1" applyFill="1" applyBorder="1" applyAlignment="1">
      <alignment horizontal="left" vertical="center"/>
    </xf>
    <xf numFmtId="0" fontId="66" fillId="10" borderId="5" xfId="0" applyFont="1" applyFill="1" applyBorder="1" applyAlignment="1">
      <alignment horizontal="center" vertical="center"/>
    </xf>
    <xf numFmtId="0" fontId="66" fillId="10" borderId="6" xfId="0" applyFont="1" applyFill="1" applyBorder="1" applyAlignment="1">
      <alignment horizontal="center" vertical="center"/>
    </xf>
    <xf numFmtId="0" fontId="66" fillId="10" borderId="7" xfId="0" applyFont="1" applyFill="1" applyBorder="1" applyAlignment="1">
      <alignment horizontal="center" vertical="center"/>
    </xf>
    <xf numFmtId="0" fontId="0" fillId="0" borderId="76" xfId="0" applyBorder="1"/>
    <xf numFmtId="178" fontId="67" fillId="10" borderId="6" xfId="0" applyNumberFormat="1" applyFont="1" applyFill="1" applyBorder="1" applyAlignment="1">
      <alignment horizontal="center" vertical="center"/>
    </xf>
    <xf numFmtId="0" fontId="67" fillId="10" borderId="5" xfId="0" applyFont="1" applyFill="1" applyBorder="1" applyAlignment="1">
      <alignment horizontal="left" vertical="center"/>
    </xf>
    <xf numFmtId="178" fontId="67" fillId="10" borderId="7" xfId="0" applyNumberFormat="1" applyFont="1" applyFill="1" applyBorder="1" applyAlignment="1">
      <alignment horizontal="center" vertical="center"/>
    </xf>
    <xf numFmtId="179" fontId="68" fillId="10" borderId="1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115" xfId="4" applyFont="1" applyBorder="1" applyAlignment="1">
      <alignment horizontal="left" vertical="center" wrapText="1"/>
    </xf>
    <xf numFmtId="0" fontId="0" fillId="3" borderId="27" xfId="0" applyFill="1" applyBorder="1"/>
    <xf numFmtId="0" fontId="0" fillId="3" borderId="112" xfId="0" applyFill="1" applyBorder="1"/>
    <xf numFmtId="0" fontId="0" fillId="3" borderId="30" xfId="0" applyFill="1" applyBorder="1"/>
    <xf numFmtId="0" fontId="0" fillId="3" borderId="76" xfId="0" applyFill="1" applyBorder="1"/>
    <xf numFmtId="0" fontId="0" fillId="3" borderId="31" xfId="0" applyFill="1" applyBorder="1"/>
    <xf numFmtId="0" fontId="81" fillId="12" borderId="1" xfId="0" applyFont="1" applyFill="1" applyBorder="1" applyAlignment="1">
      <alignment horizontal="center" vertical="center"/>
    </xf>
    <xf numFmtId="0" fontId="80" fillId="12" borderId="1" xfId="0" applyFont="1" applyFill="1" applyBorder="1" applyAlignment="1">
      <alignment horizontal="left" vertical="center"/>
    </xf>
    <xf numFmtId="178" fontId="82" fillId="12" borderId="1" xfId="0" applyNumberFormat="1" applyFont="1" applyFill="1" applyBorder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80" fillId="13" borderId="1" xfId="0" applyFont="1" applyFill="1" applyBorder="1" applyAlignment="1">
      <alignment horizontal="left" vertical="center"/>
    </xf>
    <xf numFmtId="178" fontId="84" fillId="13" borderId="1" xfId="0" applyNumberFormat="1" applyFont="1" applyFill="1" applyBorder="1" applyAlignment="1">
      <alignment horizontal="center" vertical="center"/>
    </xf>
    <xf numFmtId="0" fontId="86" fillId="14" borderId="1" xfId="0" applyFont="1" applyFill="1" applyBorder="1" applyAlignment="1">
      <alignment horizontal="center" vertical="center"/>
    </xf>
    <xf numFmtId="0" fontId="87" fillId="14" borderId="1" xfId="0" applyFont="1" applyFill="1" applyBorder="1" applyAlignment="1">
      <alignment horizontal="left" vertical="center"/>
    </xf>
    <xf numFmtId="184" fontId="88" fillId="14" borderId="1" xfId="0" applyNumberFormat="1" applyFont="1" applyFill="1" applyBorder="1" applyAlignment="1">
      <alignment horizontal="center" vertical="center"/>
    </xf>
    <xf numFmtId="0" fontId="82" fillId="12" borderId="1" xfId="0" applyFont="1" applyFill="1" applyBorder="1" applyAlignment="1">
      <alignment horizontal="center" vertical="center"/>
    </xf>
    <xf numFmtId="179" fontId="82" fillId="12" borderId="1" xfId="0" applyNumberFormat="1" applyFont="1" applyFill="1" applyBorder="1" applyAlignment="1">
      <alignment horizontal="center" vertical="center"/>
    </xf>
    <xf numFmtId="0" fontId="86" fillId="15" borderId="1" xfId="0" applyFont="1" applyFill="1" applyBorder="1" applyAlignment="1">
      <alignment horizontal="center" vertical="center"/>
    </xf>
    <xf numFmtId="0" fontId="80" fillId="15" borderId="1" xfId="0" applyFont="1" applyFill="1" applyBorder="1" applyAlignment="1">
      <alignment horizontal="left" vertical="center"/>
    </xf>
    <xf numFmtId="184" fontId="88" fillId="15" borderId="1" xfId="0" applyNumberFormat="1" applyFont="1" applyFill="1" applyBorder="1" applyAlignment="1">
      <alignment horizontal="center" vertical="center"/>
    </xf>
    <xf numFmtId="178" fontId="87" fillId="16" borderId="1" xfId="0" applyNumberFormat="1" applyFont="1" applyFill="1" applyBorder="1" applyAlignment="1">
      <alignment horizontal="center" vertical="center"/>
    </xf>
    <xf numFmtId="0" fontId="97" fillId="16" borderId="1" xfId="0" applyFont="1" applyFill="1" applyBorder="1" applyAlignment="1">
      <alignment horizontal="left" vertical="center"/>
    </xf>
    <xf numFmtId="0" fontId="87" fillId="16" borderId="1" xfId="0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left" vertical="center"/>
    </xf>
    <xf numFmtId="0" fontId="87" fillId="12" borderId="1" xfId="0" applyFont="1" applyFill="1" applyBorder="1" applyAlignment="1">
      <alignment horizontal="center" vertical="center"/>
    </xf>
    <xf numFmtId="178" fontId="100" fillId="12" borderId="1" xfId="0" applyNumberFormat="1" applyFont="1" applyFill="1" applyBorder="1" applyAlignment="1">
      <alignment horizontal="center" vertical="center"/>
    </xf>
    <xf numFmtId="178" fontId="101" fillId="12" borderId="1" xfId="0" applyNumberFormat="1" applyFont="1" applyFill="1" applyBorder="1" applyAlignment="1">
      <alignment horizontal="center" vertical="center"/>
    </xf>
    <xf numFmtId="0" fontId="97" fillId="14" borderId="1" xfId="0" applyFont="1" applyFill="1" applyBorder="1" applyAlignment="1">
      <alignment horizontal="left" vertical="center"/>
    </xf>
    <xf numFmtId="0" fontId="87" fillId="14" borderId="1" xfId="0" applyFont="1" applyFill="1" applyBorder="1" applyAlignment="1">
      <alignment horizontal="center" vertical="center"/>
    </xf>
    <xf numFmtId="178" fontId="87" fillId="14" borderId="1" xfId="0" applyNumberFormat="1" applyFont="1" applyFill="1" applyBorder="1" applyAlignment="1">
      <alignment horizontal="center" vertical="center"/>
    </xf>
    <xf numFmtId="178" fontId="102" fillId="14" borderId="1" xfId="0" applyNumberFormat="1" applyFont="1" applyFill="1" applyBorder="1" applyAlignment="1">
      <alignment horizontal="center" vertical="center"/>
    </xf>
    <xf numFmtId="0" fontId="97" fillId="13" borderId="1" xfId="0" applyFont="1" applyFill="1" applyBorder="1" applyAlignment="1">
      <alignment horizontal="left" vertical="center"/>
    </xf>
    <xf numFmtId="0" fontId="87" fillId="13" borderId="1" xfId="0" applyFont="1" applyFill="1" applyBorder="1" applyAlignment="1">
      <alignment horizontal="center" vertical="center"/>
    </xf>
    <xf numFmtId="178" fontId="103" fillId="13" borderId="1" xfId="0" applyNumberFormat="1" applyFont="1" applyFill="1" applyBorder="1" applyAlignment="1">
      <alignment horizontal="center" vertical="center"/>
    </xf>
    <xf numFmtId="178" fontId="104" fillId="13" borderId="1" xfId="0" applyNumberFormat="1" applyFont="1" applyFill="1" applyBorder="1" applyAlignment="1">
      <alignment horizontal="center" vertical="center"/>
    </xf>
    <xf numFmtId="0" fontId="80" fillId="2" borderId="1" xfId="0" applyFont="1" applyFill="1" applyBorder="1" applyAlignment="1">
      <alignment horizontal="left" vertical="center"/>
    </xf>
    <xf numFmtId="0" fontId="51" fillId="3" borderId="9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45" fillId="5" borderId="6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8" fillId="10" borderId="146" xfId="0" applyFont="1" applyFill="1" applyBorder="1" applyAlignment="1">
      <alignment horizontal="center" vertical="center" wrapText="1"/>
    </xf>
    <xf numFmtId="0" fontId="12" fillId="3" borderId="20" xfId="4" applyFont="1" applyFill="1" applyBorder="1" applyAlignment="1">
      <alignment horizontal="left" vertical="center" wrapText="1"/>
    </xf>
    <xf numFmtId="0" fontId="12" fillId="3" borderId="35" xfId="4" applyFont="1" applyFill="1" applyBorder="1" applyAlignment="1">
      <alignment horizontal="left" vertical="center" wrapText="1"/>
    </xf>
    <xf numFmtId="0" fontId="117" fillId="3" borderId="40" xfId="4" applyFont="1" applyFill="1" applyBorder="1" applyAlignment="1">
      <alignment horizontal="center" vertical="center" wrapText="1"/>
    </xf>
    <xf numFmtId="0" fontId="117" fillId="3" borderId="145" xfId="4" applyFont="1" applyFill="1" applyBorder="1" applyAlignment="1">
      <alignment horizontal="center" vertical="center" wrapText="1"/>
    </xf>
    <xf numFmtId="0" fontId="117" fillId="5" borderId="6" xfId="4" applyFont="1" applyFill="1" applyBorder="1" applyAlignment="1">
      <alignment horizontal="left" vertical="center" wrapText="1"/>
    </xf>
    <xf numFmtId="0" fontId="117" fillId="5" borderId="13" xfId="4" applyFont="1" applyFill="1" applyBorder="1" applyAlignment="1">
      <alignment horizontal="left" vertical="center" wrapText="1"/>
    </xf>
    <xf numFmtId="3" fontId="117" fillId="5" borderId="6" xfId="4" applyNumberFormat="1" applyFont="1" applyFill="1" applyBorder="1" applyAlignment="1">
      <alignment horizontal="right" vertical="center"/>
    </xf>
    <xf numFmtId="3" fontId="117" fillId="5" borderId="13" xfId="4" applyNumberFormat="1" applyFont="1" applyFill="1" applyBorder="1" applyAlignment="1">
      <alignment horizontal="right" vertical="center"/>
    </xf>
    <xf numFmtId="0" fontId="117" fillId="3" borderId="6" xfId="4" applyFont="1" applyFill="1" applyBorder="1" applyAlignment="1">
      <alignment horizontal="center" vertical="center" wrapText="1"/>
    </xf>
    <xf numFmtId="0" fontId="117" fillId="3" borderId="13" xfId="4" applyFont="1" applyFill="1" applyBorder="1" applyAlignment="1">
      <alignment horizontal="center" vertical="center" wrapText="1"/>
    </xf>
    <xf numFmtId="182" fontId="117" fillId="3" borderId="6" xfId="4" applyNumberFormat="1" applyFont="1" applyFill="1" applyBorder="1" applyAlignment="1">
      <alignment horizontal="right" vertical="center"/>
    </xf>
    <xf numFmtId="182" fontId="117" fillId="3" borderId="13" xfId="4" applyNumberFormat="1" applyFont="1" applyFill="1" applyBorder="1" applyAlignment="1">
      <alignment horizontal="right" vertical="center"/>
    </xf>
    <xf numFmtId="1" fontId="117" fillId="5" borderId="6" xfId="4" applyNumberFormat="1" applyFont="1" applyFill="1" applyBorder="1" applyAlignment="1">
      <alignment horizontal="center" vertical="center" wrapText="1"/>
    </xf>
    <xf numFmtId="1" fontId="117" fillId="5" borderId="13" xfId="4" applyNumberFormat="1" applyFont="1" applyFill="1" applyBorder="1" applyAlignment="1">
      <alignment horizontal="center" vertical="center" wrapText="1"/>
    </xf>
    <xf numFmtId="3" fontId="117" fillId="3" borderId="6" xfId="4" applyNumberFormat="1" applyFont="1" applyFill="1" applyBorder="1" applyAlignment="1">
      <alignment horizontal="right" vertical="center"/>
    </xf>
    <xf numFmtId="3" fontId="117" fillId="3" borderId="13" xfId="4" applyNumberFormat="1" applyFont="1" applyFill="1" applyBorder="1" applyAlignment="1">
      <alignment horizontal="right" vertical="center"/>
    </xf>
    <xf numFmtId="0" fontId="118" fillId="5" borderId="6" xfId="4" applyFont="1" applyFill="1" applyBorder="1" applyAlignment="1">
      <alignment horizontal="center" vertical="center" wrapText="1"/>
    </xf>
    <xf numFmtId="0" fontId="118" fillId="5" borderId="13" xfId="4" applyFont="1" applyFill="1" applyBorder="1" applyAlignment="1">
      <alignment horizontal="center" vertical="center" wrapText="1"/>
    </xf>
    <xf numFmtId="3" fontId="16" fillId="6" borderId="28" xfId="4" applyNumberFormat="1" applyFont="1" applyFill="1" applyBorder="1" applyAlignment="1">
      <alignment horizontal="right" vertical="center"/>
    </xf>
    <xf numFmtId="0" fontId="16" fillId="6" borderId="29" xfId="4" applyFont="1" applyFill="1" applyBorder="1" applyAlignment="1">
      <alignment horizontal="left" vertical="center" wrapText="1"/>
    </xf>
    <xf numFmtId="176" fontId="38" fillId="0" borderId="158" xfId="0" applyNumberFormat="1" applyFont="1" applyBorder="1" applyAlignment="1">
      <alignment horizontal="center" vertical="center"/>
    </xf>
    <xf numFmtId="0" fontId="45" fillId="5" borderId="28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3" borderId="37" xfId="4" applyFont="1" applyFill="1" applyBorder="1" applyAlignment="1">
      <alignment horizontal="center" vertical="center" wrapText="1"/>
    </xf>
    <xf numFmtId="0" fontId="117" fillId="5" borderId="25" xfId="4" applyFont="1" applyFill="1" applyBorder="1" applyAlignment="1">
      <alignment horizontal="left" vertical="center" wrapText="1"/>
    </xf>
    <xf numFmtId="3" fontId="117" fillId="5" borderId="25" xfId="4" applyNumberFormat="1" applyFont="1" applyFill="1" applyBorder="1" applyAlignment="1">
      <alignment horizontal="right" vertical="center"/>
    </xf>
    <xf numFmtId="0" fontId="117" fillId="3" borderId="25" xfId="4" applyFont="1" applyFill="1" applyBorder="1" applyAlignment="1">
      <alignment horizontal="center" vertical="center" wrapText="1"/>
    </xf>
    <xf numFmtId="182" fontId="117" fillId="3" borderId="25" xfId="4" applyNumberFormat="1" applyFont="1" applyFill="1" applyBorder="1" applyAlignment="1">
      <alignment horizontal="right" vertical="center"/>
    </xf>
    <xf numFmtId="1" fontId="117" fillId="5" borderId="25" xfId="4" applyNumberFormat="1" applyFont="1" applyFill="1" applyBorder="1" applyAlignment="1">
      <alignment horizontal="center" vertical="center" wrapText="1"/>
    </xf>
    <xf numFmtId="3" fontId="117" fillId="3" borderId="25" xfId="4" applyNumberFormat="1" applyFont="1" applyFill="1" applyBorder="1" applyAlignment="1">
      <alignment horizontal="right" vertical="center"/>
    </xf>
    <xf numFmtId="0" fontId="118" fillId="5" borderId="25" xfId="4" applyFont="1" applyFill="1" applyBorder="1" applyAlignment="1">
      <alignment horizontal="center" vertical="center" wrapText="1"/>
    </xf>
    <xf numFmtId="0" fontId="12" fillId="3" borderId="36" xfId="4" applyFont="1" applyFill="1" applyBorder="1" applyAlignment="1">
      <alignment horizontal="left" vertical="center" wrapText="1"/>
    </xf>
    <xf numFmtId="0" fontId="55" fillId="3" borderId="81" xfId="0" applyFont="1" applyFill="1" applyBorder="1" applyAlignment="1">
      <alignment horizontal="right"/>
    </xf>
    <xf numFmtId="176" fontId="56" fillId="3" borderId="82" xfId="0" applyNumberFormat="1" applyFont="1" applyFill="1" applyBorder="1" applyAlignment="1">
      <alignment horizontal="right" indent="1"/>
    </xf>
    <xf numFmtId="0" fontId="55" fillId="3" borderId="84" xfId="0" applyFont="1" applyFill="1" applyBorder="1" applyAlignment="1">
      <alignment horizontal="right"/>
    </xf>
    <xf numFmtId="176" fontId="56" fillId="3" borderId="85" xfId="0" applyNumberFormat="1" applyFont="1" applyFill="1" applyBorder="1" applyAlignment="1">
      <alignment horizontal="right" indent="1"/>
    </xf>
    <xf numFmtId="0" fontId="0" fillId="0" borderId="38" xfId="0" applyBorder="1"/>
    <xf numFmtId="0" fontId="0" fillId="0" borderId="63" xfId="0" applyBorder="1"/>
    <xf numFmtId="0" fontId="8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/>
    </xf>
    <xf numFmtId="0" fontId="49" fillId="0" borderId="0" xfId="0" applyFont="1" applyAlignment="1">
      <alignment horizontal="center"/>
    </xf>
    <xf numFmtId="0" fontId="0" fillId="0" borderId="0" xfId="0"/>
    <xf numFmtId="0" fontId="69" fillId="0" borderId="0" xfId="0" applyFont="1" applyAlignment="1">
      <alignment horizontal="center"/>
    </xf>
    <xf numFmtId="0" fontId="0" fillId="0" borderId="60" xfId="0" applyBorder="1" applyAlignment="1">
      <alignment horizontal="center"/>
    </xf>
    <xf numFmtId="0" fontId="0" fillId="0" borderId="60" xfId="0" applyBorder="1"/>
    <xf numFmtId="0" fontId="0" fillId="0" borderId="61" xfId="0" applyBorder="1"/>
    <xf numFmtId="0" fontId="0" fillId="0" borderId="65" xfId="0" applyBorder="1"/>
    <xf numFmtId="0" fontId="0" fillId="0" borderId="66" xfId="0" applyBorder="1"/>
    <xf numFmtId="0" fontId="8" fillId="0" borderId="0" xfId="0" applyFont="1" applyAlignment="1">
      <alignment horizontal="left" vertical="top" wrapText="1" indent="1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0" fillId="0" borderId="38" xfId="0" applyBorder="1" applyAlignment="1">
      <alignment horizontal="center"/>
    </xf>
    <xf numFmtId="0" fontId="29" fillId="0" borderId="91" xfId="4" applyFont="1" applyBorder="1" applyAlignment="1">
      <alignment horizontal="left" vertical="center" wrapText="1"/>
    </xf>
    <xf numFmtId="0" fontId="29" fillId="0" borderId="0" xfId="4" applyFont="1" applyAlignment="1">
      <alignment horizontal="left" vertical="center" wrapText="1"/>
    </xf>
    <xf numFmtId="0" fontId="29" fillId="0" borderId="92" xfId="4" applyFont="1" applyBorder="1" applyAlignment="1">
      <alignment horizontal="left" vertical="center" wrapText="1"/>
    </xf>
    <xf numFmtId="0" fontId="29" fillId="0" borderId="90" xfId="4" applyFont="1" applyBorder="1" applyAlignment="1">
      <alignment horizontal="left" vertical="center" wrapText="1"/>
    </xf>
    <xf numFmtId="0" fontId="29" fillId="0" borderId="88" xfId="4" applyFont="1" applyBorder="1" applyAlignment="1">
      <alignment horizontal="left" vertical="center" wrapText="1"/>
    </xf>
    <xf numFmtId="0" fontId="29" fillId="0" borderId="89" xfId="4" applyFont="1" applyBorder="1" applyAlignment="1">
      <alignment horizontal="left" vertical="center" wrapText="1"/>
    </xf>
    <xf numFmtId="0" fontId="68" fillId="0" borderId="98" xfId="4" applyFont="1" applyBorder="1" applyAlignment="1">
      <alignment horizontal="center" vertical="center" wrapText="1"/>
    </xf>
    <xf numFmtId="0" fontId="68" fillId="0" borderId="99" xfId="4" applyFont="1" applyBorder="1" applyAlignment="1">
      <alignment horizontal="center" vertical="center" wrapText="1"/>
    </xf>
    <xf numFmtId="0" fontId="68" fillId="0" borderId="100" xfId="4" applyFont="1" applyBorder="1" applyAlignment="1">
      <alignment horizontal="center" vertical="center" wrapText="1"/>
    </xf>
    <xf numFmtId="0" fontId="52" fillId="9" borderId="0" xfId="4" applyFont="1" applyFill="1" applyAlignment="1">
      <alignment horizontal="center" vertical="center" wrapText="1"/>
    </xf>
    <xf numFmtId="0" fontId="44" fillId="9" borderId="0" xfId="4" applyFont="1" applyFill="1" applyAlignment="1">
      <alignment horizontal="left" vertical="center" wrapText="1"/>
    </xf>
    <xf numFmtId="0" fontId="25" fillId="0" borderId="0" xfId="4" applyFont="1" applyAlignment="1">
      <alignment horizontal="left" vertical="center" wrapText="1"/>
    </xf>
    <xf numFmtId="0" fontId="44" fillId="9" borderId="88" xfId="4" applyFont="1" applyFill="1" applyBorder="1" applyAlignment="1">
      <alignment horizontal="left" vertical="center" wrapText="1"/>
    </xf>
    <xf numFmtId="0" fontId="44" fillId="9" borderId="89" xfId="4" applyFont="1" applyFill="1" applyBorder="1" applyAlignment="1">
      <alignment horizontal="left" vertical="center" wrapText="1"/>
    </xf>
    <xf numFmtId="0" fontId="44" fillId="9" borderId="79" xfId="4" applyFont="1" applyFill="1" applyBorder="1" applyAlignment="1">
      <alignment horizontal="left" vertical="center" wrapText="1"/>
    </xf>
    <xf numFmtId="0" fontId="44" fillId="9" borderId="90" xfId="4" applyFont="1" applyFill="1" applyBorder="1" applyAlignment="1">
      <alignment horizontal="left" vertical="center" wrapText="1"/>
    </xf>
    <xf numFmtId="0" fontId="32" fillId="0" borderId="27" xfId="0" applyFont="1" applyBorder="1" applyAlignment="1">
      <alignment horizontal="center" vertical="center"/>
    </xf>
    <xf numFmtId="0" fontId="11" fillId="3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31" fillId="3" borderId="20" xfId="0" applyFont="1" applyFill="1" applyBorder="1" applyAlignment="1">
      <alignment horizontal="left" vertical="center"/>
    </xf>
    <xf numFmtId="0" fontId="11" fillId="3" borderId="21" xfId="0" applyFont="1" applyFill="1" applyBorder="1" applyAlignment="1">
      <alignment horizontal="left" vertical="center"/>
    </xf>
    <xf numFmtId="0" fontId="22" fillId="3" borderId="20" xfId="0" applyFont="1" applyFill="1" applyBorder="1" applyAlignment="1">
      <alignment horizontal="left" vertical="center"/>
    </xf>
    <xf numFmtId="0" fontId="12" fillId="3" borderId="20" xfId="0" applyFont="1" applyFill="1" applyBorder="1" applyAlignment="1">
      <alignment horizontal="left" vertical="center"/>
    </xf>
    <xf numFmtId="0" fontId="22" fillId="3" borderId="21" xfId="0" applyFont="1" applyFill="1" applyBorder="1" applyAlignment="1">
      <alignment horizontal="left" vertical="center"/>
    </xf>
    <xf numFmtId="0" fontId="11" fillId="3" borderId="20" xfId="0" applyFont="1" applyFill="1" applyBorder="1" applyAlignment="1">
      <alignment horizontal="left" vertical="center"/>
    </xf>
    <xf numFmtId="0" fontId="12" fillId="3" borderId="21" xfId="0" applyFont="1" applyFill="1" applyBorder="1" applyAlignment="1">
      <alignment horizontal="left" vertical="center"/>
    </xf>
    <xf numFmtId="0" fontId="11" fillId="3" borderId="36" xfId="0" applyFont="1" applyFill="1" applyBorder="1" applyAlignment="1">
      <alignment horizontal="left" vertical="center"/>
    </xf>
    <xf numFmtId="0" fontId="11" fillId="3" borderId="155" xfId="0" applyFont="1" applyFill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0" fillId="0" borderId="141" xfId="0" applyBorder="1"/>
    <xf numFmtId="0" fontId="0" fillId="0" borderId="142" xfId="0" applyBorder="1"/>
    <xf numFmtId="0" fontId="13" fillId="9" borderId="3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54" fillId="10" borderId="143" xfId="0" applyFont="1" applyFill="1" applyBorder="1" applyAlignment="1">
      <alignment horizontal="center" vertical="center"/>
    </xf>
    <xf numFmtId="0" fontId="107" fillId="10" borderId="67" xfId="0" applyFont="1" applyFill="1" applyBorder="1"/>
    <xf numFmtId="0" fontId="107" fillId="10" borderId="68" xfId="0" applyFont="1" applyFill="1" applyBorder="1"/>
    <xf numFmtId="0" fontId="0" fillId="0" borderId="76" xfId="0" applyBorder="1"/>
    <xf numFmtId="0" fontId="50" fillId="0" borderId="112" xfId="0" applyFont="1" applyBorder="1" applyAlignment="1">
      <alignment horizontal="center" vertical="center"/>
    </xf>
    <xf numFmtId="0" fontId="0" fillId="8" borderId="30" xfId="0" applyFill="1" applyBorder="1"/>
    <xf numFmtId="0" fontId="0" fillId="0" borderId="27" xfId="0" applyBorder="1"/>
    <xf numFmtId="0" fontId="0" fillId="0" borderId="31" xfId="0" applyBorder="1"/>
    <xf numFmtId="0" fontId="0" fillId="8" borderId="112" xfId="0" applyFill="1" applyBorder="1"/>
    <xf numFmtId="0" fontId="68" fillId="9" borderId="128" xfId="0" applyFont="1" applyFill="1" applyBorder="1" applyAlignment="1">
      <alignment horizontal="center" vertical="center"/>
    </xf>
    <xf numFmtId="0" fontId="68" fillId="9" borderId="129" xfId="0" applyFont="1" applyFill="1" applyBorder="1" applyAlignment="1">
      <alignment horizontal="center" vertical="center"/>
    </xf>
    <xf numFmtId="0" fontId="17" fillId="11" borderId="129" xfId="0" applyFont="1" applyFill="1" applyBorder="1" applyAlignment="1">
      <alignment horizontal="center" vertical="center"/>
    </xf>
    <xf numFmtId="0" fontId="17" fillId="11" borderId="130" xfId="0" applyFont="1" applyFill="1" applyBorder="1" applyAlignment="1">
      <alignment horizontal="center" vertical="center"/>
    </xf>
    <xf numFmtId="0" fontId="45" fillId="0" borderId="38" xfId="0" applyFont="1" applyBorder="1" applyAlignment="1">
      <alignment horizontal="left" vertical="center" indent="1"/>
    </xf>
    <xf numFmtId="0" fontId="45" fillId="0" borderId="63" xfId="0" applyFont="1" applyBorder="1" applyAlignment="1">
      <alignment horizontal="left" vertical="center" indent="1"/>
    </xf>
    <xf numFmtId="0" fontId="12" fillId="0" borderId="0" xfId="0" applyFont="1" applyAlignment="1">
      <alignment horizontal="right"/>
    </xf>
    <xf numFmtId="0" fontId="42" fillId="3" borderId="126" xfId="0" applyFont="1" applyFill="1" applyBorder="1" applyAlignment="1">
      <alignment horizontal="center" vertical="center"/>
    </xf>
    <xf numFmtId="0" fontId="42" fillId="3" borderId="125" xfId="0" applyFont="1" applyFill="1" applyBorder="1" applyAlignment="1">
      <alignment horizontal="center" vertical="center"/>
    </xf>
    <xf numFmtId="0" fontId="42" fillId="3" borderId="124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54" fillId="10" borderId="160" xfId="0" applyFont="1" applyFill="1" applyBorder="1" applyAlignment="1">
      <alignment horizontal="center" vertical="center"/>
    </xf>
    <xf numFmtId="0" fontId="107" fillId="10" borderId="161" xfId="0" applyFont="1" applyFill="1" applyBorder="1"/>
    <xf numFmtId="0" fontId="107" fillId="10" borderId="162" xfId="0" applyFont="1" applyFill="1" applyBorder="1"/>
    <xf numFmtId="0" fontId="44" fillId="9" borderId="27" xfId="0" applyFont="1" applyFill="1" applyBorder="1" applyAlignment="1">
      <alignment horizontal="left" vertical="center"/>
    </xf>
    <xf numFmtId="0" fontId="10" fillId="0" borderId="152" xfId="0" applyFont="1" applyBorder="1" applyAlignment="1">
      <alignment horizontal="left" vertical="center" wrapText="1" indent="1"/>
    </xf>
    <xf numFmtId="0" fontId="68" fillId="10" borderId="147" xfId="0" applyFont="1" applyFill="1" applyBorder="1" applyAlignment="1">
      <alignment horizontal="center" vertical="center" wrapText="1"/>
    </xf>
    <xf numFmtId="0" fontId="68" fillId="10" borderId="154" xfId="0" applyFont="1" applyFill="1" applyBorder="1" applyAlignment="1">
      <alignment horizontal="center" vertical="center" wrapText="1"/>
    </xf>
    <xf numFmtId="0" fontId="10" fillId="0" borderId="149" xfId="0" applyFont="1" applyBorder="1" applyAlignment="1">
      <alignment horizontal="left" vertical="center" wrapText="1" indent="1"/>
    </xf>
    <xf numFmtId="0" fontId="9" fillId="0" borderId="2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6" fillId="7" borderId="50" xfId="5" applyFont="1" applyFill="1" applyBorder="1" applyAlignment="1">
      <alignment horizontal="left" vertical="center"/>
    </xf>
    <xf numFmtId="0" fontId="4" fillId="7" borderId="49" xfId="0" applyFont="1" applyFill="1" applyBorder="1" applyAlignment="1">
      <alignment horizontal="left" vertical="center"/>
    </xf>
    <xf numFmtId="0" fontId="72" fillId="7" borderId="50" xfId="5" applyFont="1" applyFill="1" applyBorder="1" applyAlignment="1">
      <alignment horizontal="left" vertical="center"/>
    </xf>
    <xf numFmtId="0" fontId="76" fillId="7" borderId="49" xfId="0" applyFont="1" applyFill="1" applyBorder="1" applyAlignment="1">
      <alignment horizontal="left" vertical="center"/>
    </xf>
    <xf numFmtId="0" fontId="25" fillId="0" borderId="98" xfId="4" applyFont="1" applyBorder="1" applyAlignment="1">
      <alignment horizontal="left" vertical="center" wrapText="1"/>
    </xf>
    <xf numFmtId="0" fontId="25" fillId="0" borderId="99" xfId="4" applyFont="1" applyBorder="1" applyAlignment="1">
      <alignment horizontal="left" vertical="center" wrapText="1"/>
    </xf>
    <xf numFmtId="0" fontId="25" fillId="0" borderId="100" xfId="4" applyFont="1" applyBorder="1" applyAlignment="1">
      <alignment horizontal="left" vertical="center" wrapText="1"/>
    </xf>
    <xf numFmtId="0" fontId="27" fillId="0" borderId="102" xfId="4" applyFont="1" applyBorder="1" applyAlignment="1">
      <alignment horizontal="center"/>
    </xf>
    <xf numFmtId="0" fontId="25" fillId="3" borderId="6" xfId="4" applyFont="1" applyFill="1" applyBorder="1" applyAlignment="1">
      <alignment horizontal="left" vertical="center" wrapText="1"/>
    </xf>
    <xf numFmtId="0" fontId="25" fillId="3" borderId="7" xfId="4" applyFont="1" applyFill="1" applyBorder="1" applyAlignment="1">
      <alignment horizontal="left" vertical="center" wrapText="1"/>
    </xf>
    <xf numFmtId="176" fontId="25" fillId="3" borderId="6" xfId="4" applyNumberFormat="1" applyFont="1" applyFill="1" applyBorder="1" applyAlignment="1">
      <alignment horizontal="center" vertical="center" wrapText="1"/>
    </xf>
    <xf numFmtId="0" fontId="16" fillId="9" borderId="95" xfId="4" applyFont="1" applyFill="1" applyBorder="1" applyAlignment="1">
      <alignment horizontal="left" vertical="center" wrapText="1"/>
    </xf>
    <xf numFmtId="0" fontId="16" fillId="9" borderId="96" xfId="4" applyFont="1" applyFill="1" applyBorder="1" applyAlignment="1">
      <alignment horizontal="left"/>
    </xf>
    <xf numFmtId="0" fontId="16" fillId="9" borderId="97" xfId="4" applyFont="1" applyFill="1" applyBorder="1" applyAlignment="1">
      <alignment horizontal="left"/>
    </xf>
    <xf numFmtId="0" fontId="17" fillId="4" borderId="25" xfId="4" applyFont="1" applyFill="1" applyBorder="1" applyAlignment="1">
      <alignment horizontal="center" vertical="center" wrapText="1"/>
    </xf>
    <xf numFmtId="0" fontId="17" fillId="4" borderId="26" xfId="4" applyFont="1" applyFill="1" applyBorder="1" applyAlignment="1">
      <alignment horizontal="center" vertical="center" wrapText="1"/>
    </xf>
    <xf numFmtId="0" fontId="17" fillId="4" borderId="24" xfId="4" applyFont="1" applyFill="1" applyBorder="1" applyAlignment="1">
      <alignment horizontal="center" vertical="center" wrapText="1"/>
    </xf>
    <xf numFmtId="0" fontId="33" fillId="3" borderId="0" xfId="4" applyFont="1" applyFill="1" applyAlignment="1">
      <alignment horizontal="center" vertical="center" wrapText="1"/>
    </xf>
    <xf numFmtId="0" fontId="33" fillId="3" borderId="0" xfId="4" applyFont="1" applyFill="1" applyAlignment="1">
      <alignment horizontal="center"/>
    </xf>
    <xf numFmtId="0" fontId="16" fillId="6" borderId="156" xfId="4" applyFont="1" applyFill="1" applyBorder="1" applyAlignment="1">
      <alignment horizontal="left" vertical="center" wrapText="1"/>
    </xf>
    <xf numFmtId="0" fontId="16" fillId="6" borderId="28" xfId="4" applyFont="1" applyFill="1" applyBorder="1"/>
    <xf numFmtId="0" fontId="25" fillId="0" borderId="91" xfId="4" applyFont="1" applyBorder="1" applyAlignment="1">
      <alignment horizontal="left" vertical="center" wrapText="1"/>
    </xf>
    <xf numFmtId="0" fontId="25" fillId="0" borderId="0" xfId="4" applyFont="1" applyAlignment="1">
      <alignment horizontal="left"/>
    </xf>
    <xf numFmtId="0" fontId="25" fillId="0" borderId="92" xfId="4" applyFont="1" applyBorder="1" applyAlignment="1">
      <alignment horizontal="left"/>
    </xf>
    <xf numFmtId="0" fontId="25" fillId="0" borderId="91" xfId="4" applyFont="1" applyBorder="1"/>
    <xf numFmtId="0" fontId="25" fillId="0" borderId="0" xfId="4" applyFont="1"/>
    <xf numFmtId="0" fontId="25" fillId="0" borderId="92" xfId="4" applyFont="1" applyBorder="1"/>
    <xf numFmtId="0" fontId="25" fillId="0" borderId="90" xfId="4" applyFont="1" applyBorder="1"/>
    <xf numFmtId="0" fontId="25" fillId="0" borderId="88" xfId="4" applyFont="1" applyBorder="1"/>
    <xf numFmtId="0" fontId="25" fillId="0" borderId="89" xfId="4" applyFont="1" applyBorder="1"/>
    <xf numFmtId="0" fontId="53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76" xfId="0" applyBorder="1" applyAlignment="1">
      <alignment horizontal="center"/>
    </xf>
    <xf numFmtId="0" fontId="49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58" fillId="0" borderId="0" xfId="0" applyFont="1"/>
    <xf numFmtId="0" fontId="0" fillId="0" borderId="116" xfId="0" applyBorder="1" applyAlignment="1">
      <alignment horizontal="center"/>
    </xf>
    <xf numFmtId="0" fontId="0" fillId="0" borderId="121" xfId="0" applyBorder="1" applyAlignment="1">
      <alignment horizontal="center"/>
    </xf>
    <xf numFmtId="0" fontId="0" fillId="0" borderId="117" xfId="0" applyBorder="1" applyAlignment="1">
      <alignment horizontal="center"/>
    </xf>
    <xf numFmtId="0" fontId="0" fillId="0" borderId="119" xfId="0" applyBorder="1" applyAlignment="1">
      <alignment horizontal="center"/>
    </xf>
    <xf numFmtId="0" fontId="71" fillId="0" borderId="0" xfId="0" applyFont="1" applyAlignment="1">
      <alignment horizontal="left" vertical="center" indent="1"/>
    </xf>
    <xf numFmtId="176" fontId="48" fillId="0" borderId="0" xfId="0" applyNumberFormat="1" applyFont="1" applyAlignment="1">
      <alignment horizontal="right" vertical="center" indent="1"/>
    </xf>
    <xf numFmtId="0" fontId="119" fillId="3" borderId="165" xfId="0" applyFont="1" applyFill="1" applyBorder="1" applyAlignment="1">
      <alignment horizontal="left"/>
    </xf>
    <xf numFmtId="0" fontId="119" fillId="3" borderId="99" xfId="0" applyFont="1" applyFill="1" applyBorder="1" applyAlignment="1">
      <alignment horizontal="left"/>
    </xf>
    <xf numFmtId="0" fontId="119" fillId="3" borderId="100" xfId="0" applyFont="1" applyFill="1" applyBorder="1" applyAlignment="1">
      <alignment horizontal="left"/>
    </xf>
    <xf numFmtId="0" fontId="119" fillId="3" borderId="166" xfId="0" applyFont="1" applyFill="1" applyBorder="1" applyAlignment="1">
      <alignment horizontal="left"/>
    </xf>
    <xf numFmtId="0" fontId="119" fillId="3" borderId="102" xfId="0" applyFont="1" applyFill="1" applyBorder="1" applyAlignment="1">
      <alignment horizontal="left"/>
    </xf>
    <xf numFmtId="0" fontId="119" fillId="3" borderId="167" xfId="0" applyFont="1" applyFill="1" applyBorder="1" applyAlignment="1">
      <alignment horizontal="left"/>
    </xf>
    <xf numFmtId="0" fontId="20" fillId="0" borderId="49" xfId="3" applyFont="1" applyBorder="1" applyAlignment="1">
      <alignment horizontal="center" vertical="center"/>
    </xf>
    <xf numFmtId="0" fontId="17" fillId="4" borderId="77" xfId="4" applyFont="1" applyFill="1" applyBorder="1" applyAlignment="1">
      <alignment horizontal="center" vertical="center" wrapText="1"/>
    </xf>
    <xf numFmtId="0" fontId="17" fillId="4" borderId="78" xfId="4" applyFont="1" applyFill="1" applyBorder="1" applyAlignment="1">
      <alignment horizontal="center" vertical="center" wrapText="1"/>
    </xf>
    <xf numFmtId="0" fontId="17" fillId="4" borderId="101" xfId="4" applyFont="1" applyFill="1" applyBorder="1" applyAlignment="1">
      <alignment horizontal="center" vertical="center" wrapText="1"/>
    </xf>
    <xf numFmtId="0" fontId="19" fillId="0" borderId="0" xfId="3" applyFont="1" applyAlignment="1">
      <alignment horizontal="left" vertical="center"/>
    </xf>
    <xf numFmtId="0" fontId="17" fillId="4" borderId="106" xfId="0" applyFont="1" applyFill="1" applyBorder="1" applyAlignment="1">
      <alignment horizontal="left" vertical="center"/>
    </xf>
    <xf numFmtId="0" fontId="17" fillId="4" borderId="107" xfId="0" applyFont="1" applyFill="1" applyBorder="1" applyAlignment="1">
      <alignment horizontal="left" vertical="center"/>
    </xf>
    <xf numFmtId="0" fontId="35" fillId="3" borderId="47" xfId="0" applyFont="1" applyFill="1" applyBorder="1" applyAlignment="1">
      <alignment horizontal="left" vertical="center"/>
    </xf>
    <xf numFmtId="0" fontId="35" fillId="3" borderId="18" xfId="0" applyFont="1" applyFill="1" applyBorder="1" applyAlignment="1">
      <alignment horizontal="left" vertical="center"/>
    </xf>
    <xf numFmtId="0" fontId="35" fillId="3" borderId="19" xfId="0" applyFont="1" applyFill="1" applyBorder="1" applyAlignment="1">
      <alignment horizontal="left" vertical="center"/>
    </xf>
    <xf numFmtId="0" fontId="35" fillId="3" borderId="33" xfId="0" applyFont="1" applyFill="1" applyBorder="1" applyAlignment="1">
      <alignment horizontal="left" vertical="center"/>
    </xf>
    <xf numFmtId="0" fontId="35" fillId="0" borderId="0" xfId="0" applyFont="1" applyAlignment="1">
      <alignment horizontal="left"/>
    </xf>
    <xf numFmtId="0" fontId="17" fillId="4" borderId="25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35" fillId="3" borderId="22" xfId="0" applyFont="1" applyFill="1" applyBorder="1" applyAlignment="1">
      <alignment horizontal="left" vertical="center"/>
    </xf>
    <xf numFmtId="0" fontId="35" fillId="3" borderId="94" xfId="0" applyFont="1" applyFill="1" applyBorder="1" applyAlignment="1">
      <alignment horizontal="left" vertical="center"/>
    </xf>
    <xf numFmtId="0" fontId="35" fillId="3" borderId="23" xfId="0" applyFont="1" applyFill="1" applyBorder="1" applyAlignment="1">
      <alignment horizontal="left" vertical="center"/>
    </xf>
    <xf numFmtId="0" fontId="35" fillId="3" borderId="20" xfId="0" applyFont="1" applyFill="1" applyBorder="1" applyAlignment="1">
      <alignment horizontal="left" vertical="center"/>
    </xf>
    <xf numFmtId="0" fontId="35" fillId="3" borderId="93" xfId="0" applyFont="1" applyFill="1" applyBorder="1" applyAlignment="1">
      <alignment horizontal="left" vertical="center"/>
    </xf>
    <xf numFmtId="0" fontId="35" fillId="3" borderId="21" xfId="0" applyFont="1" applyFill="1" applyBorder="1" applyAlignment="1">
      <alignment horizontal="left" vertical="center"/>
    </xf>
    <xf numFmtId="0" fontId="12" fillId="3" borderId="0" xfId="4" applyFont="1" applyFill="1" applyAlignment="1">
      <alignment horizontal="left" vertical="center" wrapText="1"/>
    </xf>
    <xf numFmtId="0" fontId="12" fillId="3" borderId="0" xfId="4" applyFont="1" applyFill="1" applyAlignment="1">
      <alignment horizontal="left"/>
    </xf>
    <xf numFmtId="0" fontId="4" fillId="0" borderId="27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06" fillId="3" borderId="0" xfId="0" applyFont="1" applyFill="1" applyAlignment="1">
      <alignment horizontal="left" vertical="center" wrapText="1" indent="1"/>
    </xf>
    <xf numFmtId="0" fontId="34" fillId="3" borderId="0" xfId="0" applyFont="1" applyFill="1" applyAlignment="1">
      <alignment horizontal="left" vertical="center" wrapText="1" indent="1"/>
    </xf>
    <xf numFmtId="0" fontId="12" fillId="3" borderId="1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34" fillId="3" borderId="11" xfId="0" applyFont="1" applyFill="1" applyBorder="1" applyAlignment="1">
      <alignment horizontal="left" vertical="center"/>
    </xf>
    <xf numFmtId="0" fontId="34" fillId="3" borderId="1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66" fillId="9" borderId="2" xfId="0" applyFont="1" applyFill="1" applyBorder="1" applyAlignment="1">
      <alignment horizontal="left" vertical="center" indent="1"/>
    </xf>
    <xf numFmtId="0" fontId="66" fillId="9" borderId="3" xfId="0" applyFont="1" applyFill="1" applyBorder="1" applyAlignment="1">
      <alignment horizontal="center" vertical="center"/>
    </xf>
    <xf numFmtId="0" fontId="66" fillId="9" borderId="3" xfId="0" applyFont="1" applyFill="1" applyBorder="1" applyAlignment="1">
      <alignment horizontal="left" vertical="center" indent="1"/>
    </xf>
    <xf numFmtId="0" fontId="66" fillId="9" borderId="4" xfId="0" applyFont="1" applyFill="1" applyBorder="1" applyAlignment="1">
      <alignment horizontal="left" vertical="center" indent="1"/>
    </xf>
    <xf numFmtId="0" fontId="68" fillId="10" borderId="12" xfId="0" applyFont="1" applyFill="1" applyBorder="1" applyAlignment="1">
      <alignment horizontal="left" vertical="center"/>
    </xf>
    <xf numFmtId="0" fontId="68" fillId="10" borderId="13" xfId="0" applyFont="1" applyFill="1" applyBorder="1" applyAlignment="1">
      <alignment horizontal="left" vertical="center"/>
    </xf>
    <xf numFmtId="0" fontId="92" fillId="14" borderId="0" xfId="0" applyFont="1" applyFill="1" applyAlignment="1">
      <alignment horizontal="left" vertical="center" wrapText="1"/>
    </xf>
    <xf numFmtId="0" fontId="112" fillId="17" borderId="0" xfId="0" applyFont="1" applyFill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24" fillId="2" borderId="59" xfId="0" applyFont="1" applyFill="1" applyBorder="1" applyAlignment="1">
      <alignment horizontal="center" vertical="center"/>
    </xf>
    <xf numFmtId="183" fontId="125" fillId="0" borderId="60" xfId="0" applyNumberFormat="1" applyFont="1" applyBorder="1" applyAlignment="1">
      <alignment horizontal="left" vertical="center" indent="1"/>
    </xf>
    <xf numFmtId="0" fontId="124" fillId="2" borderId="62" xfId="0" applyFont="1" applyFill="1" applyBorder="1" applyAlignment="1">
      <alignment horizontal="center" vertical="center"/>
    </xf>
    <xf numFmtId="180" fontId="125" fillId="0" borderId="38" xfId="0" applyNumberFormat="1" applyFont="1" applyBorder="1" applyAlignment="1">
      <alignment horizontal="left" vertical="center" indent="1"/>
    </xf>
    <xf numFmtId="0" fontId="125" fillId="0" borderId="38" xfId="0" applyFont="1" applyBorder="1" applyAlignment="1">
      <alignment horizontal="left" vertical="center" indent="1"/>
    </xf>
    <xf numFmtId="0" fontId="124" fillId="2" borderId="38" xfId="0" applyFont="1" applyFill="1" applyBorder="1" applyAlignment="1">
      <alignment horizontal="center" vertical="center"/>
    </xf>
    <xf numFmtId="0" fontId="124" fillId="2" borderId="64" xfId="0" applyFont="1" applyFill="1" applyBorder="1" applyAlignment="1">
      <alignment horizontal="center" vertical="center"/>
    </xf>
    <xf numFmtId="0" fontId="124" fillId="2" borderId="65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126" fillId="2" borderId="2" xfId="0" applyFont="1" applyFill="1" applyBorder="1" applyAlignment="1">
      <alignment horizontal="left" vertical="center"/>
    </xf>
    <xf numFmtId="0" fontId="126" fillId="2" borderId="24" xfId="0" applyFont="1" applyFill="1" applyBorder="1" applyAlignment="1">
      <alignment horizontal="left" vertical="center"/>
    </xf>
    <xf numFmtId="0" fontId="126" fillId="2" borderId="5" xfId="0" applyFont="1" applyFill="1" applyBorder="1" applyAlignment="1">
      <alignment horizontal="left" vertical="center"/>
    </xf>
    <xf numFmtId="0" fontId="126" fillId="2" borderId="8" xfId="0" applyFont="1" applyFill="1" applyBorder="1" applyAlignment="1">
      <alignment horizontal="left" vertical="center"/>
    </xf>
    <xf numFmtId="0" fontId="4" fillId="17" borderId="140" xfId="0" applyFont="1" applyFill="1" applyBorder="1" applyAlignment="1">
      <alignment horizontal="left" vertical="center" indent="1"/>
    </xf>
    <xf numFmtId="0" fontId="126" fillId="2" borderId="5" xfId="0" applyFont="1" applyFill="1" applyBorder="1" applyAlignment="1">
      <alignment horizontal="center" vertical="center"/>
    </xf>
    <xf numFmtId="0" fontId="127" fillId="0" borderId="6" xfId="0" applyFont="1" applyBorder="1" applyAlignment="1">
      <alignment horizontal="left" vertical="center" indent="1"/>
    </xf>
    <xf numFmtId="0" fontId="127" fillId="0" borderId="7" xfId="0" applyFont="1" applyBorder="1" applyAlignment="1">
      <alignment horizontal="left" vertical="center" indent="1"/>
    </xf>
    <xf numFmtId="0" fontId="126" fillId="2" borderId="5" xfId="0" applyFont="1" applyFill="1" applyBorder="1" applyAlignment="1">
      <alignment horizontal="left" vertical="center"/>
    </xf>
    <xf numFmtId="0" fontId="126" fillId="2" borderId="156" xfId="0" applyFont="1" applyFill="1" applyBorder="1" applyAlignment="1">
      <alignment horizontal="center" vertical="center"/>
    </xf>
    <xf numFmtId="0" fontId="127" fillId="0" borderId="28" xfId="0" applyFont="1" applyBorder="1" applyAlignment="1">
      <alignment horizontal="left" vertical="center" indent="1"/>
    </xf>
    <xf numFmtId="0" fontId="127" fillId="0" borderId="29" xfId="0" applyFont="1" applyBorder="1" applyAlignment="1">
      <alignment horizontal="left" vertical="center" indent="1"/>
    </xf>
    <xf numFmtId="0" fontId="126" fillId="0" borderId="81" xfId="4" applyFont="1" applyBorder="1" applyAlignment="1">
      <alignment horizontal="left" vertical="center" wrapText="1"/>
    </xf>
    <xf numFmtId="0" fontId="127" fillId="0" borderId="81" xfId="4" applyFont="1" applyBorder="1" applyAlignment="1">
      <alignment horizontal="center" vertical="center" wrapText="1"/>
    </xf>
    <xf numFmtId="0" fontId="126" fillId="4" borderId="81" xfId="4" applyFont="1" applyFill="1" applyBorder="1" applyAlignment="1">
      <alignment horizontal="center" vertical="center" wrapText="1"/>
    </xf>
    <xf numFmtId="0" fontId="126" fillId="4" borderId="81" xfId="4" applyFont="1" applyFill="1" applyBorder="1" applyAlignment="1">
      <alignment horizontal="center" vertical="center" wrapText="1"/>
    </xf>
    <xf numFmtId="0" fontId="128" fillId="0" borderId="81" xfId="4" applyFont="1" applyBorder="1" applyAlignment="1">
      <alignment horizontal="left" vertical="center" wrapText="1"/>
    </xf>
    <xf numFmtId="0" fontId="129" fillId="0" borderId="81" xfId="4" applyFont="1" applyBorder="1" applyAlignment="1">
      <alignment horizontal="left" vertical="center" wrapText="1"/>
    </xf>
    <xf numFmtId="0" fontId="129" fillId="0" borderId="81" xfId="4" applyFont="1" applyBorder="1" applyAlignment="1">
      <alignment horizontal="center" vertical="center" wrapText="1"/>
    </xf>
    <xf numFmtId="0" fontId="41" fillId="17" borderId="0" xfId="0" applyFont="1" applyFill="1" applyAlignment="1">
      <alignment horizontal="center" vertical="center"/>
    </xf>
    <xf numFmtId="0" fontId="9" fillId="17" borderId="27" xfId="0" applyFont="1" applyFill="1" applyBorder="1" applyAlignment="1">
      <alignment horizontal="left" vertical="center"/>
    </xf>
    <xf numFmtId="0" fontId="126" fillId="2" borderId="69" xfId="0" applyFont="1" applyFill="1" applyBorder="1" applyAlignment="1">
      <alignment horizontal="left" vertical="center"/>
    </xf>
    <xf numFmtId="0" fontId="127" fillId="3" borderId="72" xfId="0" applyFont="1" applyFill="1" applyBorder="1" applyAlignment="1">
      <alignment horizontal="center" vertical="center"/>
    </xf>
    <xf numFmtId="0" fontId="127" fillId="3" borderId="73" xfId="0" applyFont="1" applyFill="1" applyBorder="1" applyAlignment="1">
      <alignment horizontal="center" vertical="center"/>
    </xf>
    <xf numFmtId="0" fontId="127" fillId="3" borderId="74" xfId="0" applyFont="1" applyFill="1" applyBorder="1" applyAlignment="1">
      <alignment horizontal="center" vertical="center"/>
    </xf>
    <xf numFmtId="0" fontId="126" fillId="2" borderId="70" xfId="0" applyFont="1" applyFill="1" applyBorder="1" applyAlignment="1">
      <alignment horizontal="left" vertical="center"/>
    </xf>
    <xf numFmtId="0" fontId="127" fillId="3" borderId="39" xfId="0" applyFont="1" applyFill="1" applyBorder="1" applyAlignment="1">
      <alignment horizontal="left" vertical="center" indent="1"/>
    </xf>
    <xf numFmtId="0" fontId="126" fillId="2" borderId="39" xfId="0" applyFont="1" applyFill="1" applyBorder="1" applyAlignment="1">
      <alignment horizontal="left" vertical="center"/>
    </xf>
    <xf numFmtId="3" fontId="127" fillId="3" borderId="39" xfId="0" applyNumberFormat="1" applyFont="1" applyFill="1" applyBorder="1" applyAlignment="1">
      <alignment horizontal="left" vertical="center" indent="1"/>
    </xf>
    <xf numFmtId="0" fontId="127" fillId="3" borderId="71" xfId="0" applyFont="1" applyFill="1" applyBorder="1" applyAlignment="1">
      <alignment horizontal="left" vertical="center" indent="1"/>
    </xf>
    <xf numFmtId="0" fontId="126" fillId="2" borderId="62" xfId="0" applyFont="1" applyFill="1" applyBorder="1" applyAlignment="1">
      <alignment horizontal="left" vertical="center"/>
    </xf>
    <xf numFmtId="49" fontId="127" fillId="3" borderId="38" xfId="0" applyNumberFormat="1" applyFont="1" applyFill="1" applyBorder="1" applyAlignment="1">
      <alignment horizontal="left" vertical="center" indent="1"/>
    </xf>
    <xf numFmtId="0" fontId="126" fillId="2" borderId="38" xfId="0" applyFont="1" applyFill="1" applyBorder="1" applyAlignment="1">
      <alignment horizontal="left" vertical="center"/>
    </xf>
    <xf numFmtId="0" fontId="127" fillId="3" borderId="38" xfId="0" applyFont="1" applyFill="1" applyBorder="1" applyAlignment="1">
      <alignment horizontal="left" vertical="center" indent="1"/>
    </xf>
    <xf numFmtId="0" fontId="127" fillId="3" borderId="63" xfId="0" applyFont="1" applyFill="1" applyBorder="1" applyAlignment="1">
      <alignment horizontal="left" vertical="center" indent="1"/>
    </xf>
    <xf numFmtId="0" fontId="126" fillId="2" borderId="64" xfId="0" applyFont="1" applyFill="1" applyBorder="1" applyAlignment="1">
      <alignment horizontal="left" vertical="center"/>
    </xf>
    <xf numFmtId="0" fontId="127" fillId="3" borderId="65" xfId="0" applyFont="1" applyFill="1" applyBorder="1" applyAlignment="1">
      <alignment horizontal="left" vertical="center" indent="1"/>
    </xf>
    <xf numFmtId="0" fontId="126" fillId="2" borderId="65" xfId="0" applyFont="1" applyFill="1" applyBorder="1" applyAlignment="1">
      <alignment horizontal="left" vertical="center"/>
    </xf>
    <xf numFmtId="0" fontId="127" fillId="3" borderId="66" xfId="0" applyFont="1" applyFill="1" applyBorder="1" applyAlignment="1">
      <alignment horizontal="left" vertical="center" indent="1"/>
    </xf>
    <xf numFmtId="0" fontId="127" fillId="3" borderId="0" xfId="0" applyFont="1" applyFill="1" applyAlignment="1">
      <alignment horizontal="left" vertical="center" indent="1"/>
    </xf>
    <xf numFmtId="0" fontId="126" fillId="0" borderId="0" xfId="0" applyFont="1" applyAlignment="1">
      <alignment horizontal="left" vertical="center"/>
    </xf>
    <xf numFmtId="0" fontId="127" fillId="0" borderId="0" xfId="0" applyFont="1" applyAlignment="1">
      <alignment horizontal="left" vertical="center" indent="1"/>
    </xf>
    <xf numFmtId="0" fontId="126" fillId="10" borderId="148" xfId="0" applyFont="1" applyFill="1" applyBorder="1" applyAlignment="1">
      <alignment horizontal="center" vertical="center" wrapText="1"/>
    </xf>
    <xf numFmtId="0" fontId="127" fillId="0" borderId="149" xfId="0" applyFont="1" applyBorder="1" applyAlignment="1">
      <alignment horizontal="left" vertical="center" wrapText="1" indent="1"/>
    </xf>
    <xf numFmtId="0" fontId="127" fillId="0" borderId="149" xfId="0" applyFont="1" applyBorder="1" applyAlignment="1">
      <alignment horizontal="center" vertical="center" wrapText="1"/>
    </xf>
    <xf numFmtId="0" fontId="127" fillId="0" borderId="150" xfId="0" applyFont="1" applyBorder="1" applyAlignment="1">
      <alignment horizontal="center" vertical="center" wrapText="1"/>
    </xf>
    <xf numFmtId="0" fontId="126" fillId="10" borderId="151" xfId="0" applyFont="1" applyFill="1" applyBorder="1" applyAlignment="1">
      <alignment horizontal="center" vertical="center" wrapText="1"/>
    </xf>
    <xf numFmtId="0" fontId="127" fillId="0" borderId="152" xfId="0" applyFont="1" applyBorder="1" applyAlignment="1">
      <alignment horizontal="left" vertical="center" wrapText="1" indent="1"/>
    </xf>
    <xf numFmtId="0" fontId="127" fillId="0" borderId="152" xfId="0" applyFont="1" applyBorder="1" applyAlignment="1">
      <alignment horizontal="center" vertical="center" wrapText="1"/>
    </xf>
    <xf numFmtId="0" fontId="127" fillId="0" borderId="153" xfId="0" applyFont="1" applyBorder="1" applyAlignment="1">
      <alignment horizontal="center" vertical="center" wrapText="1"/>
    </xf>
    <xf numFmtId="0" fontId="127" fillId="3" borderId="0" xfId="0" applyFont="1" applyFill="1" applyAlignment="1">
      <alignment horizontal="left" vertical="center" wrapText="1" indent="1"/>
    </xf>
    <xf numFmtId="0" fontId="127" fillId="3" borderId="0" xfId="0" applyFont="1" applyFill="1" applyAlignment="1">
      <alignment horizontal="center" vertical="center" wrapText="1"/>
    </xf>
    <xf numFmtId="0" fontId="9" fillId="17" borderId="75" xfId="0" applyFont="1" applyFill="1" applyBorder="1" applyAlignment="1">
      <alignment horizontal="left" vertical="center"/>
    </xf>
    <xf numFmtId="0" fontId="130" fillId="3" borderId="127" xfId="0" applyFont="1" applyFill="1" applyBorder="1" applyAlignment="1">
      <alignment horizontal="center" vertical="center"/>
    </xf>
    <xf numFmtId="0" fontId="130" fillId="3" borderId="122" xfId="0" applyFont="1" applyFill="1" applyBorder="1" applyAlignment="1">
      <alignment horizontal="center" vertical="center"/>
    </xf>
    <xf numFmtId="0" fontId="130" fillId="3" borderId="123" xfId="0" applyFont="1" applyFill="1" applyBorder="1" applyAlignment="1">
      <alignment horizontal="center" vertical="center"/>
    </xf>
    <xf numFmtId="0" fontId="9" fillId="17" borderId="0" xfId="0" applyFont="1" applyFill="1" applyAlignment="1">
      <alignment vertical="center"/>
    </xf>
    <xf numFmtId="0" fontId="126" fillId="2" borderId="59" xfId="0" applyFont="1" applyFill="1" applyBorder="1" applyAlignment="1">
      <alignment horizontal="left" vertical="center"/>
    </xf>
    <xf numFmtId="0" fontId="129" fillId="0" borderId="65" xfId="0" applyFont="1" applyBorder="1" applyAlignment="1">
      <alignment horizontal="left" vertical="center" wrapText="1" indent="1"/>
    </xf>
    <xf numFmtId="0" fontId="129" fillId="0" borderId="66" xfId="0" applyFont="1" applyBorder="1" applyAlignment="1">
      <alignment horizontal="left" vertical="center" wrapText="1" indent="1"/>
    </xf>
    <xf numFmtId="0" fontId="9" fillId="17" borderId="49" xfId="0" applyFont="1" applyFill="1" applyBorder="1" applyAlignment="1">
      <alignment vertical="center"/>
    </xf>
    <xf numFmtId="176" fontId="131" fillId="0" borderId="112" xfId="0" applyNumberFormat="1" applyFont="1" applyBorder="1" applyAlignment="1">
      <alignment horizontal="center" vertical="center"/>
    </xf>
    <xf numFmtId="176" fontId="123" fillId="0" borderId="112" xfId="0" applyNumberFormat="1" applyFont="1" applyBorder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127" fillId="3" borderId="36" xfId="0" applyFont="1" applyFill="1" applyBorder="1" applyAlignment="1">
      <alignment horizontal="center" vertical="center"/>
    </xf>
    <xf numFmtId="0" fontId="127" fillId="3" borderId="144" xfId="0" applyFont="1" applyFill="1" applyBorder="1" applyAlignment="1">
      <alignment horizontal="center" vertical="center"/>
    </xf>
    <xf numFmtId="0" fontId="127" fillId="3" borderId="155" xfId="0" applyFont="1" applyFill="1" applyBorder="1" applyAlignment="1">
      <alignment horizontal="center" vertical="center"/>
    </xf>
    <xf numFmtId="180" fontId="127" fillId="3" borderId="20" xfId="0" applyNumberFormat="1" applyFont="1" applyFill="1" applyBorder="1" applyAlignment="1">
      <alignment horizontal="center" vertical="center"/>
    </xf>
    <xf numFmtId="180" fontId="127" fillId="3" borderId="93" xfId="0" applyNumberFormat="1" applyFont="1" applyFill="1" applyBorder="1" applyAlignment="1">
      <alignment horizontal="center" vertical="center"/>
    </xf>
    <xf numFmtId="180" fontId="127" fillId="3" borderId="21" xfId="0" applyNumberFormat="1" applyFont="1" applyFill="1" applyBorder="1" applyAlignment="1">
      <alignment horizontal="center" vertical="center"/>
    </xf>
    <xf numFmtId="14" fontId="127" fillId="3" borderId="20" xfId="0" applyNumberFormat="1" applyFont="1" applyFill="1" applyBorder="1" applyAlignment="1">
      <alignment horizontal="center" vertical="center"/>
    </xf>
    <xf numFmtId="14" fontId="127" fillId="3" borderId="93" xfId="0" applyNumberFormat="1" applyFont="1" applyFill="1" applyBorder="1" applyAlignment="1">
      <alignment horizontal="center" vertical="center"/>
    </xf>
    <xf numFmtId="14" fontId="127" fillId="3" borderId="21" xfId="0" applyNumberFormat="1" applyFont="1" applyFill="1" applyBorder="1" applyAlignment="1">
      <alignment horizontal="center" vertical="center"/>
    </xf>
    <xf numFmtId="0" fontId="127" fillId="3" borderId="20" xfId="0" applyFont="1" applyFill="1" applyBorder="1" applyAlignment="1">
      <alignment horizontal="center" vertical="center"/>
    </xf>
    <xf numFmtId="0" fontId="127" fillId="3" borderId="93" xfId="0" applyFont="1" applyFill="1" applyBorder="1" applyAlignment="1">
      <alignment horizontal="center" vertical="center"/>
    </xf>
    <xf numFmtId="0" fontId="127" fillId="3" borderId="21" xfId="0" applyFont="1" applyFill="1" applyBorder="1" applyAlignment="1">
      <alignment horizontal="center" vertical="center"/>
    </xf>
    <xf numFmtId="0" fontId="127" fillId="3" borderId="22" xfId="0" applyFont="1" applyFill="1" applyBorder="1" applyAlignment="1">
      <alignment horizontal="center" vertical="center"/>
    </xf>
    <xf numFmtId="0" fontId="127" fillId="3" borderId="94" xfId="0" applyFont="1" applyFill="1" applyBorder="1" applyAlignment="1">
      <alignment horizontal="center" vertical="center"/>
    </xf>
    <xf numFmtId="0" fontId="127" fillId="3" borderId="23" xfId="0" applyFont="1" applyFill="1" applyBorder="1" applyAlignment="1">
      <alignment horizontal="center" vertical="center"/>
    </xf>
    <xf numFmtId="0" fontId="126" fillId="0" borderId="52" xfId="0" applyFont="1" applyBorder="1" applyAlignment="1">
      <alignment horizontal="left" vertical="center"/>
    </xf>
    <xf numFmtId="0" fontId="126" fillId="0" borderId="41" xfId="0" applyFont="1" applyBorder="1" applyAlignment="1">
      <alignment horizontal="left" vertical="center"/>
    </xf>
    <xf numFmtId="0" fontId="126" fillId="0" borderId="55" xfId="0" applyFont="1" applyBorder="1" applyAlignment="1">
      <alignment horizontal="left" vertical="center"/>
    </xf>
    <xf numFmtId="0" fontId="124" fillId="4" borderId="5" xfId="0" applyFont="1" applyFill="1" applyBorder="1" applyAlignment="1">
      <alignment horizontal="center" vertical="center"/>
    </xf>
    <xf numFmtId="0" fontId="126" fillId="0" borderId="5" xfId="0" applyFont="1" applyBorder="1" applyAlignment="1">
      <alignment horizontal="left" vertical="center"/>
    </xf>
    <xf numFmtId="0" fontId="127" fillId="0" borderId="6" xfId="0" applyFont="1" applyBorder="1" applyAlignment="1">
      <alignment horizontal="left" vertical="center"/>
    </xf>
    <xf numFmtId="181" fontId="127" fillId="0" borderId="6" xfId="0" applyNumberFormat="1" applyFont="1" applyBorder="1" applyAlignment="1">
      <alignment horizontal="center" vertical="center"/>
    </xf>
    <xf numFmtId="0" fontId="127" fillId="0" borderId="7" xfId="0" applyFont="1" applyBorder="1" applyAlignment="1">
      <alignment horizontal="center" vertical="center"/>
    </xf>
    <xf numFmtId="0" fontId="127" fillId="0" borderId="6" xfId="0" applyFont="1" applyBorder="1" applyAlignment="1">
      <alignment horizontal="left" vertical="center" shrinkToFit="1"/>
    </xf>
    <xf numFmtId="0" fontId="126" fillId="0" borderId="12" xfId="0" applyFont="1" applyBorder="1" applyAlignment="1">
      <alignment horizontal="left" vertical="center"/>
    </xf>
    <xf numFmtId="0" fontId="127" fillId="0" borderId="13" xfId="0" applyFont="1" applyBorder="1" applyAlignment="1">
      <alignment horizontal="left" vertical="center"/>
    </xf>
    <xf numFmtId="181" fontId="127" fillId="0" borderId="13" xfId="0" applyNumberFormat="1" applyFont="1" applyBorder="1" applyAlignment="1">
      <alignment horizontal="center" vertical="center"/>
    </xf>
    <xf numFmtId="0" fontId="127" fillId="0" borderId="14" xfId="0" applyFont="1" applyBorder="1" applyAlignment="1">
      <alignment horizontal="center" vertical="center"/>
    </xf>
    <xf numFmtId="0" fontId="124" fillId="4" borderId="15" xfId="0" applyFont="1" applyFill="1" applyBorder="1" applyAlignment="1">
      <alignment horizontal="left" vertical="center"/>
    </xf>
    <xf numFmtId="0" fontId="124" fillId="4" borderId="16" xfId="0" applyFont="1" applyFill="1" applyBorder="1" applyAlignment="1">
      <alignment horizontal="left" vertical="center"/>
    </xf>
    <xf numFmtId="177" fontId="124" fillId="4" borderId="16" xfId="0" applyNumberFormat="1" applyFont="1" applyFill="1" applyBorder="1" applyAlignment="1">
      <alignment horizontal="center" vertical="center"/>
    </xf>
    <xf numFmtId="0" fontId="126" fillId="4" borderId="17" xfId="0" applyFont="1" applyFill="1" applyBorder="1" applyAlignment="1">
      <alignment horizontal="left" vertical="center"/>
    </xf>
    <xf numFmtId="0" fontId="127" fillId="0" borderId="7" xfId="0" applyFont="1" applyBorder="1" applyAlignment="1">
      <alignment horizontal="left" vertical="center"/>
    </xf>
    <xf numFmtId="0" fontId="126" fillId="0" borderId="157" xfId="0" applyFont="1" applyBorder="1" applyAlignment="1">
      <alignment horizontal="left" vertical="center"/>
    </xf>
    <xf numFmtId="0" fontId="127" fillId="0" borderId="158" xfId="0" applyFont="1" applyBorder="1" applyAlignment="1">
      <alignment horizontal="left" vertical="center"/>
    </xf>
    <xf numFmtId="181" fontId="127" fillId="0" borderId="158" xfId="0" applyNumberFormat="1" applyFont="1" applyBorder="1" applyAlignment="1">
      <alignment horizontal="center" vertical="center"/>
    </xf>
    <xf numFmtId="0" fontId="127" fillId="0" borderId="159" xfId="0" applyFont="1" applyBorder="1" applyAlignment="1">
      <alignment horizontal="left" vertical="center"/>
    </xf>
    <xf numFmtId="0" fontId="127" fillId="0" borderId="14" xfId="0" applyFont="1" applyBorder="1" applyAlignment="1">
      <alignment horizontal="left" vertical="center"/>
    </xf>
    <xf numFmtId="0" fontId="9" fillId="17" borderId="50" xfId="0" applyFont="1" applyFill="1" applyBorder="1" applyAlignment="1">
      <alignment horizontal="left" vertical="center"/>
    </xf>
    <xf numFmtId="0" fontId="9" fillId="17" borderId="49" xfId="0" applyFont="1" applyFill="1" applyBorder="1" applyAlignment="1">
      <alignment horizontal="left" vertical="center"/>
    </xf>
    <xf numFmtId="0" fontId="9" fillId="17" borderId="51" xfId="0" applyFont="1" applyFill="1" applyBorder="1" applyAlignment="1">
      <alignment horizontal="left" vertical="center"/>
    </xf>
    <xf numFmtId="0" fontId="126" fillId="4" borderId="24" xfId="0" applyFont="1" applyFill="1" applyBorder="1" applyAlignment="1">
      <alignment horizontal="left" vertical="center"/>
    </xf>
    <xf numFmtId="0" fontId="124" fillId="3" borderId="25" xfId="0" applyFont="1" applyFill="1" applyBorder="1" applyAlignment="1">
      <alignment horizontal="left" vertical="center"/>
    </xf>
    <xf numFmtId="0" fontId="127" fillId="3" borderId="25" xfId="0" applyFont="1" applyFill="1" applyBorder="1" applyAlignment="1">
      <alignment horizontal="left" vertical="center"/>
    </xf>
    <xf numFmtId="0" fontId="127" fillId="3" borderId="26" xfId="0" applyFont="1" applyFill="1" applyBorder="1" applyAlignment="1">
      <alignment horizontal="left" vertical="center"/>
    </xf>
    <xf numFmtId="0" fontId="126" fillId="4" borderId="5" xfId="0" applyFont="1" applyFill="1" applyBorder="1" applyAlignment="1">
      <alignment horizontal="left" vertical="center"/>
    </xf>
    <xf numFmtId="0" fontId="127" fillId="3" borderId="6" xfId="0" applyFont="1" applyFill="1" applyBorder="1" applyAlignment="1">
      <alignment horizontal="left" vertical="center"/>
    </xf>
    <xf numFmtId="0" fontId="127" fillId="3" borderId="7" xfId="0" applyFont="1" applyFill="1" applyBorder="1" applyAlignment="1">
      <alignment horizontal="left" vertical="center"/>
    </xf>
    <xf numFmtId="0" fontId="127" fillId="3" borderId="6" xfId="0" applyFont="1" applyFill="1" applyBorder="1" applyAlignment="1">
      <alignment horizontal="left" vertical="center" wrapText="1"/>
    </xf>
    <xf numFmtId="0" fontId="127" fillId="3" borderId="7" xfId="0" applyFont="1" applyFill="1" applyBorder="1" applyAlignment="1">
      <alignment horizontal="left" vertical="center" wrapText="1"/>
    </xf>
    <xf numFmtId="0" fontId="126" fillId="4" borderId="8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/>
    </xf>
    <xf numFmtId="0" fontId="127" fillId="3" borderId="10" xfId="0" applyFont="1" applyFill="1" applyBorder="1" applyAlignment="1">
      <alignment horizontal="left" vertical="center"/>
    </xf>
    <xf numFmtId="0" fontId="41" fillId="17" borderId="0" xfId="4" applyFont="1" applyFill="1" applyAlignment="1">
      <alignment horizontal="center" vertical="center" wrapText="1"/>
    </xf>
    <xf numFmtId="0" fontId="41" fillId="17" borderId="0" xfId="4" applyFont="1" applyFill="1" applyAlignment="1">
      <alignment horizontal="center" vertical="center"/>
    </xf>
    <xf numFmtId="0" fontId="126" fillId="4" borderId="163" xfId="4" applyFont="1" applyFill="1" applyBorder="1" applyAlignment="1">
      <alignment horizontal="center" vertical="center" wrapText="1"/>
    </xf>
    <xf numFmtId="0" fontId="126" fillId="4" borderId="28" xfId="4" applyFont="1" applyFill="1" applyBorder="1" applyAlignment="1">
      <alignment horizontal="center" vertical="center" wrapText="1"/>
    </xf>
    <xf numFmtId="0" fontId="126" fillId="4" borderId="164" xfId="4" applyFont="1" applyFill="1" applyBorder="1" applyAlignment="1">
      <alignment horizontal="center" vertical="center" wrapText="1"/>
    </xf>
    <xf numFmtId="0" fontId="4" fillId="17" borderId="15" xfId="4" applyFont="1" applyFill="1" applyBorder="1" applyAlignment="1">
      <alignment horizontal="left" vertical="center" wrapText="1"/>
    </xf>
    <xf numFmtId="0" fontId="4" fillId="17" borderId="16" xfId="4" applyFont="1" applyFill="1" applyBorder="1" applyAlignment="1">
      <alignment horizontal="left" vertical="center" wrapText="1"/>
    </xf>
    <xf numFmtId="0" fontId="4" fillId="17" borderId="17" xfId="4" applyFont="1" applyFill="1" applyBorder="1" applyAlignment="1">
      <alignment horizontal="left" vertical="center" wrapText="1"/>
    </xf>
    <xf numFmtId="0" fontId="126" fillId="3" borderId="5" xfId="4" applyFont="1" applyFill="1" applyBorder="1" applyAlignment="1">
      <alignment horizontal="left" vertical="center" wrapText="1"/>
    </xf>
    <xf numFmtId="0" fontId="126" fillId="3" borderId="6" xfId="4" applyFont="1" applyFill="1" applyBorder="1" applyAlignment="1">
      <alignment horizontal="left" vertical="center" wrapText="1"/>
    </xf>
    <xf numFmtId="0" fontId="127" fillId="3" borderId="6" xfId="4" applyFont="1" applyFill="1" applyBorder="1" applyAlignment="1">
      <alignment horizontal="left" vertical="center" wrapText="1"/>
    </xf>
    <xf numFmtId="181" fontId="127" fillId="3" borderId="6" xfId="4" applyNumberFormat="1" applyFont="1" applyFill="1" applyBorder="1" applyAlignment="1">
      <alignment horizontal="center" vertical="center" wrapText="1"/>
    </xf>
    <xf numFmtId="0" fontId="132" fillId="4" borderId="8" xfId="4" applyFont="1" applyFill="1" applyBorder="1" applyAlignment="1">
      <alignment horizontal="center" vertical="center" wrapText="1"/>
    </xf>
    <xf numFmtId="0" fontId="132" fillId="4" borderId="9" xfId="4" applyFont="1" applyFill="1" applyBorder="1" applyAlignment="1">
      <alignment horizontal="center" vertical="center" wrapText="1"/>
    </xf>
    <xf numFmtId="176" fontId="132" fillId="4" borderId="9" xfId="4" applyNumberFormat="1" applyFont="1" applyFill="1" applyBorder="1" applyAlignment="1">
      <alignment horizontal="center" vertical="center" wrapText="1"/>
    </xf>
    <xf numFmtId="177" fontId="124" fillId="4" borderId="9" xfId="4" applyNumberFormat="1" applyFont="1" applyFill="1" applyBorder="1" applyAlignment="1">
      <alignment horizontal="center" vertical="center" wrapText="1"/>
    </xf>
    <xf numFmtId="0" fontId="126" fillId="4" borderId="9" xfId="4" applyFont="1" applyFill="1" applyBorder="1" applyAlignment="1">
      <alignment horizontal="left" vertical="center" wrapText="1"/>
    </xf>
    <xf numFmtId="0" fontId="126" fillId="4" borderId="10" xfId="4" applyFont="1" applyFill="1" applyBorder="1" applyAlignment="1">
      <alignment horizontal="left" vertical="center" wrapText="1"/>
    </xf>
    <xf numFmtId="0" fontId="6" fillId="17" borderId="32" xfId="3" applyFont="1" applyFill="1" applyBorder="1" applyAlignment="1">
      <alignment horizontal="center" vertical="center"/>
    </xf>
    <xf numFmtId="0" fontId="6" fillId="17" borderId="33" xfId="3" applyFont="1" applyFill="1" applyBorder="1" applyAlignment="1">
      <alignment horizontal="center" vertical="center"/>
    </xf>
    <xf numFmtId="0" fontId="6" fillId="17" borderId="34" xfId="3" applyFont="1" applyFill="1" applyBorder="1" applyAlignment="1">
      <alignment horizontal="center" vertical="center"/>
    </xf>
    <xf numFmtId="0" fontId="129" fillId="0" borderId="27" xfId="0" applyFont="1" applyBorder="1" applyAlignment="1">
      <alignment horizontal="center" vertical="center"/>
    </xf>
    <xf numFmtId="0" fontId="4" fillId="17" borderId="77" xfId="3" applyFont="1" applyFill="1" applyBorder="1" applyAlignment="1">
      <alignment horizontal="center" vertical="center"/>
    </xf>
    <xf numFmtId="0" fontId="4" fillId="17" borderId="78" xfId="3" applyFont="1" applyFill="1" applyBorder="1" applyAlignment="1">
      <alignment horizontal="center" vertical="center"/>
    </xf>
    <xf numFmtId="0" fontId="4" fillId="17" borderId="78" xfId="3" applyFont="1" applyFill="1" applyBorder="1" applyAlignment="1">
      <alignment horizontal="center" vertical="center"/>
    </xf>
    <xf numFmtId="0" fontId="4" fillId="17" borderId="78" xfId="3" applyFont="1" applyFill="1" applyBorder="1" applyAlignment="1">
      <alignment horizontal="center" vertical="center" wrapText="1"/>
    </xf>
    <xf numFmtId="0" fontId="4" fillId="17" borderId="101" xfId="3" applyFont="1" applyFill="1" applyBorder="1" applyAlignment="1">
      <alignment horizontal="center" vertical="center"/>
    </xf>
    <xf numFmtId="0" fontId="127" fillId="0" borderId="80" xfId="3" applyFont="1" applyBorder="1" applyAlignment="1">
      <alignment horizontal="center" vertical="center"/>
    </xf>
    <xf numFmtId="0" fontId="127" fillId="0" borderId="81" xfId="3" applyFont="1" applyBorder="1" applyAlignment="1">
      <alignment horizontal="center" vertical="center"/>
    </xf>
    <xf numFmtId="0" fontId="127" fillId="3" borderId="81" xfId="3" applyFont="1" applyFill="1" applyBorder="1" applyAlignment="1">
      <alignment horizontal="left" vertical="center"/>
    </xf>
    <xf numFmtId="0" fontId="129" fillId="3" borderId="82" xfId="3" applyFont="1" applyFill="1" applyBorder="1" applyAlignment="1">
      <alignment horizontal="center" vertical="center"/>
    </xf>
    <xf numFmtId="3" fontId="127" fillId="3" borderId="81" xfId="3" applyNumberFormat="1" applyFont="1" applyFill="1" applyBorder="1" applyAlignment="1">
      <alignment horizontal="center" vertical="center"/>
    </xf>
    <xf numFmtId="0" fontId="129" fillId="3" borderId="82" xfId="3" applyFont="1" applyFill="1" applyBorder="1" applyAlignment="1">
      <alignment horizontal="center" vertical="center"/>
    </xf>
    <xf numFmtId="0" fontId="127" fillId="0" borderId="80" xfId="3" applyFont="1" applyBorder="1" applyAlignment="1">
      <alignment horizontal="center" vertical="center" wrapText="1"/>
    </xf>
    <xf numFmtId="0" fontId="127" fillId="0" borderId="81" xfId="3" applyFont="1" applyBorder="1" applyAlignment="1">
      <alignment horizontal="center" vertical="center" wrapText="1"/>
    </xf>
    <xf numFmtId="0" fontId="127" fillId="0" borderId="81" xfId="3" applyFont="1" applyBorder="1" applyAlignment="1">
      <alignment horizontal="center" vertical="center"/>
    </xf>
    <xf numFmtId="0" fontId="129" fillId="3" borderId="82" xfId="3" applyFont="1" applyFill="1" applyBorder="1" applyAlignment="1">
      <alignment horizontal="center" vertical="center" wrapText="1"/>
    </xf>
    <xf numFmtId="0" fontId="127" fillId="0" borderId="83" xfId="3" applyFont="1" applyBorder="1" applyAlignment="1">
      <alignment horizontal="center" vertical="center"/>
    </xf>
    <xf numFmtId="0" fontId="127" fillId="0" borderId="84" xfId="3" applyFont="1" applyBorder="1" applyAlignment="1">
      <alignment horizontal="center" vertical="center"/>
    </xf>
    <xf numFmtId="0" fontId="127" fillId="3" borderId="84" xfId="3" applyFont="1" applyFill="1" applyBorder="1" applyAlignment="1">
      <alignment horizontal="left" vertical="center"/>
    </xf>
    <xf numFmtId="3" fontId="127" fillId="3" borderId="84" xfId="3" applyNumberFormat="1" applyFont="1" applyFill="1" applyBorder="1" applyAlignment="1">
      <alignment horizontal="center" vertical="center"/>
    </xf>
    <xf numFmtId="0" fontId="129" fillId="3" borderId="85" xfId="3" applyFont="1" applyFill="1" applyBorder="1" applyAlignment="1">
      <alignment horizontal="center" vertical="center"/>
    </xf>
    <xf numFmtId="0" fontId="124" fillId="4" borderId="15" xfId="3" applyFont="1" applyFill="1" applyBorder="1" applyAlignment="1">
      <alignment horizontal="center" vertical="center"/>
    </xf>
    <xf numFmtId="0" fontId="124" fillId="4" borderId="16" xfId="3" applyFont="1" applyFill="1" applyBorder="1" applyAlignment="1">
      <alignment horizontal="center" vertical="center"/>
    </xf>
    <xf numFmtId="0" fontId="124" fillId="4" borderId="16" xfId="3" applyFont="1" applyFill="1" applyBorder="1" applyAlignment="1">
      <alignment horizontal="center" vertical="center"/>
    </xf>
    <xf numFmtId="3" fontId="124" fillId="4" borderId="16" xfId="3" applyNumberFormat="1" applyFont="1" applyFill="1" applyBorder="1" applyAlignment="1">
      <alignment horizontal="center" vertical="center"/>
    </xf>
    <xf numFmtId="0" fontId="124" fillId="4" borderId="17" xfId="3" applyFont="1" applyFill="1" applyBorder="1" applyAlignment="1">
      <alignment horizontal="center" vertical="center"/>
    </xf>
    <xf numFmtId="0" fontId="9" fillId="17" borderId="15" xfId="4" applyFont="1" applyFill="1" applyBorder="1" applyAlignment="1">
      <alignment horizontal="left" vertical="center" wrapText="1"/>
    </xf>
    <xf numFmtId="0" fontId="9" fillId="17" borderId="16" xfId="4" applyFont="1" applyFill="1" applyBorder="1" applyAlignment="1">
      <alignment horizontal="left" vertical="center" wrapText="1"/>
    </xf>
    <xf numFmtId="0" fontId="9" fillId="17" borderId="17" xfId="4" applyFont="1" applyFill="1" applyBorder="1" applyAlignment="1">
      <alignment horizontal="left" vertical="center" wrapText="1"/>
    </xf>
    <xf numFmtId="0" fontId="126" fillId="3" borderId="80" xfId="4" applyFont="1" applyFill="1" applyBorder="1" applyAlignment="1">
      <alignment horizontal="left" vertical="center" wrapText="1"/>
    </xf>
    <xf numFmtId="0" fontId="126" fillId="3" borderId="81" xfId="4" applyFont="1" applyFill="1" applyBorder="1" applyAlignment="1">
      <alignment horizontal="left" vertical="center" wrapText="1"/>
    </xf>
    <xf numFmtId="0" fontId="127" fillId="3" borderId="81" xfId="4" applyFont="1" applyFill="1" applyBorder="1" applyAlignment="1">
      <alignment horizontal="left" vertical="center" wrapText="1"/>
    </xf>
    <xf numFmtId="176" fontId="127" fillId="3" borderId="81" xfId="4" applyNumberFormat="1" applyFont="1" applyFill="1" applyBorder="1" applyAlignment="1">
      <alignment horizontal="center" vertical="center" wrapText="1"/>
    </xf>
    <xf numFmtId="181" fontId="127" fillId="3" borderId="81" xfId="4" applyNumberFormat="1" applyFont="1" applyFill="1" applyBorder="1" applyAlignment="1">
      <alignment horizontal="center" vertical="center" wrapText="1"/>
    </xf>
    <xf numFmtId="181" fontId="127" fillId="3" borderId="81" xfId="4" applyNumberFormat="1" applyFont="1" applyFill="1" applyBorder="1" applyAlignment="1">
      <alignment horizontal="left" vertical="center" wrapText="1"/>
    </xf>
    <xf numFmtId="181" fontId="127" fillId="3" borderId="82" xfId="4" applyNumberFormat="1" applyFont="1" applyFill="1" applyBorder="1" applyAlignment="1">
      <alignment horizontal="left" vertical="center" wrapText="1"/>
    </xf>
    <xf numFmtId="0" fontId="132" fillId="4" borderId="83" xfId="4" applyFont="1" applyFill="1" applyBorder="1" applyAlignment="1">
      <alignment horizontal="center" vertical="center" wrapText="1"/>
    </xf>
    <xf numFmtId="0" fontId="132" fillId="4" borderId="84" xfId="4" applyFont="1" applyFill="1" applyBorder="1" applyAlignment="1">
      <alignment horizontal="center" vertical="center" wrapText="1"/>
    </xf>
    <xf numFmtId="176" fontId="132" fillId="4" borderId="84" xfId="4" applyNumberFormat="1" applyFont="1" applyFill="1" applyBorder="1" applyAlignment="1">
      <alignment horizontal="center" vertical="center" wrapText="1"/>
    </xf>
    <xf numFmtId="177" fontId="132" fillId="4" borderId="84" xfId="4" applyNumberFormat="1" applyFont="1" applyFill="1" applyBorder="1" applyAlignment="1">
      <alignment horizontal="center" vertical="center" wrapText="1"/>
    </xf>
    <xf numFmtId="177" fontId="126" fillId="4" borderId="84" xfId="4" applyNumberFormat="1" applyFont="1" applyFill="1" applyBorder="1" applyAlignment="1">
      <alignment horizontal="left" vertical="center" wrapText="1"/>
    </xf>
    <xf numFmtId="177" fontId="126" fillId="4" borderId="85" xfId="4" applyNumberFormat="1" applyFont="1" applyFill="1" applyBorder="1" applyAlignment="1">
      <alignment horizontal="left" vertical="center" wrapText="1"/>
    </xf>
    <xf numFmtId="0" fontId="126" fillId="2" borderId="108" xfId="0" applyFont="1" applyFill="1" applyBorder="1" applyAlignment="1">
      <alignment horizontal="center" vertical="center"/>
    </xf>
    <xf numFmtId="0" fontId="126" fillId="2" borderId="109" xfId="0" applyFont="1" applyFill="1" applyBorder="1" applyAlignment="1">
      <alignment horizontal="center" vertical="center"/>
    </xf>
    <xf numFmtId="0" fontId="126" fillId="2" borderId="110" xfId="0" applyFont="1" applyFill="1" applyBorder="1" applyAlignment="1">
      <alignment horizontal="center" vertical="center" wrapText="1"/>
    </xf>
    <xf numFmtId="0" fontId="127" fillId="0" borderId="80" xfId="0" applyFont="1" applyBorder="1" applyAlignment="1">
      <alignment horizontal="center" vertical="center"/>
    </xf>
    <xf numFmtId="0" fontId="133" fillId="0" borderId="81" xfId="0" applyFont="1" applyBorder="1" applyAlignment="1">
      <alignment horizontal="left" vertical="center" wrapText="1"/>
    </xf>
    <xf numFmtId="0" fontId="129" fillId="0" borderId="81" xfId="0" applyFont="1" applyBorder="1" applyAlignment="1">
      <alignment horizontal="center" vertical="center" wrapText="1"/>
    </xf>
    <xf numFmtId="0" fontId="129" fillId="0" borderId="81" xfId="0" applyFont="1" applyBorder="1" applyAlignment="1">
      <alignment horizontal="center" vertical="center" wrapText="1"/>
    </xf>
    <xf numFmtId="176" fontId="127" fillId="0" borderId="82" xfId="0" applyNumberFormat="1" applyFont="1" applyBorder="1" applyAlignment="1">
      <alignment horizontal="center" vertical="center"/>
    </xf>
    <xf numFmtId="0" fontId="129" fillId="0" borderId="103" xfId="0" applyFont="1" applyBorder="1" applyAlignment="1">
      <alignment horizontal="center" vertical="center" wrapText="1"/>
    </xf>
    <xf numFmtId="0" fontId="129" fillId="0" borderId="104" xfId="0" applyFont="1" applyBorder="1" applyAlignment="1">
      <alignment horizontal="center" vertical="center" wrapText="1"/>
    </xf>
    <xf numFmtId="0" fontId="127" fillId="0" borderId="83" xfId="0" applyFont="1" applyBorder="1" applyAlignment="1">
      <alignment horizontal="center" vertical="center"/>
    </xf>
    <xf numFmtId="0" fontId="133" fillId="0" borderId="84" xfId="0" applyFont="1" applyBorder="1" applyAlignment="1">
      <alignment horizontal="left" vertical="center" wrapText="1"/>
    </xf>
    <xf numFmtId="0" fontId="129" fillId="0" borderId="105" xfId="0" applyFont="1" applyBorder="1" applyAlignment="1">
      <alignment horizontal="center" vertical="center" wrapText="1"/>
    </xf>
    <xf numFmtId="0" fontId="129" fillId="0" borderId="84" xfId="0" applyFont="1" applyBorder="1" applyAlignment="1">
      <alignment horizontal="center" vertical="center" wrapText="1"/>
    </xf>
    <xf numFmtId="176" fontId="127" fillId="0" borderId="85" xfId="0" applyNumberFormat="1" applyFont="1" applyBorder="1" applyAlignment="1">
      <alignment horizontal="center" vertical="center"/>
    </xf>
    <xf numFmtId="0" fontId="9" fillId="17" borderId="50" xfId="0" applyFont="1" applyFill="1" applyBorder="1" applyAlignment="1">
      <alignment horizontal="left" vertical="center" shrinkToFit="1"/>
    </xf>
    <xf numFmtId="0" fontId="9" fillId="17" borderId="48" xfId="0" applyFont="1" applyFill="1" applyBorder="1" applyAlignment="1">
      <alignment horizontal="left" vertical="center" shrinkToFit="1"/>
    </xf>
    <xf numFmtId="0" fontId="126" fillId="0" borderId="5" xfId="0" applyFont="1" applyBorder="1" applyAlignment="1">
      <alignment horizontal="left" vertical="center" shrinkToFit="1"/>
    </xf>
    <xf numFmtId="0" fontId="127" fillId="0" borderId="6" xfId="0" applyFont="1" applyBorder="1" applyAlignment="1">
      <alignment horizontal="center" vertical="center"/>
    </xf>
    <xf numFmtId="0" fontId="127" fillId="0" borderId="6" xfId="0" applyFont="1" applyBorder="1" applyAlignment="1">
      <alignment horizontal="left" vertical="center"/>
    </xf>
    <xf numFmtId="0" fontId="127" fillId="0" borderId="7" xfId="0" applyFont="1" applyBorder="1" applyAlignment="1">
      <alignment horizontal="left" vertical="center"/>
    </xf>
    <xf numFmtId="0" fontId="126" fillId="0" borderId="12" xfId="0" applyFont="1" applyBorder="1" applyAlignment="1">
      <alignment horizontal="left" vertical="center" shrinkToFit="1"/>
    </xf>
    <xf numFmtId="0" fontId="127" fillId="0" borderId="13" xfId="0" applyFont="1" applyBorder="1" applyAlignment="1">
      <alignment horizontal="left" vertical="center" shrinkToFit="1"/>
    </xf>
    <xf numFmtId="0" fontId="127" fillId="0" borderId="13" xfId="0" applyFont="1" applyBorder="1" applyAlignment="1">
      <alignment horizontal="left" vertical="center"/>
    </xf>
    <xf numFmtId="0" fontId="127" fillId="0" borderId="14" xfId="0" applyFont="1" applyBorder="1" applyAlignment="1">
      <alignment horizontal="left" vertical="center"/>
    </xf>
    <xf numFmtId="0" fontId="126" fillId="3" borderId="46" xfId="0" applyFont="1" applyFill="1" applyBorder="1" applyAlignment="1">
      <alignment horizontal="left" vertical="center" shrinkToFit="1"/>
    </xf>
    <xf numFmtId="0" fontId="127" fillId="3" borderId="13" xfId="0" applyFont="1" applyFill="1" applyBorder="1" applyAlignment="1">
      <alignment horizontal="left" vertical="center" shrinkToFit="1"/>
    </xf>
    <xf numFmtId="0" fontId="127" fillId="3" borderId="35" xfId="0" applyFont="1" applyFill="1" applyBorder="1" applyAlignment="1">
      <alignment horizontal="left" vertical="center"/>
    </xf>
    <xf numFmtId="0" fontId="127" fillId="3" borderId="44" xfId="0" applyFont="1" applyFill="1" applyBorder="1" applyAlignment="1">
      <alignment horizontal="left" vertical="center"/>
    </xf>
    <xf numFmtId="0" fontId="126" fillId="3" borderId="45" xfId="0" applyFont="1" applyFill="1" applyBorder="1" applyAlignment="1">
      <alignment horizontal="left" vertical="center" shrinkToFit="1"/>
    </xf>
    <xf numFmtId="0" fontId="127" fillId="3" borderId="6" xfId="0" applyFont="1" applyFill="1" applyBorder="1" applyAlignment="1">
      <alignment horizontal="left" vertical="center" shrinkToFit="1"/>
    </xf>
    <xf numFmtId="0" fontId="127" fillId="3" borderId="20" xfId="0" applyFont="1" applyFill="1" applyBorder="1" applyAlignment="1">
      <alignment horizontal="left" vertical="center"/>
    </xf>
    <xf numFmtId="0" fontId="127" fillId="3" borderId="21" xfId="0" applyFont="1" applyFill="1" applyBorder="1" applyAlignment="1">
      <alignment horizontal="left" vertical="center"/>
    </xf>
    <xf numFmtId="0" fontId="124" fillId="4" borderId="111" xfId="0" applyFont="1" applyFill="1" applyBorder="1" applyAlignment="1">
      <alignment horizontal="center" vertical="center"/>
    </xf>
    <xf numFmtId="0" fontId="124" fillId="4" borderId="58" xfId="0" applyFont="1" applyFill="1" applyBorder="1" applyAlignment="1">
      <alignment horizontal="center" vertical="center"/>
    </xf>
    <xf numFmtId="176" fontId="132" fillId="4" borderId="28" xfId="0" applyNumberFormat="1" applyFont="1" applyFill="1" applyBorder="1" applyAlignment="1">
      <alignment horizontal="center" vertical="center"/>
    </xf>
    <xf numFmtId="0" fontId="124" fillId="4" borderId="28" xfId="0" applyFont="1" applyFill="1" applyBorder="1" applyAlignment="1">
      <alignment horizontal="center" vertical="center"/>
    </xf>
    <xf numFmtId="0" fontId="124" fillId="4" borderId="29" xfId="0" applyFont="1" applyFill="1" applyBorder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left" vertical="center" indent="1"/>
    </xf>
    <xf numFmtId="0" fontId="4" fillId="17" borderId="77" xfId="0" applyFont="1" applyFill="1" applyBorder="1" applyAlignment="1">
      <alignment horizontal="left" vertical="center" indent="1"/>
    </xf>
    <xf numFmtId="0" fontId="4" fillId="17" borderId="78" xfId="0" applyFont="1" applyFill="1" applyBorder="1" applyAlignment="1">
      <alignment horizontal="left" vertical="center" indent="1"/>
    </xf>
    <xf numFmtId="0" fontId="4" fillId="17" borderId="101" xfId="0" applyFont="1" applyFill="1" applyBorder="1" applyAlignment="1">
      <alignment horizontal="left" vertical="center" indent="1"/>
    </xf>
    <xf numFmtId="0" fontId="4" fillId="17" borderId="32" xfId="0" applyFont="1" applyFill="1" applyBorder="1" applyAlignment="1">
      <alignment horizontal="left" vertical="center" indent="1"/>
    </xf>
    <xf numFmtId="0" fontId="4" fillId="17" borderId="33" xfId="0" applyFont="1" applyFill="1" applyBorder="1" applyAlignment="1">
      <alignment horizontal="left" vertical="center" indent="1"/>
    </xf>
    <xf numFmtId="0" fontId="4" fillId="17" borderId="34" xfId="0" applyFont="1" applyFill="1" applyBorder="1" applyAlignment="1">
      <alignment horizontal="left" vertical="center" indent="1"/>
    </xf>
    <xf numFmtId="0" fontId="40" fillId="17" borderId="165" xfId="0" applyFont="1" applyFill="1" applyBorder="1" applyAlignment="1">
      <alignment horizontal="center" vertical="center"/>
    </xf>
    <xf numFmtId="0" fontId="40" fillId="17" borderId="99" xfId="0" applyFont="1" applyFill="1" applyBorder="1" applyAlignment="1">
      <alignment horizontal="center" vertical="center"/>
    </xf>
    <xf numFmtId="0" fontId="40" fillId="17" borderId="100" xfId="0" applyFont="1" applyFill="1" applyBorder="1" applyAlignment="1">
      <alignment horizontal="center" vertical="center"/>
    </xf>
    <xf numFmtId="0" fontId="40" fillId="17" borderId="81" xfId="0" applyFont="1" applyFill="1" applyBorder="1" applyAlignment="1">
      <alignment horizontal="center" vertical="center"/>
    </xf>
    <xf numFmtId="0" fontId="40" fillId="17" borderId="82" xfId="0" applyFont="1" applyFill="1" applyBorder="1" applyAlignment="1">
      <alignment horizontal="center" vertical="center"/>
    </xf>
    <xf numFmtId="0" fontId="126" fillId="0" borderId="0" xfId="0" applyFont="1" applyAlignment="1">
      <alignment horizontal="left" vertical="center" indent="1"/>
    </xf>
    <xf numFmtId="176" fontId="132" fillId="0" borderId="0" xfId="0" applyNumberFormat="1" applyFont="1" applyAlignment="1">
      <alignment horizontal="right" vertical="center" indent="1"/>
    </xf>
    <xf numFmtId="0" fontId="126" fillId="0" borderId="118" xfId="0" applyFont="1" applyBorder="1" applyAlignment="1">
      <alignment horizontal="center" vertical="center"/>
    </xf>
    <xf numFmtId="0" fontId="134" fillId="3" borderId="0" xfId="0" applyFont="1" applyFill="1"/>
    <xf numFmtId="0" fontId="3" fillId="17" borderId="0" xfId="4" applyFont="1" applyFill="1" applyAlignment="1">
      <alignment horizontal="center" vertical="center" wrapText="1"/>
    </xf>
    <xf numFmtId="0" fontId="3" fillId="17" borderId="0" xfId="4" applyFont="1" applyFill="1" applyAlignment="1">
      <alignment horizontal="center"/>
    </xf>
    <xf numFmtId="0" fontId="126" fillId="4" borderId="2" xfId="4" applyFont="1" applyFill="1" applyBorder="1" applyAlignment="1">
      <alignment horizontal="center" vertical="center" wrapText="1"/>
    </xf>
    <xf numFmtId="0" fontId="126" fillId="4" borderId="3" xfId="4" applyFont="1" applyFill="1" applyBorder="1" applyAlignment="1">
      <alignment horizontal="center" vertical="center" wrapText="1"/>
    </xf>
    <xf numFmtId="0" fontId="126" fillId="4" borderId="4" xfId="4" applyFont="1" applyFill="1" applyBorder="1" applyAlignment="1">
      <alignment horizontal="center" vertical="center" wrapText="1"/>
    </xf>
    <xf numFmtId="0" fontId="129" fillId="3" borderId="5" xfId="4" applyFont="1" applyFill="1" applyBorder="1" applyAlignment="1">
      <alignment horizontal="left" vertical="center" wrapText="1"/>
    </xf>
    <xf numFmtId="0" fontId="129" fillId="3" borderId="6" xfId="4" applyFont="1" applyFill="1" applyBorder="1" applyAlignment="1">
      <alignment horizontal="left" vertical="center" wrapText="1"/>
    </xf>
    <xf numFmtId="0" fontId="129" fillId="0" borderId="6" xfId="4" applyFont="1" applyBorder="1" applyAlignment="1">
      <alignment horizontal="center" vertical="center" wrapText="1"/>
    </xf>
    <xf numFmtId="3" fontId="129" fillId="0" borderId="6" xfId="4" applyNumberFormat="1" applyFont="1" applyBorder="1" applyAlignment="1">
      <alignment horizontal="center" vertical="center" wrapText="1"/>
    </xf>
    <xf numFmtId="0" fontId="129" fillId="3" borderId="41" xfId="4" applyFont="1" applyFill="1" applyBorder="1" applyAlignment="1">
      <alignment horizontal="left" vertical="center" wrapText="1"/>
    </xf>
    <xf numFmtId="0" fontId="129" fillId="3" borderId="42" xfId="4" applyFont="1" applyFill="1" applyBorder="1" applyAlignment="1">
      <alignment horizontal="left" vertical="center" wrapText="1"/>
    </xf>
    <xf numFmtId="0" fontId="129" fillId="0" borderId="42" xfId="4" applyFont="1" applyBorder="1" applyAlignment="1">
      <alignment horizontal="center" vertical="center" wrapText="1"/>
    </xf>
    <xf numFmtId="3" fontId="129" fillId="0" borderId="42" xfId="4" applyNumberFormat="1" applyFont="1" applyBorder="1" applyAlignment="1">
      <alignment horizontal="center" vertical="center" wrapText="1"/>
    </xf>
    <xf numFmtId="0" fontId="129" fillId="3" borderId="42" xfId="4" quotePrefix="1" applyFont="1" applyFill="1" applyBorder="1" applyAlignment="1">
      <alignment horizontal="left" vertical="center" wrapText="1"/>
    </xf>
    <xf numFmtId="0" fontId="129" fillId="3" borderId="113" xfId="4" applyFont="1" applyFill="1" applyBorder="1" applyAlignment="1">
      <alignment horizontal="left" vertical="center" wrapText="1"/>
    </xf>
    <xf numFmtId="0" fontId="129" fillId="3" borderId="114" xfId="4" quotePrefix="1" applyFont="1" applyFill="1" applyBorder="1" applyAlignment="1">
      <alignment horizontal="left" vertical="center" wrapText="1"/>
    </xf>
    <xf numFmtId="0" fontId="129" fillId="0" borderId="114" xfId="4" applyFont="1" applyBorder="1" applyAlignment="1">
      <alignment horizontal="center" vertical="center" wrapText="1"/>
    </xf>
    <xf numFmtId="3" fontId="129" fillId="0" borderId="114" xfId="4" applyNumberFormat="1" applyFont="1" applyBorder="1" applyAlignment="1">
      <alignment horizontal="center" vertical="center" wrapText="1"/>
    </xf>
    <xf numFmtId="0" fontId="127" fillId="3" borderId="3" xfId="0" applyFont="1" applyFill="1" applyBorder="1" applyAlignment="1">
      <alignment horizontal="center" vertical="center" wrapText="1"/>
    </xf>
    <xf numFmtId="0" fontId="127" fillId="0" borderId="0" xfId="0" applyFont="1" applyAlignment="1">
      <alignment horizontal="center" vertical="center"/>
    </xf>
    <xf numFmtId="0" fontId="127" fillId="3" borderId="3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0" fontId="126" fillId="0" borderId="2" xfId="0" applyFont="1" applyBorder="1" applyAlignment="1">
      <alignment horizontal="left" vertical="center" indent="1"/>
    </xf>
    <xf numFmtId="0" fontId="127" fillId="0" borderId="3" xfId="0" applyFont="1" applyBorder="1" applyAlignment="1">
      <alignment horizontal="center" vertical="center"/>
    </xf>
    <xf numFmtId="0" fontId="126" fillId="0" borderId="3" xfId="0" applyFont="1" applyBorder="1" applyAlignment="1">
      <alignment horizontal="left" vertical="center" indent="1"/>
    </xf>
    <xf numFmtId="0" fontId="127" fillId="0" borderId="4" xfId="0" applyFont="1" applyBorder="1" applyAlignment="1">
      <alignment horizontal="center" vertical="center"/>
    </xf>
    <xf numFmtId="0" fontId="126" fillId="0" borderId="5" xfId="0" applyFont="1" applyBorder="1" applyAlignment="1">
      <alignment horizontal="left" vertical="center" indent="1"/>
    </xf>
    <xf numFmtId="0" fontId="126" fillId="0" borderId="6" xfId="0" applyFont="1" applyBorder="1" applyAlignment="1">
      <alignment horizontal="left" vertical="center" indent="1"/>
    </xf>
    <xf numFmtId="0" fontId="126" fillId="0" borderId="8" xfId="0" applyFont="1" applyBorder="1" applyAlignment="1">
      <alignment horizontal="left" vertical="center" indent="1"/>
    </xf>
    <xf numFmtId="0" fontId="127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left" vertical="center" indent="1"/>
    </xf>
    <xf numFmtId="0" fontId="127" fillId="0" borderId="10" xfId="0" applyFont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4" fillId="17" borderId="2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126" fillId="2" borderId="5" xfId="0" applyFont="1" applyFill="1" applyBorder="1" applyAlignment="1">
      <alignment horizontal="center" vertical="center"/>
    </xf>
    <xf numFmtId="0" fontId="127" fillId="2" borderId="6" xfId="0" applyFont="1" applyFill="1" applyBorder="1" applyAlignment="1">
      <alignment horizontal="center" vertical="center"/>
    </xf>
    <xf numFmtId="0" fontId="126" fillId="4" borderId="7" xfId="0" applyFont="1" applyFill="1" applyBorder="1" applyAlignment="1">
      <alignment horizontal="center" vertical="center"/>
    </xf>
    <xf numFmtId="0" fontId="126" fillId="3" borderId="5" xfId="0" applyFont="1" applyFill="1" applyBorder="1" applyAlignment="1">
      <alignment horizontal="center" vertical="center"/>
    </xf>
    <xf numFmtId="0" fontId="127" fillId="3" borderId="6" xfId="0" applyFont="1" applyFill="1" applyBorder="1" applyAlignment="1">
      <alignment horizontal="center" vertical="center"/>
    </xf>
    <xf numFmtId="0" fontId="126" fillId="2" borderId="12" xfId="0" applyFont="1" applyFill="1" applyBorder="1" applyAlignment="1">
      <alignment horizontal="center" vertical="center"/>
    </xf>
    <xf numFmtId="0" fontId="127" fillId="2" borderId="13" xfId="0" applyFont="1" applyFill="1" applyBorder="1" applyAlignment="1">
      <alignment horizontal="center" vertical="center"/>
    </xf>
    <xf numFmtId="0" fontId="126" fillId="4" borderId="14" xfId="0" applyFont="1" applyFill="1" applyBorder="1" applyAlignment="1">
      <alignment horizontal="center" vertical="center"/>
    </xf>
    <xf numFmtId="0" fontId="126" fillId="2" borderId="37" xfId="0" applyFont="1" applyFill="1" applyBorder="1" applyAlignment="1">
      <alignment horizontal="center" vertical="center"/>
    </xf>
    <xf numFmtId="0" fontId="127" fillId="2" borderId="25" xfId="0" applyFont="1" applyFill="1" applyBorder="1" applyAlignment="1">
      <alignment horizontal="center" vertical="center"/>
    </xf>
    <xf numFmtId="0" fontId="126" fillId="4" borderId="26" xfId="0" applyFont="1" applyFill="1" applyBorder="1" applyAlignment="1">
      <alignment horizontal="center" vertical="center"/>
    </xf>
    <xf numFmtId="0" fontId="126" fillId="3" borderId="40" xfId="0" applyFont="1" applyFill="1" applyBorder="1" applyAlignment="1">
      <alignment horizontal="center" vertical="center"/>
    </xf>
    <xf numFmtId="0" fontId="126" fillId="2" borderId="40" xfId="0" applyFont="1" applyFill="1" applyBorder="1" applyAlignment="1">
      <alignment horizontal="center" vertical="center"/>
    </xf>
    <xf numFmtId="0" fontId="126" fillId="2" borderId="58" xfId="0" applyFont="1" applyFill="1" applyBorder="1" applyAlignment="1">
      <alignment horizontal="center" vertical="center"/>
    </xf>
    <xf numFmtId="0" fontId="127" fillId="2" borderId="9" xfId="0" applyFont="1" applyFill="1" applyBorder="1" applyAlignment="1">
      <alignment horizontal="center" vertical="center"/>
    </xf>
    <xf numFmtId="0" fontId="126" fillId="4" borderId="10" xfId="0" applyFont="1" applyFill="1" applyBorder="1" applyAlignment="1">
      <alignment horizontal="center" vertical="center"/>
    </xf>
    <xf numFmtId="0" fontId="40" fillId="17" borderId="2" xfId="0" applyFont="1" applyFill="1" applyBorder="1" applyAlignment="1">
      <alignment horizontal="center" vertical="center"/>
    </xf>
    <xf numFmtId="0" fontId="40" fillId="17" borderId="3" xfId="0" applyFont="1" applyFill="1" applyBorder="1" applyAlignment="1">
      <alignment horizontal="center" vertical="center"/>
    </xf>
    <xf numFmtId="0" fontId="40" fillId="17" borderId="4" xfId="0" applyFont="1" applyFill="1" applyBorder="1" applyAlignment="1">
      <alignment horizontal="center" vertical="center"/>
    </xf>
    <xf numFmtId="0" fontId="126" fillId="3" borderId="5" xfId="0" applyFont="1" applyFill="1" applyBorder="1" applyAlignment="1">
      <alignment horizontal="left" vertical="center" indent="1"/>
    </xf>
    <xf numFmtId="0" fontId="127" fillId="3" borderId="6" xfId="0" applyFont="1" applyFill="1" applyBorder="1" applyAlignment="1">
      <alignment horizontal="left" vertical="center" wrapText="1" indent="1"/>
    </xf>
    <xf numFmtId="0" fontId="129" fillId="3" borderId="6" xfId="0" applyFont="1" applyFill="1" applyBorder="1" applyAlignment="1">
      <alignment horizontal="left" vertical="center" wrapText="1" indent="1"/>
    </xf>
    <xf numFmtId="0" fontId="126" fillId="2" borderId="5" xfId="0" applyFont="1" applyFill="1" applyBorder="1" applyAlignment="1">
      <alignment horizontal="left" vertical="center" indent="1"/>
    </xf>
    <xf numFmtId="0" fontId="127" fillId="2" borderId="6" xfId="0" applyFont="1" applyFill="1" applyBorder="1" applyAlignment="1">
      <alignment horizontal="left" vertical="center" wrapText="1" indent="1"/>
    </xf>
    <xf numFmtId="0" fontId="129" fillId="2" borderId="6" xfId="0" applyFont="1" applyFill="1" applyBorder="1" applyAlignment="1">
      <alignment horizontal="left" vertical="center" wrapText="1" indent="1"/>
    </xf>
    <xf numFmtId="0" fontId="126" fillId="2" borderId="8" xfId="0" applyFont="1" applyFill="1" applyBorder="1" applyAlignment="1">
      <alignment horizontal="left" vertical="center" indent="1"/>
    </xf>
    <xf numFmtId="0" fontId="126" fillId="2" borderId="9" xfId="0" applyFont="1" applyFill="1" applyBorder="1" applyAlignment="1">
      <alignment horizontal="left" vertical="center" indent="1"/>
    </xf>
    <xf numFmtId="0" fontId="127" fillId="2" borderId="9" xfId="0" applyFont="1" applyFill="1" applyBorder="1" applyAlignment="1">
      <alignment horizontal="left" vertical="center" wrapText="1" indent="1"/>
    </xf>
    <xf numFmtId="0" fontId="129" fillId="2" borderId="9" xfId="0" applyFont="1" applyFill="1" applyBorder="1" applyAlignment="1">
      <alignment horizontal="left" vertical="center" wrapText="1" indent="1"/>
    </xf>
    <xf numFmtId="0" fontId="129" fillId="2" borderId="10" xfId="0" applyFont="1" applyFill="1" applyBorder="1" applyAlignment="1">
      <alignment horizontal="left" vertical="center" wrapText="1" indent="1"/>
    </xf>
    <xf numFmtId="0" fontId="135" fillId="0" borderId="0" xfId="0" applyFont="1" applyAlignment="1">
      <alignment horizontal="center" vertical="center"/>
    </xf>
    <xf numFmtId="14" fontId="129" fillId="3" borderId="3" xfId="0" applyNumberFormat="1" applyFont="1" applyFill="1" applyBorder="1" applyAlignment="1">
      <alignment horizontal="center" vertical="center"/>
    </xf>
    <xf numFmtId="14" fontId="129" fillId="3" borderId="3" xfId="0" applyNumberFormat="1" applyFont="1" applyFill="1" applyBorder="1" applyAlignment="1">
      <alignment horizontal="left" vertical="center"/>
    </xf>
    <xf numFmtId="14" fontId="129" fillId="3" borderId="4" xfId="0" applyNumberFormat="1" applyFont="1" applyFill="1" applyBorder="1" applyAlignment="1">
      <alignment horizontal="left" vertical="center"/>
    </xf>
    <xf numFmtId="0" fontId="129" fillId="3" borderId="9" xfId="0" applyFont="1" applyFill="1" applyBorder="1" applyAlignment="1">
      <alignment horizontal="center" vertical="center"/>
    </xf>
    <xf numFmtId="0" fontId="129" fillId="3" borderId="9" xfId="0" applyFont="1" applyFill="1" applyBorder="1" applyAlignment="1">
      <alignment horizontal="left" vertical="center"/>
    </xf>
    <xf numFmtId="0" fontId="129" fillId="3" borderId="10" xfId="0" applyFont="1" applyFill="1" applyBorder="1" applyAlignment="1">
      <alignment horizontal="left" vertical="center"/>
    </xf>
    <xf numFmtId="0" fontId="128" fillId="0" borderId="5" xfId="0" applyFont="1" applyBorder="1" applyAlignment="1">
      <alignment horizontal="left" vertical="center"/>
    </xf>
    <xf numFmtId="1" fontId="129" fillId="0" borderId="6" xfId="0" applyNumberFormat="1" applyFont="1" applyBorder="1" applyAlignment="1">
      <alignment horizontal="center" vertical="center"/>
    </xf>
    <xf numFmtId="178" fontId="128" fillId="0" borderId="7" xfId="0" applyNumberFormat="1" applyFont="1" applyBorder="1" applyAlignment="1">
      <alignment horizontal="center" vertical="center"/>
    </xf>
    <xf numFmtId="178" fontId="129" fillId="0" borderId="6" xfId="0" applyNumberFormat="1" applyFont="1" applyBorder="1" applyAlignment="1">
      <alignment horizontal="center" vertical="center"/>
    </xf>
    <xf numFmtId="0" fontId="128" fillId="10" borderId="5" xfId="0" applyFont="1" applyFill="1" applyBorder="1" applyAlignment="1">
      <alignment horizontal="left" vertical="center"/>
    </xf>
    <xf numFmtId="178" fontId="128" fillId="10" borderId="6" xfId="0" applyNumberFormat="1" applyFont="1" applyFill="1" applyBorder="1" applyAlignment="1">
      <alignment horizontal="center" vertical="center"/>
    </xf>
    <xf numFmtId="178" fontId="128" fillId="10" borderId="7" xfId="0" applyNumberFormat="1" applyFont="1" applyFill="1" applyBorder="1" applyAlignment="1">
      <alignment horizontal="center" vertical="center"/>
    </xf>
    <xf numFmtId="0" fontId="126" fillId="10" borderId="12" xfId="0" applyFont="1" applyFill="1" applyBorder="1" applyAlignment="1">
      <alignment horizontal="left" vertical="center" indent="1"/>
    </xf>
    <xf numFmtId="0" fontId="126" fillId="10" borderId="13" xfId="0" applyFont="1" applyFill="1" applyBorder="1" applyAlignment="1">
      <alignment horizontal="left" vertical="center" indent="1"/>
    </xf>
    <xf numFmtId="179" fontId="126" fillId="10" borderId="14" xfId="0" applyNumberFormat="1" applyFont="1" applyFill="1" applyBorder="1" applyAlignment="1">
      <alignment horizontal="center" vertical="center"/>
    </xf>
    <xf numFmtId="0" fontId="126" fillId="10" borderId="12" xfId="0" applyFont="1" applyFill="1" applyBorder="1" applyAlignment="1">
      <alignment horizontal="left" vertical="center"/>
    </xf>
    <xf numFmtId="0" fontId="126" fillId="10" borderId="13" xfId="0" applyFont="1" applyFill="1" applyBorder="1" applyAlignment="1">
      <alignment horizontal="left" vertical="center"/>
    </xf>
    <xf numFmtId="0" fontId="126" fillId="10" borderId="8" xfId="0" applyFont="1" applyFill="1" applyBorder="1" applyAlignment="1">
      <alignment horizontal="left" vertical="center"/>
    </xf>
    <xf numFmtId="0" fontId="126" fillId="10" borderId="9" xfId="0" applyFont="1" applyFill="1" applyBorder="1" applyAlignment="1">
      <alignment horizontal="left" vertical="center"/>
    </xf>
    <xf numFmtId="179" fontId="126" fillId="10" borderId="10" xfId="0" applyNumberFormat="1" applyFont="1" applyFill="1" applyBorder="1" applyAlignment="1">
      <alignment horizontal="center" vertical="center"/>
    </xf>
    <xf numFmtId="0" fontId="126" fillId="2" borderId="15" xfId="0" applyFont="1" applyFill="1" applyBorder="1" applyAlignment="1">
      <alignment horizontal="left" vertical="center"/>
    </xf>
    <xf numFmtId="0" fontId="126" fillId="2" borderId="16" xfId="0" applyFont="1" applyFill="1" applyBorder="1" applyAlignment="1">
      <alignment horizontal="left" vertical="center"/>
    </xf>
    <xf numFmtId="176" fontId="132" fillId="4" borderId="16" xfId="0" applyNumberFormat="1" applyFont="1" applyFill="1" applyBorder="1" applyAlignment="1">
      <alignment horizontal="center" vertical="center"/>
    </xf>
    <xf numFmtId="0" fontId="109" fillId="17" borderId="0" xfId="0" applyFont="1" applyFill="1" applyAlignment="1">
      <alignment horizontal="center" vertical="center"/>
    </xf>
    <xf numFmtId="0" fontId="77" fillId="17" borderId="0" xfId="0" applyFont="1" applyFill="1" applyAlignment="1">
      <alignment horizontal="center" vertical="center"/>
    </xf>
    <xf numFmtId="0" fontId="136" fillId="2" borderId="0" xfId="0" applyFont="1" applyFill="1" applyAlignment="1">
      <alignment horizontal="left" vertical="center"/>
    </xf>
    <xf numFmtId="0" fontId="78" fillId="17" borderId="131" xfId="0" applyFont="1" applyFill="1" applyBorder="1" applyAlignment="1">
      <alignment horizontal="left" vertical="center"/>
    </xf>
    <xf numFmtId="0" fontId="79" fillId="17" borderId="132" xfId="0" applyFont="1" applyFill="1" applyBorder="1" applyAlignment="1">
      <alignment horizontal="center" vertical="center"/>
    </xf>
    <xf numFmtId="0" fontId="137" fillId="2" borderId="1" xfId="0" applyFont="1" applyFill="1" applyBorder="1" applyAlignment="1">
      <alignment horizontal="center" vertical="center"/>
    </xf>
    <xf numFmtId="0" fontId="46" fillId="17" borderId="37" xfId="0" applyFont="1" applyFill="1" applyBorder="1" applyAlignment="1">
      <alignment horizontal="left" vertical="center"/>
    </xf>
    <xf numFmtId="0" fontId="46" fillId="17" borderId="25" xfId="0" applyFont="1" applyFill="1" applyBorder="1" applyAlignment="1">
      <alignment horizontal="left" vertical="center"/>
    </xf>
    <xf numFmtId="0" fontId="46" fillId="17" borderId="36" xfId="0" applyFont="1" applyFill="1" applyBorder="1" applyAlignment="1">
      <alignment horizontal="left" vertical="center"/>
    </xf>
    <xf numFmtId="0" fontId="46" fillId="17" borderId="5" xfId="0" applyFont="1" applyFill="1" applyBorder="1" applyAlignment="1">
      <alignment horizontal="center" vertical="center"/>
    </xf>
    <xf numFmtId="0" fontId="46" fillId="17" borderId="6" xfId="0" applyFont="1" applyFill="1" applyBorder="1" applyAlignment="1">
      <alignment horizontal="center" vertical="center"/>
    </xf>
    <xf numFmtId="0" fontId="46" fillId="17" borderId="7" xfId="0" applyFont="1" applyFill="1" applyBorder="1" applyAlignment="1">
      <alignment horizontal="center" vertical="center"/>
    </xf>
    <xf numFmtId="0" fontId="138" fillId="3" borderId="6" xfId="0" applyFont="1" applyFill="1" applyBorder="1" applyAlignment="1">
      <alignment horizontal="left" vertical="center" wrapText="1"/>
    </xf>
    <xf numFmtId="0" fontId="138" fillId="3" borderId="7" xfId="0" applyFont="1" applyFill="1" applyBorder="1" applyAlignment="1">
      <alignment horizontal="left" vertical="center" wrapText="1"/>
    </xf>
    <xf numFmtId="0" fontId="138" fillId="2" borderId="6" xfId="0" applyFont="1" applyFill="1" applyBorder="1" applyAlignment="1">
      <alignment vertical="center"/>
    </xf>
    <xf numFmtId="0" fontId="138" fillId="2" borderId="7" xfId="0" applyFont="1" applyFill="1" applyBorder="1" applyAlignment="1">
      <alignment vertical="center"/>
    </xf>
    <xf numFmtId="0" fontId="138" fillId="3" borderId="9" xfId="0" applyFont="1" applyFill="1" applyBorder="1" applyAlignment="1">
      <alignment horizontal="left" vertical="center" wrapText="1"/>
    </xf>
    <xf numFmtId="0" fontId="138" fillId="2" borderId="9" xfId="0" applyFont="1" applyFill="1" applyBorder="1" applyAlignment="1">
      <alignment vertical="center"/>
    </xf>
    <xf numFmtId="0" fontId="138" fillId="2" borderId="10" xfId="0" applyFont="1" applyFill="1" applyBorder="1" applyAlignment="1">
      <alignment vertical="center"/>
    </xf>
    <xf numFmtId="0" fontId="78" fillId="17" borderId="133" xfId="0" applyFont="1" applyFill="1" applyBorder="1" applyAlignment="1">
      <alignment horizontal="left" vertical="center"/>
    </xf>
    <xf numFmtId="0" fontId="78" fillId="17" borderId="134" xfId="0" applyFont="1" applyFill="1" applyBorder="1" applyAlignment="1">
      <alignment horizontal="left" vertical="center"/>
    </xf>
    <xf numFmtId="0" fontId="78" fillId="17" borderId="135" xfId="0" applyFont="1" applyFill="1" applyBorder="1" applyAlignment="1">
      <alignment horizontal="left" vertical="center"/>
    </xf>
    <xf numFmtId="0" fontId="79" fillId="17" borderId="136" xfId="0" applyFont="1" applyFill="1" applyBorder="1" applyAlignment="1">
      <alignment horizontal="center" vertical="center"/>
    </xf>
    <xf numFmtId="0" fontId="79" fillId="17" borderId="137" xfId="0" applyFont="1" applyFill="1" applyBorder="1" applyAlignment="1">
      <alignment horizontal="center" vertical="center"/>
    </xf>
    <xf numFmtId="0" fontId="28" fillId="17" borderId="137" xfId="0" applyFont="1" applyFill="1" applyBorder="1" applyAlignment="1">
      <alignment horizontal="center" vertical="center"/>
    </xf>
    <xf numFmtId="0" fontId="79" fillId="17" borderId="138" xfId="0" applyFont="1" applyFill="1" applyBorder="1" applyAlignment="1">
      <alignment horizontal="center" vertical="center"/>
    </xf>
    <xf numFmtId="0" fontId="40" fillId="17" borderId="0" xfId="0" applyFont="1" applyFill="1" applyAlignment="1">
      <alignment horizontal="left" vertical="center"/>
    </xf>
    <xf numFmtId="0" fontId="136" fillId="2" borderId="1" xfId="0" applyFont="1" applyFill="1" applyBorder="1" applyAlignment="1">
      <alignment horizontal="center" vertical="center"/>
    </xf>
    <xf numFmtId="178" fontId="129" fillId="2" borderId="1" xfId="0" applyNumberFormat="1" applyFont="1" applyFill="1" applyBorder="1" applyAlignment="1">
      <alignment horizontal="center" vertical="center"/>
    </xf>
    <xf numFmtId="178" fontId="126" fillId="2" borderId="1" xfId="0" applyNumberFormat="1" applyFont="1" applyFill="1" applyBorder="1" applyAlignment="1">
      <alignment horizontal="center" vertical="center"/>
    </xf>
    <xf numFmtId="179" fontId="126" fillId="2" borderId="1" xfId="0" applyNumberFormat="1" applyFont="1" applyFill="1" applyBorder="1" applyAlignment="1">
      <alignment horizontal="center" vertical="center"/>
    </xf>
    <xf numFmtId="0" fontId="79" fillId="17" borderId="1" xfId="0" applyFont="1" applyFill="1" applyBorder="1" applyAlignment="1">
      <alignment horizontal="center" vertical="center"/>
    </xf>
    <xf numFmtId="0" fontId="85" fillId="17" borderId="1" xfId="0" applyFont="1" applyFill="1" applyBorder="1" applyAlignment="1">
      <alignment horizontal="left" vertical="center"/>
    </xf>
    <xf numFmtId="1" fontId="40" fillId="17" borderId="1" xfId="0" applyNumberFormat="1" applyFont="1" applyFill="1" applyBorder="1" applyAlignment="1">
      <alignment horizontal="center" vertical="center"/>
    </xf>
    <xf numFmtId="184" fontId="40" fillId="17" borderId="1" xfId="0" applyNumberFormat="1" applyFont="1" applyFill="1" applyBorder="1" applyAlignment="1">
      <alignment horizontal="center" vertical="center"/>
    </xf>
    <xf numFmtId="0" fontId="139" fillId="0" borderId="65" xfId="0" applyFont="1" applyBorder="1" applyAlignment="1">
      <alignment horizontal="left" vertical="center" indent="1"/>
    </xf>
    <xf numFmtId="0" fontId="3" fillId="19" borderId="60" xfId="0" applyFont="1" applyFill="1" applyBorder="1" applyAlignment="1">
      <alignment horizontal="left" vertical="center" indent="1"/>
    </xf>
    <xf numFmtId="0" fontId="3" fillId="19" borderId="61" xfId="0" applyFont="1" applyFill="1" applyBorder="1" applyAlignment="1">
      <alignment horizontal="left" vertical="center" indent="1"/>
    </xf>
    <xf numFmtId="0" fontId="12" fillId="3" borderId="0" xfId="4" applyFont="1" applyFill="1" applyAlignment="1">
      <alignment horizontal="center" vertical="center" wrapText="1"/>
    </xf>
    <xf numFmtId="0" fontId="12" fillId="3" borderId="0" xfId="4" applyFont="1" applyFill="1" applyAlignment="1">
      <alignment horizontal="center"/>
    </xf>
    <xf numFmtId="176" fontId="142" fillId="0" borderId="112" xfId="0" applyNumberFormat="1" applyFont="1" applyBorder="1" applyAlignment="1">
      <alignment horizontal="center" vertical="center"/>
    </xf>
    <xf numFmtId="176" fontId="143" fillId="0" borderId="112" xfId="0" applyNumberFormat="1" applyFont="1" applyBorder="1" applyAlignment="1">
      <alignment horizontal="center" vertical="center"/>
    </xf>
    <xf numFmtId="0" fontId="0" fillId="11" borderId="86" xfId="0" applyFill="1" applyBorder="1"/>
    <xf numFmtId="0" fontId="40" fillId="17" borderId="0" xfId="0" applyFont="1" applyFill="1" applyAlignment="1">
      <alignment horizontal="center" vertical="center"/>
    </xf>
    <xf numFmtId="0" fontId="0" fillId="19" borderId="87" xfId="0" applyFill="1" applyBorder="1"/>
    <xf numFmtId="0" fontId="0" fillId="20" borderId="0" xfId="0" applyFill="1"/>
    <xf numFmtId="0" fontId="0" fillId="11" borderId="0" xfId="0" applyFill="1"/>
    <xf numFmtId="0" fontId="0" fillId="17" borderId="0" xfId="0" applyFill="1"/>
    <xf numFmtId="0" fontId="0" fillId="19" borderId="0" xfId="0" applyFill="1"/>
    <xf numFmtId="0" fontId="140" fillId="0" borderId="0" xfId="0" applyFont="1" applyAlignment="1">
      <alignment horizontal="left" vertical="center" indent="1"/>
    </xf>
    <xf numFmtId="176" fontId="141" fillId="0" borderId="0" xfId="0" applyNumberFormat="1" applyFont="1" applyAlignment="1">
      <alignment horizontal="right" vertical="center" indent="1"/>
    </xf>
    <xf numFmtId="0" fontId="144" fillId="18" borderId="27" xfId="0" applyFont="1" applyFill="1" applyBorder="1" applyAlignment="1">
      <alignment horizontal="center" vertical="center"/>
    </xf>
    <xf numFmtId="0" fontId="70" fillId="18" borderId="120" xfId="0" applyFont="1" applyFill="1" applyBorder="1" applyAlignment="1">
      <alignment horizontal="center" vertical="center"/>
    </xf>
    <xf numFmtId="0" fontId="145" fillId="5" borderId="3" xfId="0" applyFont="1" applyFill="1" applyBorder="1" applyAlignment="1">
      <alignment horizontal="center" vertical="center"/>
    </xf>
    <xf numFmtId="0" fontId="127" fillId="5" borderId="25" xfId="0" applyFont="1" applyFill="1" applyBorder="1" applyAlignment="1">
      <alignment horizontal="center" vertical="center"/>
    </xf>
    <xf numFmtId="3" fontId="127" fillId="5" borderId="6" xfId="1" applyNumberFormat="1" applyFont="1" applyFill="1" applyBorder="1" applyAlignment="1">
      <alignment horizontal="center" vertical="center"/>
    </xf>
    <xf numFmtId="49" fontId="127" fillId="5" borderId="6" xfId="0" applyNumberFormat="1" applyFont="1" applyFill="1" applyBorder="1" applyAlignment="1">
      <alignment horizontal="center" vertical="center"/>
    </xf>
    <xf numFmtId="14" fontId="127" fillId="5" borderId="6" xfId="0" applyNumberFormat="1" applyFont="1" applyFill="1" applyBorder="1" applyAlignment="1">
      <alignment horizontal="center" vertical="center"/>
    </xf>
    <xf numFmtId="0" fontId="146" fillId="5" borderId="6" xfId="0" applyFont="1" applyFill="1" applyBorder="1" applyAlignment="1">
      <alignment horizontal="center" vertical="center"/>
    </xf>
    <xf numFmtId="0" fontId="127" fillId="5" borderId="6" xfId="0" applyFont="1" applyFill="1" applyBorder="1" applyAlignment="1">
      <alignment horizontal="center" vertical="center"/>
    </xf>
    <xf numFmtId="0" fontId="146" fillId="5" borderId="9" xfId="0" applyFont="1" applyFill="1" applyBorder="1" applyAlignment="1">
      <alignment horizontal="center" vertical="center"/>
    </xf>
    <xf numFmtId="0" fontId="128" fillId="4" borderId="7" xfId="0" applyFont="1" applyFill="1" applyBorder="1" applyAlignment="1">
      <alignment horizontal="left" vertical="center"/>
    </xf>
    <xf numFmtId="0" fontId="129" fillId="5" borderId="6" xfId="0" applyFont="1" applyFill="1" applyBorder="1" applyAlignment="1">
      <alignment horizontal="center" vertical="center"/>
    </xf>
    <xf numFmtId="0" fontId="129" fillId="5" borderId="7" xfId="0" applyFont="1" applyFill="1" applyBorder="1" applyAlignment="1">
      <alignment horizontal="center" vertical="center"/>
    </xf>
    <xf numFmtId="0" fontId="138" fillId="3" borderId="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8" fillId="3" borderId="6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8" fillId="5" borderId="6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8" fillId="5" borderId="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8" fillId="5" borderId="8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8" fillId="5" borderId="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6" fillId="18" borderId="1" xfId="0" applyFont="1" applyFill="1" applyBorder="1" applyAlignment="1">
      <alignment horizontal="center" vertical="center"/>
    </xf>
    <xf numFmtId="0" fontId="80" fillId="18" borderId="1" xfId="0" applyFont="1" applyFill="1" applyBorder="1" applyAlignment="1">
      <alignment horizontal="left" vertical="center"/>
    </xf>
    <xf numFmtId="178" fontId="129" fillId="18" borderId="1" xfId="0" applyNumberFormat="1" applyFont="1" applyFill="1" applyBorder="1" applyAlignment="1">
      <alignment horizontal="center" vertical="center"/>
    </xf>
    <xf numFmtId="0" fontId="89" fillId="18" borderId="139" xfId="0" applyFont="1" applyFill="1" applyBorder="1" applyAlignment="1">
      <alignment horizontal="center" vertical="center"/>
    </xf>
    <xf numFmtId="0" fontId="90" fillId="18" borderId="139" xfId="0" applyFont="1" applyFill="1" applyBorder="1" applyAlignment="1">
      <alignment horizontal="left" vertical="center"/>
    </xf>
    <xf numFmtId="178" fontId="91" fillId="18" borderId="139" xfId="0" applyNumberFormat="1" applyFont="1" applyFill="1" applyBorder="1" applyAlignment="1">
      <alignment horizontal="center" vertical="center"/>
    </xf>
    <xf numFmtId="179" fontId="132" fillId="18" borderId="139" xfId="0" applyNumberFormat="1" applyFont="1" applyFill="1" applyBorder="1" applyAlignment="1">
      <alignment horizontal="center" vertical="center"/>
    </xf>
    <xf numFmtId="0" fontId="111" fillId="17" borderId="0" xfId="0" applyFont="1" applyFill="1" applyAlignment="1">
      <alignment horizontal="center" vertical="center"/>
    </xf>
    <xf numFmtId="0" fontId="93" fillId="17" borderId="0" xfId="0" applyFont="1" applyFill="1" applyAlignment="1">
      <alignment horizontal="center" vertical="center"/>
    </xf>
    <xf numFmtId="0" fontId="122" fillId="17" borderId="0" xfId="0" applyFont="1" applyFill="1" applyAlignment="1">
      <alignment horizontal="left" vertical="center"/>
    </xf>
    <xf numFmtId="0" fontId="94" fillId="17" borderId="0" xfId="0" applyFont="1" applyFill="1" applyAlignment="1">
      <alignment horizontal="left" vertical="center"/>
    </xf>
    <xf numFmtId="0" fontId="95" fillId="17" borderId="132" xfId="0" applyFont="1" applyFill="1" applyBorder="1" applyAlignment="1">
      <alignment horizontal="center" vertical="center"/>
    </xf>
    <xf numFmtId="0" fontId="62" fillId="17" borderId="132" xfId="0" applyFont="1" applyFill="1" applyBorder="1" applyAlignment="1">
      <alignment horizontal="center" vertical="center"/>
    </xf>
    <xf numFmtId="0" fontId="97" fillId="18" borderId="1" xfId="0" applyFont="1" applyFill="1" applyBorder="1" applyAlignment="1">
      <alignment horizontal="left" vertical="center"/>
    </xf>
    <xf numFmtId="0" fontId="87" fillId="18" borderId="1" xfId="0" applyFont="1" applyFill="1" applyBorder="1" applyAlignment="1">
      <alignment horizontal="center" vertical="center"/>
    </xf>
    <xf numFmtId="178" fontId="133" fillId="18" borderId="1" xfId="0" applyNumberFormat="1" applyFont="1" applyFill="1" applyBorder="1" applyAlignment="1">
      <alignment horizontal="center" vertical="center"/>
    </xf>
    <xf numFmtId="178" fontId="147" fillId="18" borderId="1" xfId="0" applyNumberFormat="1" applyFont="1" applyFill="1" applyBorder="1" applyAlignment="1">
      <alignment horizontal="center" vertical="center"/>
    </xf>
    <xf numFmtId="178" fontId="98" fillId="18" borderId="1" xfId="0" applyNumberFormat="1" applyFont="1" applyFill="1" applyBorder="1" applyAlignment="1">
      <alignment horizontal="center" vertical="center"/>
    </xf>
    <xf numFmtId="178" fontId="99" fillId="18" borderId="1" xfId="0" applyNumberFormat="1" applyFont="1" applyFill="1" applyBorder="1" applyAlignment="1">
      <alignment horizontal="center" vertical="center"/>
    </xf>
  </cellXfs>
  <cellStyles count="6">
    <cellStyle name="쉼표 [0]" xfId="1" builtinId="6"/>
    <cellStyle name="표준" xfId="0" builtinId="0"/>
    <cellStyle name="표준 2" xfId="2" xr:uid="{FD2BAC03-F8FA-4755-BB0F-E709C4B29AE2}"/>
    <cellStyle name="표준 3" xfId="3" xr:uid="{D03EF710-65C4-403A-BEA8-299329B7AF53}"/>
    <cellStyle name="표준 4" xfId="4" xr:uid="{324EE0A4-8481-49EC-9A7C-5ED0A661215A}"/>
    <cellStyle name="하이퍼링크" xfId="5" builtinId="8"/>
  </cellStyles>
  <dxfs count="22">
    <dxf>
      <font>
        <b/>
        <i val="0"/>
        <color rgb="FFD00000"/>
      </font>
      <fill>
        <patternFill patternType="solid">
          <fgColor indexed="64"/>
          <bgColor rgb="FFF0F0F0"/>
        </patternFill>
      </fill>
    </dxf>
    <dxf>
      <font>
        <b/>
        <i val="0"/>
        <color rgb="FFD00000"/>
      </font>
      <fill>
        <patternFill patternType="solid">
          <fgColor indexed="64"/>
          <bgColor rgb="FFF0F0F0"/>
        </patternFill>
      </fill>
    </dxf>
    <dxf>
      <font>
        <b/>
        <i val="0"/>
        <color rgb="FFD00000"/>
      </font>
      <fill>
        <patternFill patternType="solid">
          <fgColor indexed="64"/>
          <bgColor rgb="FFF0F0F0"/>
        </patternFill>
      </fill>
    </dxf>
    <dxf>
      <font>
        <b/>
        <i val="0"/>
        <color rgb="FFD00000"/>
      </font>
      <fill>
        <patternFill patternType="solid">
          <fgColor indexed="64"/>
          <bgColor rgb="FFF0F0F0"/>
        </patternFill>
      </fill>
    </dxf>
    <dxf>
      <font>
        <b/>
        <i val="0"/>
        <color rgb="FFD00000"/>
      </font>
      <fill>
        <patternFill patternType="solid">
          <fgColor indexed="64"/>
          <bgColor rgb="FFF0F0F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8B95A1"/>
        <name val="맑은 고딕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808080"/>
        </left>
        <right/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none"/>
      </font>
      <fill>
        <patternFill patternType="solid">
          <fgColor indexed="64"/>
          <bgColor rgb="FFFFF8D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  <numFmt numFmtId="182" formatCode="#,##0.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  <numFmt numFmtId="1" formatCode="0"/>
      <fill>
        <patternFill patternType="solid">
          <fgColor indexed="64"/>
          <bgColor rgb="FFFFF8D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  <numFmt numFmtId="182" formatCode="#,##0.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  <numFmt numFmtId="3" formatCode="#,##0"/>
      <fill>
        <patternFill patternType="solid">
          <fgColor indexed="64"/>
          <bgColor rgb="FFFFF8D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none"/>
      </font>
      <fill>
        <patternFill patternType="solid">
          <fgColor indexed="64"/>
          <bgColor rgb="FFFFF8DB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none"/>
      </font>
      <fill>
        <patternFill patternType="solid">
          <fgColor indexed="64"/>
          <bgColor rgb="FFFFF8DB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border>
        <top style="thin">
          <color rgb="FF808080"/>
        </top>
      </border>
    </dxf>
    <dxf>
      <border diagonalUp="0" diagonalDown="0">
        <left/>
        <right style="medium">
          <color rgb="FF1F38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border>
        <bottom style="medium">
          <color rgb="FF1F38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맑은 고딕"/>
        <family val="3"/>
        <charset val="129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E2E8F0"/>
      <rgbColor rgb="FF808080"/>
      <rgbColor rgb="FF9999FF"/>
      <rgbColor rgb="FF7C2D12"/>
      <rgbColor rgb="FFFEF9C3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FF7ED"/>
      <rgbColor rgb="FFBFDBFE"/>
      <rgbColor rgb="FFFF99CC"/>
      <rgbColor rgb="FFCC99FF"/>
      <rgbColor rgb="FFFED7AA"/>
      <rgbColor rgb="FF2563EB"/>
      <rgbColor rgb="FF33CCCC"/>
      <rgbColor rgb="FF99CC00"/>
      <rgbColor rgb="FFFFCC00"/>
      <rgbColor rgb="FFFF9900"/>
      <rgbColor rgb="FFD97706"/>
      <rgbColor rgb="FF64748B"/>
      <rgbColor rgb="FF969696"/>
      <rgbColor rgb="FF1B3A6B"/>
      <rgbColor rgb="FF16A34A"/>
      <rgbColor rgb="FF003300"/>
      <rgbColor rgb="FF334155"/>
      <rgbColor rgb="FF92400E"/>
      <rgbColor rgb="FF9333EA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84" Type="http://schemas.openxmlformats.org/officeDocument/2006/relationships/externalLink" Target="externalLinks/externalLink70.xml"/><Relationship Id="rId89" Type="http://schemas.openxmlformats.org/officeDocument/2006/relationships/externalLink" Target="externalLinks/externalLink75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74" Type="http://schemas.openxmlformats.org/officeDocument/2006/relationships/externalLink" Target="externalLinks/externalLink60.xml"/><Relationship Id="rId79" Type="http://schemas.openxmlformats.org/officeDocument/2006/relationships/externalLink" Target="externalLinks/externalLink65.xml"/><Relationship Id="rId102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6.xml"/><Relationship Id="rId95" Type="http://schemas.openxmlformats.org/officeDocument/2006/relationships/externalLink" Target="externalLinks/externalLink81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80" Type="http://schemas.openxmlformats.org/officeDocument/2006/relationships/externalLink" Target="externalLinks/externalLink66.xml"/><Relationship Id="rId85" Type="http://schemas.openxmlformats.org/officeDocument/2006/relationships/externalLink" Target="externalLinks/externalLink71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103" Type="http://schemas.openxmlformats.org/officeDocument/2006/relationships/calcChain" Target="calcChain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69.xml"/><Relationship Id="rId88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77.xml"/><Relationship Id="rId96" Type="http://schemas.openxmlformats.org/officeDocument/2006/relationships/externalLink" Target="externalLinks/externalLink8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67.xml"/><Relationship Id="rId86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0.xml"/><Relationship Id="rId99" Type="http://schemas.openxmlformats.org/officeDocument/2006/relationships/styles" Target="styles.xml"/><Relationship Id="rId10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97" Type="http://schemas.openxmlformats.org/officeDocument/2006/relationships/externalLink" Target="externalLinks/externalLink8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92" Type="http://schemas.openxmlformats.org/officeDocument/2006/relationships/externalLink" Target="externalLinks/externalLink7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87" Type="http://schemas.openxmlformats.org/officeDocument/2006/relationships/externalLink" Target="externalLinks/externalLink73.xml"/><Relationship Id="rId61" Type="http://schemas.openxmlformats.org/officeDocument/2006/relationships/externalLink" Target="externalLinks/externalLink47.xml"/><Relationship Id="rId82" Type="http://schemas.openxmlformats.org/officeDocument/2006/relationships/externalLink" Target="externalLinks/externalLink68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42.xml"/><Relationship Id="rId77" Type="http://schemas.openxmlformats.org/officeDocument/2006/relationships/externalLink" Target="externalLinks/externalLink63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93" Type="http://schemas.openxmlformats.org/officeDocument/2006/relationships/externalLink" Target="externalLinks/externalLink79.xml"/><Relationship Id="rId9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작업일수</c:v>
          </c:tx>
          <c:spPr>
            <a:solidFill>
              <a:srgbClr val="1A1A1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5B5-4398-B0E7-5156EC54F9AC}"/>
              </c:ext>
            </c:extLst>
          </c:dPt>
          <c:dLbls>
            <c:numFmt formatCode="#,##0&quot;일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7415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'(검토1안-1)대시보드'!$E$60:$E$73</c:f>
              <c:strCache>
                <c:ptCount val="14"/>
                <c:pt idx="0">
                  <c:v>미장공사</c:v>
                </c:pt>
                <c:pt idx="1">
                  <c:v>거푸집공사</c:v>
                </c:pt>
                <c:pt idx="2">
                  <c:v>가설공사</c:v>
                </c:pt>
                <c:pt idx="3">
                  <c:v>수장공사</c:v>
                </c:pt>
                <c:pt idx="4">
                  <c:v>도배바닥재</c:v>
                </c:pt>
                <c:pt idx="5">
                  <c:v>타일공사</c:v>
                </c:pt>
                <c:pt idx="6">
                  <c:v>조적공사</c:v>
                </c:pt>
                <c:pt idx="7">
                  <c:v>방수공사</c:v>
                </c:pt>
                <c:pt idx="8">
                  <c:v>철근공사</c:v>
                </c:pt>
                <c:pt idx="9">
                  <c:v>창호유리공사</c:v>
                </c:pt>
                <c:pt idx="10">
                  <c:v>콘크리트공사</c:v>
                </c:pt>
                <c:pt idx="11">
                  <c:v>기계설비</c:v>
                </c:pt>
                <c:pt idx="12">
                  <c:v>토공사</c:v>
                </c:pt>
                <c:pt idx="13">
                  <c:v>조경공사</c:v>
                </c:pt>
              </c:strCache>
            </c:strRef>
          </c:cat>
          <c:val>
            <c:numRef>
              <c:f>'(검토1안-1)대시보드'!$F$60:$F$73</c:f>
              <c:numCache>
                <c:formatCode>General</c:formatCode>
                <c:ptCount val="14"/>
                <c:pt idx="0">
                  <c:v>52</c:v>
                </c:pt>
                <c:pt idx="1">
                  <c:v>51</c:v>
                </c:pt>
                <c:pt idx="2">
                  <c:v>49</c:v>
                </c:pt>
                <c:pt idx="3">
                  <c:v>41.9</c:v>
                </c:pt>
                <c:pt idx="4">
                  <c:v>30</c:v>
                </c:pt>
                <c:pt idx="5">
                  <c:v>28</c:v>
                </c:pt>
                <c:pt idx="6">
                  <c:v>27</c:v>
                </c:pt>
                <c:pt idx="7">
                  <c:v>25</c:v>
                </c:pt>
                <c:pt idx="8">
                  <c:v>21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7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2-4B5C-8B4F-E6C819F46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1045776"/>
        <c:axId val="1909236080"/>
      </c:barChart>
      <c:catAx>
        <c:axId val="188104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B556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9236080"/>
        <c:crosses val="autoZero"/>
        <c:auto val="1"/>
        <c:lblAlgn val="ctr"/>
        <c:lblOffset val="100"/>
        <c:noMultiLvlLbl val="0"/>
      </c:catAx>
      <c:valAx>
        <c:axId val="1909236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104577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A1A1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89-4964-AE24-C2BAD2F02F97}"/>
              </c:ext>
            </c:extLst>
          </c:dPt>
          <c:dPt>
            <c:idx val="1"/>
            <c:bubble3D val="0"/>
            <c:spPr>
              <a:solidFill>
                <a:srgbClr val="D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89-4964-AE24-C2BAD2F02F97}"/>
              </c:ext>
            </c:extLst>
          </c:dPt>
          <c:cat>
            <c:strRef>
              <c:f>'(검토1안-1)대시보드'!$Q$46:$Q$47</c:f>
              <c:strCache>
                <c:ptCount val="2"/>
                <c:pt idx="0">
                  <c:v>법정공휴일</c:v>
                </c:pt>
                <c:pt idx="1">
                  <c:v>기상 비작업</c:v>
                </c:pt>
              </c:strCache>
            </c:strRef>
          </c:cat>
          <c:val>
            <c:numRef>
              <c:f>'(검토1안-1)대시보드'!$R$46:$R$47</c:f>
              <c:numCache>
                <c:formatCode>General</c:formatCode>
                <c:ptCount val="2"/>
                <c:pt idx="0">
                  <c:v>77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9-4964-AE24-C2BAD2F02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'부록3 비작업일수'!$B$10</c:f>
              <c:strCache>
                <c:ptCount val="1"/>
                <c:pt idx="0">
                  <c:v>법정공휴일(B)</c:v>
                </c:pt>
              </c:strCache>
            </c:strRef>
          </c:tx>
          <c:spPr>
            <a:solidFill>
              <a:srgbClr val="1A1A1A"/>
            </a:solidFill>
            <a:ln>
              <a:noFill/>
            </a:ln>
            <a:effectLst/>
          </c:spPr>
          <c:invertIfNegative val="0"/>
          <c:cat>
            <c:strRef>
              <c:f>'부록3 비작업일수'!$C$9:$N$9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'부록3 비작업일수'!$C$10:$N$10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8-4086-BE02-B51498F7613D}"/>
            </c:ext>
          </c:extLst>
        </c:ser>
        <c:ser>
          <c:idx val="1"/>
          <c:order val="1"/>
          <c:tx>
            <c:strRef>
              <c:f>'부록3 비작업일수'!$B$11</c:f>
              <c:strCache>
                <c:ptCount val="1"/>
                <c:pt idx="0">
                  <c:v>기상비작업(A)</c:v>
                </c:pt>
              </c:strCache>
            </c:strRef>
          </c:tx>
          <c:spPr>
            <a:solidFill>
              <a:srgbClr val="D00000"/>
            </a:solidFill>
            <a:ln>
              <a:noFill/>
            </a:ln>
            <a:effectLst/>
          </c:spPr>
          <c:invertIfNegative val="0"/>
          <c:cat>
            <c:strRef>
              <c:f>'부록3 비작업일수'!$C$9:$N$9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'부록3 비작업일수'!$C$11:$N$11</c:f>
              <c:numCache>
                <c:formatCode>0.0</c:formatCode>
                <c:ptCount val="12"/>
                <c:pt idx="0">
                  <c:v>2.2999999999999998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7.5</c:v>
                </c:pt>
                <c:pt idx="7">
                  <c:v>13.8</c:v>
                </c:pt>
                <c:pt idx="8">
                  <c:v>1.2</c:v>
                </c:pt>
                <c:pt idx="9">
                  <c:v>0</c:v>
                </c:pt>
                <c:pt idx="10">
                  <c:v>0</c:v>
                </c:pt>
                <c:pt idx="11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8-4086-BE02-B51498F76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9844688"/>
        <c:axId val="2072639024"/>
      </c:barChart>
      <c:catAx>
        <c:axId val="206984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2639024"/>
        <c:crosses val="autoZero"/>
        <c:auto val="1"/>
        <c:lblAlgn val="ctr"/>
        <c:lblOffset val="100"/>
        <c:noMultiLvlLbl val="0"/>
      </c:catAx>
      <c:valAx>
        <c:axId val="207263902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98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23811</xdr:colOff>
      <xdr:row>26</xdr:row>
      <xdr:rowOff>40431</xdr:rowOff>
    </xdr:from>
    <xdr:to>
      <xdr:col>6</xdr:col>
      <xdr:colOff>890587</xdr:colOff>
      <xdr:row>29</xdr:row>
      <xdr:rowOff>35848</xdr:rowOff>
    </xdr:to>
    <xdr:pic>
      <xdr:nvPicPr>
        <xdr:cNvPr id="2" name="발주청로고">
          <a:extLst>
            <a:ext uri="{FF2B5EF4-FFF2-40B4-BE49-F238E27FC236}">
              <a16:creationId xmlns:a16="http://schemas.microsoft.com/office/drawing/2014/main" id="{A4E0D6E8-DF49-4EC3-D805-D4EFAB2F6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6811" y="6479331"/>
          <a:ext cx="4524376" cy="5669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18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2" name="공종별작업일수">
          <a:extLst>
            <a:ext uri="{FF2B5EF4-FFF2-40B4-BE49-F238E27FC236}">
              <a16:creationId xmlns:a16="http://schemas.microsoft.com/office/drawing/2014/main" id="{029E40DC-F7CE-7EFE-31B8-460E42467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4</xdr:col>
      <xdr:colOff>0</xdr:colOff>
      <xdr:row>54</xdr:row>
      <xdr:rowOff>0</xdr:rowOff>
    </xdr:to>
    <xdr:graphicFrame macro="">
      <xdr:nvGraphicFramePr>
        <xdr:cNvPr id="3" name="비작업구성">
          <a:extLst>
            <a:ext uri="{FF2B5EF4-FFF2-40B4-BE49-F238E27FC236}">
              <a16:creationId xmlns:a16="http://schemas.microsoft.com/office/drawing/2014/main" id="{5CEABD4B-9D5E-4A36-CA6D-D5539FED5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16</xdr:col>
      <xdr:colOff>0</xdr:colOff>
      <xdr:row>55</xdr:row>
      <xdr:rowOff>0</xdr:rowOff>
    </xdr:to>
    <xdr:graphicFrame macro="">
      <xdr:nvGraphicFramePr>
        <xdr:cNvPr id="4" name="월별비작업">
          <a:extLst>
            <a:ext uri="{FF2B5EF4-FFF2-40B4-BE49-F238E27FC236}">
              <a16:creationId xmlns:a16="http://schemas.microsoft.com/office/drawing/2014/main" id="{B882E37E-D771-F526-DE01-19E21CBCA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WG\ILOT-MI\YUNCH\PLOT\S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WG\ILOT-MI\SUNGNAM\TAL\SUNGNAM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ng1\&#51204;&#44592;&#49328;&#52636;&#44540;&#4414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C\job\2000\E-00C\&#49444;&#44228;&#50696;&#49328;&#49436;\&#55092;&#44172;&#49548;\2000\&#45800;&#44032;&#51312;&#49324;&#49436;\4GONG\2&#44277;&#44396;(&#50504;&#50689;)&#45800;&#44032;&#49328;&#52636;-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50864;&#52380;&#47196;%20&#54252;&#51109;\sung1\&#51204;&#44592;&#49328;&#52636;&#44540;&#4414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45224;&#51068;&#5094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1116;&#52384;\C\data\&#51473;&#50521;&#49440;\&#44396;&#47532;&#50669;&#4932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5936;&#51060;&#53440;\2-&#51089;&#50629;&#51473;\&#47785;&#54252;\&#54637;&#46020;&#52488;&#46321;&#54617;&#44368;\2003&#53664;&#47785;&#54616;&#48152;&#44592;&#51068;&#50948;&#45824;&#44032;\&#44148;&#52629;IL-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5936;&#51060;&#53440;\2-&#51089;&#50629;&#51473;\&#47785;&#54252;\&#54637;&#46020;&#52488;&#46321;&#54617;&#44368;\2003&#53664;&#47785;&#54616;&#48152;&#44592;&#51068;&#50948;&#45824;&#44032;\&#44148;&#52629;IL-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50864;&#52380;&#47196;%20&#54252;&#51109;\WINDOWS\&#48148;&#53461;%20&#54868;&#47732;\&#44204;&#51201;&#49436;&#47784;&#51020;\&#54632;&#54217;&#52488;&#44368;\&#54632;&#54217;&#52488;&#44368;&#51068;&#50948;&#45824;&#44032;-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50864;&#52380;&#47196;%20&#54252;&#51109;\Documents%20and%20Settings\Administrator\My%20Documents\&#48155;&#51008;%20&#54028;&#51068;\WINDOWS\&#48148;&#53461;%20&#54868;&#47732;\&#50724;&#49464;&#51456;\&#50668;&#49688;&#45224;&#52488;\kwork\&#44204;&#51201;&#49436;\&#44277;&#51221;&#52384;\&#49472;&#53580;&#53356;&#4543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688;\C\&#46020;&#47732;\W-&#44396;&#47168;&#54616;&#49688;\&#44228;&#49328;&#49436;\5&#50900;8&#51068;%20&#51456;&#44277;\LOA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52636;&#45824;&#47532;\&#44277;&#50976;&#54260;&#45908;\&#44608;&#51333;&#50865;\&#54788;&#51109;&#47928;&#49436;2\&#49444;&#44228;&#48320;&#44221;\&#50577;&#51452;&#45909;&#51221;\&#51204;&#44592;&#49444;&#48320;\&#53685;&#49888;1&#44592;&#4945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50864;&#52380;&#47196;%20&#54252;&#51109;\EXCEL\MONEY\YES2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2005%20&#51089;&#50629;&#49892;\&#50641;&#49472;&#51089;&#50629;\2005&#45380;%20&#50641;&#49472;\2005-08-1%20&#51452;&#44036;&#44228;&#5492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OTUS\9605P\BB_C-BD\OUT\Y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C\My%20Documents\&#50689;&#50629;&#49548;&#51068;&#5094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C\JOB\2000\E-00C\&#45800;&#44032;&#51312;&#49324;&#49436;\4GONG\2&#44277;&#44396;(&#50504;&#50689;)&#45800;&#44032;&#49328;&#52636;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68;&#48124;\D\&#51089;&#50629;&#44277;&#50976;\&#51652;&#54665;&#51473;\&#50656;&#54532;&#47084;&#49828;-&#47581;&#50868;&#52488;&#45796;&#47785;&#51201;&#44368;&#49892;\2.&#48177;&#49688;&#52488;&#45236;&#50669;(&#53685;&#49888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688;\C\DATA\SGH\NAMGWANG\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688;\C\0PROJECT\BEOMHAN\ANSEONG\ELEC\CAL\CAL-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9605G\DS-LOAD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688;\C\DATA\0YEONGI\REPT-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JT-2000\R-6&#54840;&#49440;&#46020;&#47196;\Fin-5-4\&#50696;&#49328;&#49436;\&#45800;&#50948;&#49688;&#47049;\R-&#44305;&#51452;&#50948;&#49373;%20&#51652;&#51077;&#47196;\&#50696;&#49328;&#49436;\&#45800;&#50948;&#49688;&#47049;\UNIT-Q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OOK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5148;\DOWN\BID\&#49457;&#49328;&#54616;&#49688;\&#45236;&#50669;&#51077;&#52272;\&#49888;&#54788;&#54616;&#49688;\&#53664;&#44148;(&#49548;&#44032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1333;&#49440;\C\My%20Documents\HWP\&#54665;&#51221;&#50629;&#47924;\&#44592;&#53440;&#54665;&#51221;\&#51649;&#50896;&#54788;&#54889;\Book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GB\&#44396;&#51020;\samj\KIKE\&#44592;&#44228;&#45800;&#4403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E\BAKUP\OLD-E\1760\1766\1766-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&#44033;&#54788;&#51109;(&#51652;&#54665;)\0&#49688;&#50896;&#51109;&#50528;&#51064;\&#49688;&#50896;&#51109;&#50528;&#51064;(&#49688;&#50689;&#51109;&#44204;&#51201;&#51032;&#47280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51312;&#46020;&#44228;&#49328;&#4943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9x2e9\&#51473;&#48512;&#45236;&#47449;&#49440;&#50808;\&#51089;&#50629;&#44277;&#48169;\E01S-2\4GONG\2&#44277;&#44396;(&#50504;&#50689;)&#45800;&#44032;&#49328;&#52636;-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\c\HNC\FONT\&#49472;&#53580;&#53356;&#45432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file\My%20Document\My%20Doc\&#51077;&#52272;&#44208;&#4428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%5e%5e\Local%20Settings\Temporary%20Internet%20Files\Content.IE5\WJXVU6B5\&#44288;&#47144;&#54924;&#49324;\(&#50976;&#54620;)&#50864;&#49457;&#44148;&#49444;\&#51648;&#49688;&#48169;\&#52632;&#50577;&#44148;&#52629;e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50864;&#52380;&#47196;%20&#54252;&#51109;\WINDOWS\&#48148;&#53461;%20&#54868;&#47732;\&#51068;&#47196;&#52488;\&#54952;&#46041;\&#47805;&#44256;&#48169;&#49569;&#4439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221;&#49885;&#48372;&#44256;&#50896;&#44032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park\c\My%20Documents\esc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7560;&#49328;&#51648;&#44396;\99&#48372;&#507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68;&#49688;\C\&#52572;&#49340;&#54840;\&#45208;&#51452;\3&#44256;&#47561;&#50896;&#45236;&#50669;NEW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50864;&#52380;&#47196;%20&#54252;&#51109;\2.%20&#49884;&#49444;&#44277;&#49324;\2007\&#54632;&#54217;&#50900;&#50556;&#51333;&#44256;-&#51648;&#48533;&#48169;&#49688;\&#44277;&#49324;&#49444;&#44228;&#49436;&#51089;&#49457;\&#51068;&#50948;&#45824;&#44032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45796;&#47785;&#51201;&#44053;&#45817;\&#49444;&#44228;&#50857;&#50669;\&#45225;&#54408;\My%20Documents\&#46160;&#49328;&#51204;&#51088;\3&#49892;&#54665;\WINDOWS\TEMP\98-102\xls\GUJI-D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68;&#49688;\C\&#52384;&#46020;&#52397;\&#52384;&#46020;&#52397;&#45236;&#50669;\&#47924;&#50504;&#45236;&#50669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50864;&#52380;&#47196;%20&#54252;&#51109;\WINDOWS\&#48148;&#53461;%20&#54868;&#47732;\&#44204;&#51201;&#49436;&#47784;&#51020;\&#53580;&#45768;&#49828;&#51109;&#51312;&#47749;&#44277;&#49324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7928;&#49692;&#54840;\ES\&#44592;&#44228;&#44221;&#48708;\WINDOWS\EXCEL\KIM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%5e%5e\Local%20Settings\Temporary%20Internet%20Files\Content.IE5\WJXVU6B5\&#44288;&#47144;&#54924;&#49324;\(&#50976;&#54620;)&#50864;&#49457;&#44148;&#49444;\&#47928;&#49692;&#54840;\ES\&#44592;&#44228;&#44221;&#48708;\WINDOWS\EXCEL\KIM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&#51060;&#49457;&#48120;\&#44204;&#51201;&#49436;&#48169;\&#49457;&#50864;&#48169;\&#49352;%20&#54260;&#45908;\&#52509;&#45236;&#50669;&#49436;&#54632;\&#45224;&#50896;&#44204;&#51201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work\&#46020;&#50864;&#48120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7928;&#49692;&#54840;\ES\&#44592;&#44228;&#44221;&#48708;\WINDOWS\EXCEL\KI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688;\d\&#51060;&#46041;&#49688;\BLUESKY\&#51060;&#46041;&#49688;EXCEL\&#45236;&#50669;&#49436;\&#50756;&#46020;&#49688;~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9436;&#49885;\&#50641;&#49472;\&#51068;&#50948;&#45824;&#44032;&#49436;&#49885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68;&#49688;\C\&#52384;&#46020;&#52397;\&#49444;&#44228;&#48320;&#44221;(1&#52264;)\&#47924;&#50504;&#50808;4&#50669;&#51068;&#50948;&#45824;&#44032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KK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50864;&#52380;&#47196;%20&#54252;&#51109;\WINDOWS\&#48148;&#53461;%20&#54868;&#47732;\&#44204;&#51201;&#49436;&#47784;&#51020;\kwork\&#44204;&#51201;&#49436;\&#44277;&#51221;&#52384;\&#49472;&#53580;&#53356;&#4543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50864;&#52380;&#47196;%20&#54252;&#51109;\WINDOWS\&#48148;&#53461;%20&#54868;&#47732;\&#44204;&#51201;&#49436;&#47784;&#51020;\HNC\FONT\&#49472;&#53580;&#53356;&#45432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8176;&#49688;&#44288;&#4427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&#51060;&#49457;&#48120;\&#44204;&#51201;&#49436;&#48169;\&#49457;&#50864;&#48169;\data\excel\&#45224;&#50896;&#44204;&#51201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41;&#49472;&#51088;&#47308;\&#45236;&#50669;&#49436;\&#49457;&#46041;&#52488;%20&#50976;&#52824;&#50896;&#48372;&#49688;\&#51473;&#50521;&#52488;&#54633;&#49689;&#49548;&#51613;&#5262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1109;\D\99&#45380;5&#50900;\&#50756;&#46020;&#44400;\&#45432;&#54868;\&#54252;&#51204;~&#54252;&#51204;\123\&#51201;&#50857;&#54840;&#54364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285;&#4425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72;&#50689;\&#48149;&#49444;&#44228;\&#50724;&#51652;&#44512;\&#46160;&#50896;&#44404;&#44257;&#50948;&#54744;&#46020;&#47196;(&#52572;&#51333;&#48516;))\&#49688;&#47049;&#50641;&#49472;\&#44592;&#51316;&#44396;&#51312;&#47932;&#44648;&#44592;(&#44060;&#44144;&#48143;&#54252;&#51109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221;&#51452;&#44428;\&#44256;&#55141;-&#46020;&#50556;\BACKU(NO!DEL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&#45208;&#51452;&#50669;&#50808;\1&#45432;&#50504;&#45236;&#50669;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&#45236;&#50669;&#49436;\&#44148;&#45236;&#50669;\2002&#51473;&#46041;&#51473;&#44368;&#49324;&#51613;&#52629;\00204017(&#44368;&#49324;&#46041;-&#44148;&#52629;&#44049;&#51648;&#54252;&#54632;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50864;&#52380;&#47196;%20&#54252;&#51109;\Documents%20and%20Settings\Administrator\My%20Documents\&#48155;&#51008;%20&#54028;&#51068;\WINDOWS\&#48148;&#53461;%20&#54868;&#47732;\&#50724;&#49464;&#51456;\&#50668;&#49688;&#45224;&#52488;\HNC\FONT\&#49472;&#53580;&#53356;&#45432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49696;&#48512;1\MYDOCUMENTS\My%20Documents\&#51652;&#46020;&#44400;&#49373;&#54876;&#50857;&#49688;\&#51652;&#46020;&#49373;&#54876;&#50857;&#49688;(&#49688;&#47049;)\&#49328;&#50900;%20&#45225;&#54408;\1&#49688;&#47049;&#51665;&#44228;&#5436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%5e%5e\Local%20Settings\Temporary%20Internet%20Files\Content.IE5\WJXVU6B5\&#49324;&#52380;&#54788;&#51109;-&#50629;&#47924;\2000&#48372;&#50756;\&#45800;&#44032;-2000\&#51452;&#53469;&#44277;&#49324;\&#49345;&#47924;&#53556;&#53412;(&#49444;&#48320;)DS\&#49345;&#47924;&#53556;&#53412;(&#44148;&#52629;&#49444;&#48320;&#48708;&#47785;)D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1109;\D\aaa\&#44053;&#51652;&#44400;\&#50672;&#49328;~&#54889;&#47561;&#49688;&#47049;\&#49688;&#47049;&#51665;&#44228;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2006&#44620;&#52824;=&#51089;&#50629;&#49892;\&#50641;&#49472;&#51089;&#50629;\2005&#45380;%20&#50641;&#49472;\&#45236;&#50669;\&#50857;&#50669;\&#51665;&#54665;&#44228;&#5492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5236;&#50669;&#49436;(&#51649;&#50689;&#48708;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49696;&#48512;1\MYDOCUMENTS\&#48149;&#49457;&#51068;\&#45208;&#51452;&#49884;\&#45208;&#51452;&#50724;&#51648;&#46020;&#47196;&#44277;&#49324;\&#49688;&#47049;\123\&#51201;&#50857;&#54840;&#54364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1109;\D\aaa\&#51204;&#46972;&#45224;&#46020;\&#44284;&#50669;\&#48177;&#44540;&#49440;\123\&#51201;&#50857;&#54840;&#54364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%5e%5e\Local%20Settings\Temporary%20Internet%20Files\Content.IE5\WJXVU6B5\&#44288;&#47144;&#54924;&#49324;\(&#50976;&#54620;)&#50864;&#49457;&#44148;&#49444;\&#51648;&#49688;&#48169;\&#53664;&#47785;1&#52264;ES(99.11.15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S\SONOAO5\&#51076;&#50984;&#5249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48;&#50689;&#48277;&#49885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09&#45380;&#46020;%20&#54861;&#51221;&#49688;\&#44277;&#49324;\&#48708;&#44552;&#52488;\&#54861;&#51221;&#49688;\2009&#45380;&#46020;%20&#54861;&#51221;&#49688;\&#44277;&#49324;\&#54036;&#44552;&#52488;%20&#50864;&#52380;&#47196;%20&#54252;&#51109;\data\&#45208;&#51452;&#50669;&#50808;\1&#45432;&#50504;&#45236;&#50669;new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23\&#51201;&#50857;&#54840;&#54364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2004&#45236;&#50669;\&#51068;&#50948;&#45824;&#44032;&#49436;&#49885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%5e%5e\Local%20Settings\Temporary%20Internet%20Files\Content.IE5\WJXVU6B5\&#49324;&#52380;&#54788;&#51109;-&#50629;&#47924;\2000&#48372;&#50756;\&#45800;&#44032;-2000\&#51648;&#49688;&#48169;\&#50868;&#45224;&#53469;&#51648;\&#51648;&#49688;&#48169;\&#50868;&#45224;&#53469;&#51648;\&#51648;&#49688;&#48169;\&#52632;&#50577;&#53664;&#47785;DS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221;&#51452;&#44428;\&#44256;&#55141;-&#46020;&#50556;\&#54945;&#48176;&#49688;&#44288;&#44277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688;\C\DATA1\97_XLS\BATT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51221;&#49688;\2014%20&#54861;&#51221;&#49688;\&#44277;&#49324;\&#47896;&#47049;&#51473;&#50521;&#52488;\1.%20&#49444;&#44228;&#50857;&#50669;\0.%20&#49444;&#44228;&#50857;&#50669;\&#44148;&#52629;&#48516;&#50556;%20&#49444;&#44228;&#50857;&#50669;&#48708;%20&#49328;&#52636;%20&#48143;%20&#44160;&#496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부하계산서"/>
      <sheetName val="부하(성남)"/>
      <sheetName val="내역서"/>
      <sheetName val="부하_성남_"/>
      <sheetName val="FORM-0"/>
      <sheetName val="중기일위대가"/>
      <sheetName val="조도계산서 (도서)"/>
      <sheetName val="인건비"/>
      <sheetName val="중기사용료"/>
      <sheetName val="SD"/>
      <sheetName val="LOPCALC"/>
      <sheetName val="공사비예산서(토목분)"/>
      <sheetName val="가도공"/>
      <sheetName val="노임단가"/>
      <sheetName val="Sheet1"/>
      <sheetName val="전차선로 물량표"/>
      <sheetName val="정부노임단가"/>
      <sheetName val="설계조건"/>
      <sheetName val="제경비"/>
      <sheetName val="집수정(600-700)"/>
      <sheetName val="기기리스트"/>
      <sheetName val="Sheet17"/>
      <sheetName val="바닥판"/>
      <sheetName val="수질정화시설"/>
      <sheetName val="현장지지물물량"/>
      <sheetName val="금액내역서"/>
      <sheetName val="대로근거"/>
      <sheetName val="중로근거"/>
      <sheetName val="단면가정"/>
      <sheetName val="부재력정리"/>
      <sheetName val="가설건물"/>
      <sheetName val="전기실및집수정"/>
      <sheetName val="Macro1"/>
      <sheetName val="목차"/>
      <sheetName val="내역"/>
      <sheetName val="BOJUNGGM"/>
      <sheetName val="96작생능"/>
      <sheetName val="설직재-1"/>
      <sheetName val="INPUT"/>
      <sheetName val="ABUT수량-A1"/>
      <sheetName val="2공구수량"/>
      <sheetName val="L-type"/>
      <sheetName val="UEC영화관본공사내역"/>
      <sheetName val="계약"/>
      <sheetName val="#REF"/>
      <sheetName val="토목주소"/>
      <sheetName val="프랜트면허"/>
      <sheetName val="MOTOR"/>
      <sheetName val="U-TYPE(1)"/>
      <sheetName val="부하LOAD"/>
      <sheetName val="수량산출"/>
      <sheetName val="별표총괄"/>
      <sheetName val="방송(체육관)"/>
      <sheetName val="단가비교"/>
      <sheetName val="Macro(전선)"/>
      <sheetName val="TRE TABLE"/>
      <sheetName val="DATA"/>
      <sheetName val="사급자재"/>
      <sheetName val="집계표"/>
      <sheetName val="대전-교대(A1-A2)"/>
      <sheetName val="수량산출내역1115"/>
      <sheetName val="지급자재"/>
      <sheetName val="교각1"/>
      <sheetName val="타공종이기"/>
      <sheetName val="영창26"/>
      <sheetName val="다이꾸"/>
      <sheetName val="공통"/>
      <sheetName val="7.1유효폭"/>
      <sheetName val="처리단락"/>
      <sheetName val="조도계산서_(도서)"/>
      <sheetName val="PI"/>
      <sheetName val="일위대가"/>
      <sheetName val="소비자가"/>
      <sheetName val="내역표지"/>
      <sheetName val="아파트 "/>
      <sheetName val="자재단가"/>
      <sheetName val="주식"/>
      <sheetName val="Sheet1 (2)"/>
      <sheetName val="골조시행"/>
      <sheetName val="EQUIP LIST"/>
      <sheetName val="BOM(Elec)"/>
      <sheetName val="현황산출서"/>
      <sheetName val="Sheet3"/>
      <sheetName val="김포IO"/>
      <sheetName val="일지-H"/>
      <sheetName val="약전닥트"/>
      <sheetName val="FD"/>
      <sheetName val="건축부하"/>
      <sheetName val="FA설치명세"/>
      <sheetName val="99관저"/>
      <sheetName val="LD"/>
      <sheetName val="역T형교대(말뚝기초)"/>
      <sheetName val="XXXXXX"/>
      <sheetName val="갑지"/>
      <sheetName val="총괄"/>
      <sheetName val="표지"/>
      <sheetName val="3"/>
      <sheetName val="Sheet5"/>
      <sheetName val="CC16-내역서"/>
      <sheetName val="일위대가(가설)"/>
      <sheetName val="개소별수량산출"/>
      <sheetName val="예가표"/>
      <sheetName val="ITEM"/>
      <sheetName val="연돌일위집계"/>
      <sheetName val="노임이"/>
      <sheetName val="99노임기준"/>
      <sheetName val="투찰"/>
      <sheetName val="조건표"/>
      <sheetName val="정렬"/>
      <sheetName val="데이타"/>
      <sheetName val="부대내역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설계예산서"/>
      <sheetName val="총계"/>
      <sheetName val="예산내역서"/>
      <sheetName val="tggwan(mac)"/>
      <sheetName val="ⴭⴭⴭⴭ"/>
      <sheetName val="TABLE"/>
      <sheetName val="FB25JN"/>
      <sheetName val="간선계산"/>
      <sheetName val="DATE"/>
      <sheetName val="인사자료총집계"/>
      <sheetName val="대치판정"/>
      <sheetName val="설계개요"/>
      <sheetName val="입찰안"/>
      <sheetName val="Ç¥Áö(½Â´Þ¹®¿¹È¸°ü)"/>
      <sheetName val="º¯¾Ð±â¿ë·®"/>
      <sheetName val="¹ßÀü±â"/>
      <sheetName val="¹ßÀü±âºÎÇÏ"/>
      <sheetName val="ÃàÀüÁö"/>
      <sheetName val="Àü¾ÐÁ¶°Ç"/>
      <sheetName val="Àü¾Ð°­ÇÏ°è»ê¼­"/>
      <sheetName val="ºÎÇÏÁ¶°Ç"/>
      <sheetName val="ºÎÇÏ°è»ê¼­"/>
      <sheetName val="ºÎÇÏ(¼º³²)"/>
      <sheetName val="ºÎÇÏ_¼º³²_"/>
      <sheetName val="교각계산"/>
      <sheetName val="내역대비표"/>
      <sheetName val="시중노임단가"/>
      <sheetName val="철근단면적"/>
      <sheetName val="전차선로_물량표"/>
      <sheetName val="소요자재"/>
      <sheetName val="노무산출서"/>
      <sheetName val="적용단위길이"/>
      <sheetName val="TRE_TABLE"/>
      <sheetName val="내역기준"/>
      <sheetName val="단가표"/>
      <sheetName val="포장직선구간"/>
      <sheetName val="공통(20-91)"/>
      <sheetName val="한강운반비"/>
      <sheetName val="노임"/>
      <sheetName val="자재"/>
      <sheetName val="BEND LOSS"/>
      <sheetName val="SRC-B3U2"/>
      <sheetName val="항목등록"/>
      <sheetName val="입력값"/>
      <sheetName val="뚝토공"/>
      <sheetName val="기별"/>
      <sheetName val="설계명세서"/>
      <sheetName val="001"/>
      <sheetName val="투자효율분석"/>
      <sheetName val="법면"/>
      <sheetName val="부대공"/>
      <sheetName val="구조물공"/>
      <sheetName val="포장공"/>
      <sheetName val="토공"/>
      <sheetName val="배수공1"/>
      <sheetName val="토사(PE)"/>
      <sheetName val="비용적자료"/>
      <sheetName val="0124"/>
      <sheetName val="조명시설"/>
      <sheetName val="E01"/>
      <sheetName val="MVE02"/>
      <sheetName val="200"/>
      <sheetName val="직노"/>
      <sheetName val="특수기호강도거푸집"/>
      <sheetName val="종배수관면벽신"/>
      <sheetName val="종배수관(신)"/>
      <sheetName val="요율표(전기)"/>
      <sheetName val="전기일위대가"/>
      <sheetName val="처리장"/>
      <sheetName val="하수관로"/>
      <sheetName val="Pack-3"/>
      <sheetName val="QUOTATION"/>
      <sheetName val="QUOTATION (2)"/>
      <sheetName val="설계내역서"/>
      <sheetName val="수로단위수량"/>
      <sheetName val="중동공구"/>
      <sheetName val="건축공사 내역"/>
      <sheetName val="TYPE1"/>
      <sheetName val="철근량"/>
      <sheetName val="시공여유율"/>
      <sheetName val="메서,변+증"/>
      <sheetName val="날개벽37.5。,82.5。"/>
      <sheetName val="말뚝지지력산정"/>
      <sheetName val="단가"/>
      <sheetName val="M1"/>
      <sheetName val="Sheet6"/>
      <sheetName val="Total"/>
      <sheetName val="차선도색현황"/>
      <sheetName val="발신정보"/>
      <sheetName val="단가조사표"/>
      <sheetName val="CTEMCOST"/>
      <sheetName val="4-3 보온 기본물량집계"/>
      <sheetName val="관리사무소"/>
      <sheetName val="단중표"/>
      <sheetName val="?????"/>
      <sheetName val="8.INTER CONNECTING"/>
      <sheetName val="2선재"/>
      <sheetName val="Man Power &amp; Comp"/>
      <sheetName val="HX"/>
      <sheetName val="수량"/>
      <sheetName val="CALCULATION"/>
      <sheetName val="배수공"/>
      <sheetName val="간지"/>
      <sheetName val="우각부보강"/>
      <sheetName val="몰탈콘크리트"/>
      <sheetName val="Sheet13"/>
      <sheetName val="간선"/>
      <sheetName val="P-J"/>
      <sheetName val="Sheet14"/>
      <sheetName val="#매송휴게소 전체사원#"/>
      <sheetName val="EP0618"/>
      <sheetName val="조도계산"/>
      <sheetName val="수량이동"/>
      <sheetName val="1,2,3,4,5단위수량"/>
      <sheetName val="화전내"/>
      <sheetName val="dg"/>
      <sheetName val="단면 (2)"/>
      <sheetName val="현장식당(1)"/>
      <sheetName val="cable산출"/>
      <sheetName val="표지 (2)"/>
      <sheetName val="경영상태"/>
      <sheetName val="__"/>
      <sheetName val="아파트_"/>
      <sheetName val="기성금내역서"/>
      <sheetName val="Pier 3"/>
      <sheetName val="방배동내역(리라)"/>
      <sheetName val="현장경비"/>
      <sheetName val="건축공사집계표"/>
      <sheetName val="부대공사총괄"/>
      <sheetName val="신우"/>
      <sheetName val="과천MAIN"/>
      <sheetName val="토목품셈"/>
      <sheetName val="계수시트"/>
      <sheetName val="원가계산서"/>
      <sheetName val="설계예산내역서"/>
      <sheetName val="M3산출"/>
      <sheetName val="BAND(200)"/>
      <sheetName val="EL 표면적"/>
      <sheetName val="Detail"/>
      <sheetName val="설계가"/>
      <sheetName val="산출근거"/>
      <sheetName val="수리결과"/>
      <sheetName val="상세내역총괄"/>
      <sheetName val="steam table"/>
      <sheetName val="토목변경"/>
      <sheetName val="APT"/>
      <sheetName val="INPUT(덕도방향-시점)"/>
      <sheetName val="노무비"/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  <sheetName val="1.수인터널"/>
      <sheetName val="방음벽기초"/>
      <sheetName val="1.설계조건"/>
      <sheetName val="슬래브"/>
      <sheetName val="GTG TR PIT"/>
      <sheetName val="F4-F7"/>
      <sheetName val="Sheet2"/>
      <sheetName val="L형옹벽단위수량(35)"/>
      <sheetName val="L형옹벽단위수량(25)"/>
      <sheetName val="B053 (990701)공정실적PP%계산"/>
      <sheetName val="B053 (990701)공정능력PC%계산"/>
      <sheetName val="을지"/>
      <sheetName val="원가"/>
      <sheetName val="공종별집계표"/>
      <sheetName val="공종별내역서"/>
      <sheetName val="수량산출서"/>
      <sheetName val="일위대가목록"/>
      <sheetName val="단가대비표"/>
      <sheetName val="공사설정"/>
      <sheetName val="참조"/>
      <sheetName val="입적표"/>
      <sheetName val="6PILE  (돌출)"/>
      <sheetName val="기성신청"/>
      <sheetName val="총괄집계표 "/>
      <sheetName val="내역서(철콘)"/>
      <sheetName val="별표"/>
      <sheetName val="자재조사표"/>
      <sheetName val="BID"/>
      <sheetName val="품셈기준"/>
      <sheetName val="1-1"/>
      <sheetName val="95D"/>
      <sheetName val="94D"/>
      <sheetName val="견적서세부내용"/>
      <sheetName val="사업수지"/>
      <sheetName val="주형"/>
      <sheetName val="BOX(1.5X1.5)"/>
      <sheetName val="SPEC"/>
      <sheetName val="설산1.나"/>
      <sheetName val="본사S"/>
      <sheetName val="철근총괄집계표"/>
      <sheetName val="터파기및재료"/>
      <sheetName val="빗물받이(910-510-410)"/>
      <sheetName val="우수"/>
      <sheetName val="Ring"/>
      <sheetName val="기초일위"/>
      <sheetName val="시설일위"/>
      <sheetName val="조명일위"/>
      <sheetName val="단위수량"/>
      <sheetName val="차액보증"/>
      <sheetName val="갑지1"/>
      <sheetName val="일위대가(계측기설치)"/>
      <sheetName val="PROCURE"/>
      <sheetName val="40총괄"/>
      <sheetName val="40집계"/>
      <sheetName val="교대"/>
      <sheetName val="일위산출근거"/>
      <sheetName val="토공사"/>
      <sheetName val="가격조사서"/>
      <sheetName val="Up &amp; bhn"/>
      <sheetName val="Man Power"/>
      <sheetName val="도"/>
      <sheetName val="COVER"/>
      <sheetName val="CB"/>
      <sheetName val="POL6차-PIPING"/>
      <sheetName val="물량"/>
      <sheetName val="산#2-1 (2)"/>
      <sheetName val="산#3-1"/>
      <sheetName val="WEIGHT LIST"/>
      <sheetName val="계약ITEM"/>
      <sheetName val="도면자료제출일정"/>
      <sheetName val="단"/>
      <sheetName val="입상내역"/>
      <sheetName val="총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변압기용량"/>
      <sheetName val="전압조건"/>
      <sheetName val="전압(성남)"/>
      <sheetName val="부하조건"/>
      <sheetName val="부하(성남)"/>
      <sheetName val="VXXXXX"/>
      <sheetName val="갑지"/>
      <sheetName val="원가도공 (3)"/>
      <sheetName val="원가도공 (2)"/>
      <sheetName val="지급자재"/>
      <sheetName val="수배전원가"/>
      <sheetName val="수배전반"/>
      <sheetName val="수배전단가"/>
      <sheetName val="등기구내역"/>
      <sheetName val="발전기집계"/>
      <sheetName val="집계표"/>
      <sheetName val="내역서"/>
      <sheetName val="분전반일위대가"/>
      <sheetName val="일위대가 "/>
      <sheetName val="인공산출서"/>
      <sheetName val="수량산출"/>
      <sheetName val="단가조사서"/>
      <sheetName val="소방내역"/>
      <sheetName val="노무비조정 (%)"/>
      <sheetName val="단가대비표"/>
      <sheetName val="내역서 (2)"/>
      <sheetName val="산출집계"/>
      <sheetName val="101자탐기초"/>
      <sheetName val="101유도등기초"/>
      <sheetName val="101방송기초 "/>
      <sheetName val="102자탐기초 "/>
      <sheetName val="102유도등기초"/>
      <sheetName val="102방송기초"/>
      <sheetName val="103자탐기초"/>
      <sheetName val="103유도등기초"/>
      <sheetName val="103방송기초"/>
      <sheetName val="104자탐기초"/>
      <sheetName val="104유도등기초"/>
      <sheetName val="104방송기초"/>
      <sheetName val="105자탐기초"/>
      <sheetName val="105유도등기초"/>
      <sheetName val="105방송기초"/>
      <sheetName val="106자탐기초"/>
      <sheetName val="106유도등기초"/>
      <sheetName val="106방송기초"/>
      <sheetName val="107자탐기초"/>
      <sheetName val="107유도등기초"/>
      <sheetName val="107방송기초"/>
      <sheetName val="옥외자탐기초"/>
      <sheetName val="근생자탐기초"/>
      <sheetName val="내역서 (상가)"/>
      <sheetName val="분전반일위대가 (상가)"/>
      <sheetName val="일위대가  (상가)"/>
      <sheetName val="인공산출서 (상가)"/>
      <sheetName val="수량산출 (상가)"/>
      <sheetName val="단가조사서 (상가)"/>
      <sheetName val="부하_성남_"/>
      <sheetName val="LOPCALC"/>
      <sheetName val="인허가수행 Schedule"/>
      <sheetName val="공통(20-91)"/>
      <sheetName val="부하LOAD"/>
      <sheetName val="조도계산서 (도서)"/>
      <sheetName val="MOTOR"/>
      <sheetName val="부하계산서"/>
      <sheetName val="바닥판"/>
      <sheetName val="노임단가"/>
      <sheetName val="요율"/>
      <sheetName val="Sheet2"/>
      <sheetName val="BID"/>
      <sheetName val="외천교"/>
      <sheetName val="소비자가"/>
      <sheetName val="가설건물"/>
      <sheetName val="관리사무소"/>
      <sheetName val="적용단위길이"/>
      <sheetName val="토공및부대2차"/>
      <sheetName val="산출2-기기동력"/>
      <sheetName val="J直材4"/>
      <sheetName val="설계조건"/>
      <sheetName val="Sheet17"/>
      <sheetName val="7.1유효폭"/>
      <sheetName val="SUNGNAM1"/>
      <sheetName val="#REF"/>
      <sheetName val="목차"/>
      <sheetName val="예산내역서"/>
      <sheetName val="설계예산서"/>
      <sheetName val="DATA"/>
      <sheetName val="조명율표"/>
      <sheetName val="데이타"/>
      <sheetName val="자재테이블"/>
      <sheetName val="전차선로 물량표"/>
      <sheetName val="list"/>
      <sheetName val="1"/>
      <sheetName val="BSD (2)"/>
      <sheetName val="단가정보"/>
      <sheetName val="INPUT DATA"/>
      <sheetName val="CSTSUM"/>
      <sheetName val="TRE TABLE"/>
      <sheetName val="BQ"/>
      <sheetName val="결선list"/>
      <sheetName val="토목변경"/>
      <sheetName val="정렬"/>
      <sheetName val="기타유틸리티설비"/>
      <sheetName val="전기실및집수정"/>
      <sheetName val="원가"/>
      <sheetName val="한강운반비"/>
      <sheetName val="자재"/>
      <sheetName val="여흥"/>
      <sheetName val="WORK"/>
      <sheetName val="L-type"/>
      <sheetName val="L_RPTA05_목록"/>
      <sheetName val="정부노임단가"/>
      <sheetName val="ⴭⴭⴭⴭ"/>
      <sheetName val="3련 BOX"/>
      <sheetName val="발신정보"/>
      <sheetName val="일위대가내역"/>
      <sheetName val="품셈기준"/>
      <sheetName val="c_balju"/>
      <sheetName val="중기사용료"/>
      <sheetName val="U-TYPE(1)"/>
      <sheetName val="안정검토"/>
      <sheetName val="3BL공동구 수량"/>
      <sheetName val="표지 (2)"/>
      <sheetName val="1공구(을)"/>
      <sheetName val="품목납기"/>
      <sheetName val="Macro1"/>
      <sheetName val="Macro2"/>
      <sheetName val="금긋기 및 절단"/>
      <sheetName val="토사(PE)"/>
      <sheetName val="자재단가"/>
      <sheetName val="산출내역서집계표"/>
      <sheetName val="입찰안"/>
      <sheetName val="1.설계조건"/>
      <sheetName val="인건비"/>
      <sheetName val="공정표"/>
      <sheetName val="횡배수관단위수량"/>
      <sheetName val="단가대비표 (3)"/>
      <sheetName val="일위대가"/>
      <sheetName val="공사원가계산서"/>
      <sheetName val="주간기성"/>
      <sheetName val="적용토목"/>
      <sheetName val="MACRO(MCC)"/>
      <sheetName val="ABUT수량-A1"/>
      <sheetName val="cost"/>
      <sheetName val="수질정화시설"/>
      <sheetName val="전력구구조물산근"/>
      <sheetName val="총괄"/>
      <sheetName val="단중표"/>
      <sheetName val="교각계산"/>
      <sheetName val="환율"/>
      <sheetName val="ITEM"/>
      <sheetName val="오산갈곳"/>
      <sheetName val="원가계산서"/>
      <sheetName val="인건-측정"/>
      <sheetName val="wall"/>
      <sheetName val="Code"/>
      <sheetName val="Import"/>
      <sheetName val="96작생능"/>
      <sheetName val="조명율데이타"/>
      <sheetName val="부안변전"/>
      <sheetName val="맨홀토공수량"/>
      <sheetName val="수량산출서"/>
      <sheetName val="001"/>
      <sheetName val="주형"/>
      <sheetName val="노임"/>
      <sheetName val="소요자재"/>
      <sheetName val="제잡비계산"/>
      <sheetName val="식재총괄"/>
      <sheetName val="시설물총괄"/>
      <sheetName val="건축총괄"/>
      <sheetName val="식재"/>
      <sheetName val="Sheet3"/>
      <sheetName val="품의서"/>
      <sheetName val="위치조서"/>
      <sheetName val="MEXICO-C"/>
      <sheetName val="노무비"/>
      <sheetName val="FOOTING단면력"/>
      <sheetName val="중기일위대가"/>
      <sheetName val="타공종이기"/>
      <sheetName val="첨부"/>
      <sheetName val="부대내역"/>
      <sheetName val="GTG TR PIT"/>
      <sheetName val="조도계산서 _도서_"/>
      <sheetName val="CalcuSheet"/>
      <sheetName val="예정공정표"/>
      <sheetName val="총계"/>
      <sheetName val="환율-LIBOR"/>
      <sheetName val="공사비집계"/>
      <sheetName val="CRF"/>
      <sheetName val="현장지지물물량"/>
      <sheetName val="발전기계산서"/>
      <sheetName val="guard(mac)"/>
      <sheetName val="공사비예산서(토목분)"/>
      <sheetName val="전기일위대가"/>
      <sheetName val="금액내역서"/>
      <sheetName val="차액보증"/>
      <sheetName val="내역표지"/>
      <sheetName val="날개벽수량표"/>
      <sheetName val="입력DATA"/>
      <sheetName val="단"/>
      <sheetName val="내역"/>
      <sheetName val="양식"/>
      <sheetName val="방배동내역(리라)"/>
      <sheetName val="Proposal"/>
      <sheetName val="TABLE"/>
      <sheetName val="산#2-1 (2)"/>
      <sheetName val=" 견적서"/>
      <sheetName val="인허가수행_Schedule"/>
      <sheetName val="원가도공_(3)"/>
      <sheetName val="원가도공_(2)"/>
      <sheetName val="일위대가_"/>
      <sheetName val="노무비조정_(%)"/>
      <sheetName val="내역서_(2)"/>
      <sheetName val="101방송기초_"/>
      <sheetName val="102자탐기초_"/>
      <sheetName val="내역서_(상가)"/>
      <sheetName val="분전반일위대가_(상가)"/>
      <sheetName val="일위대가__(상가)"/>
      <sheetName val="인공산출서_(상가)"/>
      <sheetName val="수량산출_(상가)"/>
      <sheetName val="단가조사서_(상가)"/>
      <sheetName val="조도계산서_(도서)"/>
      <sheetName val="7_1유효폭"/>
      <sheetName val="BSD_(2)"/>
      <sheetName val="전차선로_물량표"/>
      <sheetName val="단가대비표_(3)"/>
      <sheetName val="산#2-1_(2)"/>
      <sheetName val="견적시담(송포2공구)"/>
      <sheetName val="FEXS"/>
      <sheetName val="횡배위치"/>
      <sheetName val="ilch"/>
      <sheetName val="49단가"/>
      <sheetName val="부대대비"/>
      <sheetName val="냉연집계"/>
      <sheetName val="일반공사"/>
      <sheetName val="다이꾸"/>
      <sheetName val="추가및 공제(방파제)"/>
      <sheetName val="HRSG SMALL07220"/>
      <sheetName val="토적계산"/>
      <sheetName val="참조"/>
      <sheetName val="기자재비"/>
      <sheetName val="일위대가목록"/>
      <sheetName val="실행품의서"/>
      <sheetName val="Param"/>
      <sheetName val="직공비"/>
      <sheetName val="Sheet1 (2)"/>
      <sheetName val="EQUIP LIST"/>
      <sheetName val="목록"/>
      <sheetName val="mesc"/>
      <sheetName val="cable-data"/>
      <sheetName val="Y-WORK"/>
      <sheetName val="포장공"/>
      <sheetName val="처리단락"/>
      <sheetName val="LD"/>
      <sheetName val="약전닥트"/>
      <sheetName val="건축부하"/>
      <sheetName val="일지-H"/>
      <sheetName val="FA설치명세"/>
      <sheetName val="김포IO"/>
      <sheetName val="1.우편집중내역서"/>
      <sheetName val="철거산출근거"/>
      <sheetName val="보차도경계석"/>
      <sheetName val="일위대가(계측기설치)"/>
      <sheetName val="Ç¥Áö"/>
      <sheetName val="º¯¾Ð±â¿ë·®"/>
      <sheetName val="Àü¾ÐÁ¶°Ç"/>
      <sheetName val="Àü¾Ð(¼º³²)"/>
      <sheetName val="ºÎÇÏÁ¶°Ç"/>
      <sheetName val="ºÎÇÏ(¼º³²)"/>
      <sheetName val="°øÅë(20-91)"/>
      <sheetName val="ºÎÇÏ_¼º³²_"/>
      <sheetName val="ÀÎÇã°¡¼öÇà Schedule"/>
      <sheetName val="ºÎÇÏLOAD"/>
      <sheetName val="7.1À¯È¿Æø"/>
      <sheetName val="°©Áö"/>
      <sheetName val="¿ø°¡µµ°ø (3)"/>
      <sheetName val="¿ø°¡µµ°ø (2)"/>
      <sheetName val="Áö±ÞÀÚÀç"/>
      <sheetName val="¼ö¹èÀü¿ø°¡"/>
      <sheetName val="¼ö¹èÀü¹Ý"/>
      <sheetName val="¼ö¹èÀü´Ü°¡"/>
      <sheetName val="µî±â±¸³»¿ª"/>
      <sheetName val="¹ßÀü±âÁý°è"/>
      <sheetName val="Áý°èÇ¥"/>
      <sheetName val="³»¿ª¼­"/>
      <sheetName val="ºÐÀü¹ÝÀÏÀ§´ë°¡"/>
      <sheetName val="ÀÏÀ§´ë°¡ "/>
      <sheetName val="ÀÎ°ø»êÃâ¼­"/>
      <sheetName val="¼ö·®»êÃâ"/>
      <sheetName val="´Ü°¡Á¶»ç¼­"/>
      <sheetName val="¼Ò¹æ³»¿ª"/>
      <sheetName val="³ë¹«ºñÁ¶Á¤ (%)"/>
      <sheetName val="´Ü°¡´ëºñÇ¥"/>
      <sheetName val="³»¿ª¼­ (2)"/>
      <sheetName val="»êÃâÁý°è"/>
      <sheetName val="101ÀÚÅ½±âÃÊ"/>
      <sheetName val="101À¯µµµî±âÃÊ"/>
      <sheetName val="101¹æ¼Û±âÃÊ "/>
      <sheetName val="102ÀÚÅ½±âÃÊ "/>
      <sheetName val="102À¯µµµî±âÃÊ"/>
      <sheetName val="102¹æ¼Û±âÃÊ"/>
      <sheetName val="103ÀÚÅ½±âÃÊ"/>
      <sheetName val="103À¯µµµî±âÃÊ"/>
      <sheetName val="103¹æ¼Û±âÃÊ"/>
      <sheetName val="104ÀÚÅ½±âÃÊ"/>
      <sheetName val="104À¯µµµî±âÃÊ"/>
      <sheetName val="104¹æ¼Û±âÃÊ"/>
      <sheetName val="105ÀÚÅ½±âÃÊ"/>
      <sheetName val="105À¯µµµî±âÃÊ"/>
      <sheetName val="105¹æ¼Û±âÃÊ"/>
      <sheetName val="106ÀÚÅ½±âÃÊ"/>
      <sheetName val="106À¯µµµî±âÃÊ"/>
      <sheetName val="106¹æ¼Û±âÃÊ"/>
      <sheetName val="107ÀÚÅ½±âÃÊ"/>
      <sheetName val="107À¯µµµî±âÃÊ"/>
      <sheetName val="107¹æ¼Û±âÃÊ"/>
      <sheetName val="¿Á¿ÜÀÚÅ½±âÃÊ"/>
      <sheetName val="±Ù»ýÀÚÅ½±âÃÊ"/>
      <sheetName val="³»¿ª¼­ (»ó°¡)"/>
      <sheetName val="ºÐÀü¹ÝÀÏÀ§´ë°¡ (»ó°¡)"/>
      <sheetName val="ÀÏÀ§´ë°¡  (»ó°¡)"/>
      <sheetName val="ÀÎ°ø»êÃâ¼­ (»ó°¡)"/>
      <sheetName val="¼ö·®»êÃâ (»ó°¡)"/>
      <sheetName val="´Ü°¡Á¶»ç¼­ (»ó°¡)"/>
      <sheetName val="L_RPTA05_¸ñ·Ï"/>
      <sheetName val="³¯°³º®¼ö·®Ç¥"/>
      <sheetName val="Á¶µµ°è»ê¼­ (µµ¼­)"/>
      <sheetName val="Áß±âÀÏÀ§´ë°¡"/>
      <sheetName val="´ÙÀÌ²Ù"/>
      <sheetName val="COVER"/>
      <sheetName val="배수관공"/>
      <sheetName val="W-현원가"/>
      <sheetName val="프랜트면허"/>
      <sheetName val="현황산출서"/>
      <sheetName val="철근단면적"/>
      <sheetName val="내역서1"/>
      <sheetName val="자단"/>
      <sheetName val="SRC-B3U2"/>
      <sheetName val="INPUT_DATA"/>
      <sheetName val="TRE_TABLE"/>
      <sheetName val="금긋기_및_절단"/>
      <sheetName val="3련_BOX"/>
      <sheetName val="1_설계조건"/>
      <sheetName val="표지_(2)"/>
      <sheetName val="3BL공동구_수량"/>
      <sheetName val="기성집계"/>
      <sheetName val="hvac(제어동)"/>
      <sheetName val="경비"/>
      <sheetName val="주식"/>
      <sheetName val="SILICATE"/>
      <sheetName val="배관BM(일반)"/>
      <sheetName val="효율&amp;역율"/>
      <sheetName val="BEND LOSS"/>
      <sheetName val="토목주소"/>
      <sheetName val="Total"/>
      <sheetName val="분뇨"/>
      <sheetName val="GTG_TR_PIT"/>
      <sheetName val="조도계산서__도서_"/>
      <sheetName val="123"/>
      <sheetName val="Oper Amount"/>
      <sheetName val="토공"/>
      <sheetName val="기초대가"/>
      <sheetName val="D-3503"/>
      <sheetName val="L형옹벽측구"/>
      <sheetName val="CNC810M"/>
      <sheetName val="지진시"/>
      <sheetName val="CC16-내역서"/>
      <sheetName val="일위대가표"/>
      <sheetName val="방음벽기초(H=4m)"/>
      <sheetName val="변화치수"/>
      <sheetName val="터파기및재료"/>
      <sheetName val="금액"/>
      <sheetName val="당초"/>
      <sheetName val="Sheet1"/>
      <sheetName val="CALCULATION"/>
      <sheetName val="원형1호맨홀토공수량"/>
      <sheetName val="단위중량"/>
      <sheetName val="간선"/>
      <sheetName val="9GNG운반"/>
      <sheetName val="접속도로1"/>
      <sheetName val="말뚝지지력산정"/>
      <sheetName val="1차변경내역"/>
      <sheetName val="도"/>
      <sheetName val="b_balju_cho"/>
      <sheetName val="단가조사표"/>
      <sheetName val="일위대가(원본)"/>
      <sheetName val="횡배수관집현황(2공구)"/>
      <sheetName val="Sheet13"/>
      <sheetName val="Sheet14"/>
      <sheetName val="발전기"/>
      <sheetName val="FB25JN"/>
      <sheetName val="안정검토(온1)"/>
      <sheetName val="토공사"/>
      <sheetName val="giathanh1"/>
      <sheetName val="K"/>
      <sheetName val="CAL"/>
      <sheetName val="가시설(TYPE-A)"/>
      <sheetName val="1호맨홀가감수량"/>
      <sheetName val="1-1평균터파기고(1)"/>
      <sheetName val="1호맨홀수량산출"/>
      <sheetName val="단가조사"/>
      <sheetName val="PIPE"/>
      <sheetName val="대로근거"/>
      <sheetName val="종배수관(신)"/>
      <sheetName val="교각1"/>
      <sheetName val="설명서"/>
      <sheetName val="자재대"/>
      <sheetName val="표지1"/>
      <sheetName val="감가상각"/>
      <sheetName val="공통비"/>
      <sheetName val="N賃率-職"/>
      <sheetName val="경산"/>
      <sheetName val="MW-BM"/>
      <sheetName val="옹벽기초자료"/>
      <sheetName val="개소별수량산출"/>
      <sheetName val="전기"/>
      <sheetName val="plan&amp;section of foundation"/>
      <sheetName val="O-단가조사서"/>
      <sheetName val="일위대가표(DEEP)"/>
      <sheetName val="LINE_LIST"/>
      <sheetName val="Currency Rate"/>
      <sheetName val="??(??)"/>
      <sheetName val="부대tu"/>
      <sheetName val="SUMMARY"/>
      <sheetName val="세금자료"/>
      <sheetName val="M3산출"/>
      <sheetName val="조건표"/>
      <sheetName val="내역서 "/>
      <sheetName val="총괄표"/>
      <sheetName val="역T형교대(말뚝기초)"/>
      <sheetName val="견적대비표"/>
      <sheetName val="A포공위"/>
      <sheetName val="조경일람"/>
      <sheetName val="RE9604"/>
      <sheetName val="자재일람"/>
      <sheetName val="횡날개수집"/>
      <sheetName val="단면가정"/>
      <sheetName val="부재력정리"/>
      <sheetName val="일위대가총괄표"/>
      <sheetName val="단가산출총괄표"/>
      <sheetName val="J형측구단위수량"/>
      <sheetName val="4.4 해변조명 3 산출"/>
      <sheetName val="3.2 갓바위1 산출서"/>
      <sheetName val="3.4 갓바위2 산출서"/>
      <sheetName val="단가비교표"/>
      <sheetName val="1.2 시민의탑 투광조명-집계"/>
      <sheetName val="일위대가집계표"/>
      <sheetName val="일위대가목차"/>
      <sheetName val="DATE"/>
      <sheetName val="____"/>
      <sheetName val="보안등"/>
      <sheetName val="일위대가(가설)"/>
      <sheetName val="조명시설"/>
      <sheetName val="을 2"/>
      <sheetName val="ÀÎÇã°¡¼öÇà_Schedule"/>
      <sheetName val="7_1À¯È¿Æø"/>
      <sheetName val="¿ø°¡µµ°ø_(3)"/>
      <sheetName val="¿ø°¡µµ°ø_(2)"/>
      <sheetName val="ÀÏÀ§´ë°¡_"/>
      <sheetName val="³ë¹«ºñÁ¶Á¤_(%)"/>
      <sheetName val="³»¿ª¼­_(2)"/>
      <sheetName val="101¹æ¼Û±âÃÊ_"/>
      <sheetName val="102ÀÚÅ½±âÃÊ_"/>
      <sheetName val="³»¿ª¼­_(»ó°¡)"/>
      <sheetName val="ºÐÀü¹ÝÀÏÀ§´ë°¡_(»ó°¡)"/>
      <sheetName val="ÀÏÀ§´ë°¡__(»ó°¡)"/>
      <sheetName val="ÀÎ°ø»êÃâ¼­_(»ó°¡)"/>
      <sheetName val="¼ö·®»êÃâ_(»ó°¡)"/>
      <sheetName val="´Ü°¡Á¶»ç¼­_(»ó°¡)"/>
      <sheetName val="Á¶µµ°è»ê¼­_(µµ¼­)"/>
      <sheetName val="K1자재(3차등)"/>
      <sheetName val="OZ049E"/>
      <sheetName val="설계명세서"/>
      <sheetName val="TYPE1"/>
      <sheetName val="철근량"/>
      <sheetName val="수량집계표M1"/>
      <sheetName val="수량산출 M1"/>
      <sheetName val="02 SLAB"/>
      <sheetName val="05 BOX"/>
      <sheetName val="토공A"/>
      <sheetName val="수목표준대가"/>
      <sheetName val="총괄집계표"/>
      <sheetName val="집계표(육상)"/>
      <sheetName val="세목별"/>
      <sheetName val="명단"/>
      <sheetName val="2000년1차"/>
      <sheetName val="2000전체분"/>
      <sheetName val="Process"/>
      <sheetName val="자재단가비교표"/>
      <sheetName val="물가시세"/>
      <sheetName val="4-3 보온 기본물량집계"/>
      <sheetName val="INPUT"/>
      <sheetName val="특수기호강도거푸집"/>
      <sheetName val="종배수관면벽신"/>
      <sheetName val="두앙"/>
      <sheetName val="2"/>
      <sheetName val="토공정보"/>
      <sheetName val="건축기성"/>
      <sheetName val="토목검측서"/>
      <sheetName val="단가입력창"/>
      <sheetName val="공종단가표 "/>
      <sheetName val="Sheet4"/>
      <sheetName val="작성방법"/>
      <sheetName val="2선재"/>
      <sheetName val="Macro(전선)"/>
      <sheetName val="지수조정율(총괄)"/>
      <sheetName val="적용기준"/>
      <sheetName val="직노"/>
      <sheetName val="기기리스트"/>
      <sheetName val="Ⅴ-2.공종별내역"/>
      <sheetName val="단면 (2)"/>
      <sheetName val="소각장스케줄"/>
      <sheetName val="공종별집계표"/>
      <sheetName val="공종별내역서"/>
      <sheetName val="공사설정"/>
      <sheetName val="코드표"/>
      <sheetName val="안성방향(시점)"/>
      <sheetName val="단가산출1"/>
      <sheetName val="단가 및 재료비"/>
      <sheetName val="재료비"/>
      <sheetName val="집계"/>
      <sheetName val="card1"/>
      <sheetName val="보건노"/>
      <sheetName val="기본일위"/>
      <sheetName val="가공비"/>
      <sheetName val="원가도공_(3)1"/>
      <sheetName val="원가도공_(2)1"/>
      <sheetName val="일위대가_1"/>
      <sheetName val="노무비조정_(%)1"/>
      <sheetName val="내역서_(2)1"/>
      <sheetName val="101방송기초_1"/>
      <sheetName val="102자탐기초_1"/>
      <sheetName val="내역서_(상가)1"/>
      <sheetName val="분전반일위대가_(상가)1"/>
      <sheetName val="일위대가__(상가)1"/>
      <sheetName val="인공산출서_(상가)1"/>
      <sheetName val="수량산출_(상가)1"/>
      <sheetName val="단가조사서_(상가)1"/>
      <sheetName val="인허가수행_Schedule1"/>
      <sheetName val="조도계산서_(도서)1"/>
      <sheetName val="7_1유효폭1"/>
      <sheetName val="전차선로_물량표1"/>
      <sheetName val="BSD_(2)1"/>
      <sheetName val="단가대비표_(3)1"/>
      <sheetName val="추가및_공제(방파제)"/>
      <sheetName val="산#2-1_(2)1"/>
      <sheetName val="_견적서"/>
      <sheetName val="HRSG_SMALL07220"/>
      <sheetName val="Sheet1_(2)"/>
      <sheetName val="1_우편집중내역서"/>
      <sheetName val="EQUIP_LIST"/>
      <sheetName val="원가도공_(3)2"/>
      <sheetName val="원가도공_(2)2"/>
      <sheetName val="일위대가_2"/>
      <sheetName val="노무비조정_(%)2"/>
      <sheetName val="내역서_(2)2"/>
      <sheetName val="101방송기초_2"/>
      <sheetName val="102자탐기초_2"/>
      <sheetName val="내역서_(상가)2"/>
      <sheetName val="분전반일위대가_(상가)2"/>
      <sheetName val="일위대가__(상가)2"/>
      <sheetName val="인공산출서_(상가)2"/>
      <sheetName val="수량산출_(상가)2"/>
      <sheetName val="단가조사서_(상가)2"/>
      <sheetName val="인허가수행_Schedule2"/>
      <sheetName val="조도계산서_(도서)2"/>
      <sheetName val="7_1유효폭2"/>
      <sheetName val="3련_BOX1"/>
      <sheetName val="전차선로_물량표2"/>
      <sheetName val="BSD_(2)2"/>
      <sheetName val="INPUT_DATA1"/>
      <sheetName val="TRE_TABLE1"/>
      <sheetName val="금긋기_및_절단1"/>
      <sheetName val="영업소실적"/>
      <sheetName val="방송(체육관)"/>
      <sheetName val="적현로"/>
      <sheetName val="토목내역"/>
      <sheetName val="12용지"/>
      <sheetName val="출근부"/>
      <sheetName val="설계서"/>
      <sheetName val="공용시설내역"/>
      <sheetName val="1_설계조건1"/>
      <sheetName val="표지_(2)1"/>
      <sheetName val="단가대비표_(3)2"/>
      <sheetName val="3BL공동구_수량1"/>
      <sheetName val="GTG_TR_PIT1"/>
      <sheetName val="조도계산서__도서_1"/>
      <sheetName val="추가및_공제(방파제)1"/>
      <sheetName val="산#2-1_(2)2"/>
      <sheetName val="_견적서1"/>
      <sheetName val="ÀÎÇã°¡¼öÇà_Schedule1"/>
      <sheetName val="7_1À¯È¿Æø1"/>
      <sheetName val="¿ø°¡µµ°ø_(3)1"/>
      <sheetName val="¿ø°¡µµ°ø_(2)1"/>
      <sheetName val="ÀÏÀ§´ë°¡_1"/>
      <sheetName val="³ë¹«ºñÁ¶Á¤_(%)1"/>
      <sheetName val="³»¿ª¼­_(2)1"/>
      <sheetName val="101¹æ¼Û±âÃÊ_1"/>
      <sheetName val="102ÀÚÅ½±âÃÊ_1"/>
      <sheetName val="설직재-1"/>
      <sheetName val="³»¿ª¼­_(»ó°¡)1"/>
      <sheetName val="ºÐÀü¹ÝÀÏÀ§´ë°¡_(»ó°¡)1"/>
      <sheetName val="ÀÏÀ§´ë°¡__(»ó°¡)1"/>
      <sheetName val="ÀÎ°ø»êÃâ¼­_(»ó°¡)1"/>
      <sheetName val="¼ö·®»êÃâ_(»ó°¡)1"/>
      <sheetName val="´Ü°¡Á¶»ç¼­_(»ó°¡)1"/>
      <sheetName val="Á¶µµ°è»ê¼­_(µµ¼­)1"/>
      <sheetName val="HRSG_SMALL072201"/>
      <sheetName val="Sheet1_(2)1"/>
      <sheetName val="1_우편집중내역서1"/>
      <sheetName val="EQUIP_LIST1"/>
      <sheetName val="BEND_LOSS"/>
      <sheetName val="Oper_Amount"/>
      <sheetName val="plan&amp;section_of_foundation"/>
      <sheetName val="Currency_Rate"/>
      <sheetName val="02_SLAB"/>
      <sheetName val="05_BOX"/>
      <sheetName val="지하"/>
      <sheetName val="SG"/>
      <sheetName val="본체"/>
      <sheetName val="C1ㅇ"/>
      <sheetName val="LCS-SEAT"/>
      <sheetName val="FD"/>
      <sheetName val="99관저"/>
      <sheetName val="Man Power"/>
      <sheetName val="단가비교"/>
      <sheetName val="CAL1"/>
      <sheetName val="102역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 refreshError="1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회로"/>
      <sheetName val="9회로-1"/>
      <sheetName val="8회로 전기"/>
      <sheetName val="8회로-1"/>
      <sheetName val="7회로"/>
      <sheetName val="6회로"/>
      <sheetName val="6회로-1"/>
      <sheetName val="5회로"/>
      <sheetName val="3회로"/>
      <sheetName val="2회로"/>
      <sheetName val="조명3전기2"/>
      <sheetName val="7회로 15DIM 3RD"/>
      <sheetName val="35DIM 3D (2)"/>
      <sheetName val="18회로"/>
      <sheetName val="9회로 (2)"/>
      <sheetName val="10회로 조명"/>
      <sheetName val="7회로 조명"/>
      <sheetName val="조명3전기4 신형 (2)"/>
      <sheetName val="4회로"/>
      <sheetName val="조명3전기2 신형"/>
      <sheetName val="11CH50DIM6RD5"/>
      <sheetName val="14CH32DIM6RD5 (2)"/>
      <sheetName val="28회로"/>
      <sheetName val="8회로신형"/>
      <sheetName val="부산시사상구청"/>
      <sheetName val="18DIM5CH3D"/>
      <sheetName val="18DIM4CH3D (2)"/>
      <sheetName val="14DIM3DIR"/>
      <sheetName val="전기3회로dim8"/>
      <sheetName val="전기2회로dim9 (3)"/>
      <sheetName val="전기2회로dim8 (4)"/>
      <sheetName val="5CH8DIM3D"/>
      <sheetName val="5CH10DIM3D (2)"/>
      <sheetName val="18DIM6CH3D (2)"/>
      <sheetName val="총괄"/>
      <sheetName val="#REF"/>
      <sheetName val="입찰안"/>
      <sheetName val="일위(설)"/>
      <sheetName val="전기산출근거"/>
      <sheetName val="부하(성남)"/>
      <sheetName val="8회로 25DIM 4RD (2)"/>
      <sheetName val="9회로 22DIM 3D "/>
      <sheetName val="조명5전기1(2)"/>
      <sheetName val="6DIM12CH2D (3)"/>
      <sheetName val="부하계산서"/>
      <sheetName val="일위대가목록"/>
      <sheetName val="과천MAIN"/>
      <sheetName val="2F 회의실견적(5_14 일대)"/>
      <sheetName val="말뚝지지력산정"/>
      <sheetName val="일위대가(계측기설치)"/>
      <sheetName val="9811"/>
      <sheetName val="내역서"/>
      <sheetName val="Sheet5"/>
      <sheetName val="LEGEND"/>
      <sheetName val="PROJECT BRIEF(EX.NEW)"/>
      <sheetName val="I一般比"/>
      <sheetName val="내역표지"/>
      <sheetName val="손익분석"/>
      <sheetName val="VXXXXXXX"/>
      <sheetName val="신우"/>
      <sheetName val="Y-WORK"/>
      <sheetName val="견적990322"/>
      <sheetName val="지급자재"/>
      <sheetName val="품목"/>
      <sheetName val="간선계산"/>
      <sheetName val="LOPCALC"/>
      <sheetName val="원가"/>
      <sheetName val="보온자재단가표"/>
      <sheetName val="TOTAL"/>
      <sheetName val="EQUIP-H"/>
      <sheetName val="BM"/>
      <sheetName val="수로교총재료집계"/>
      <sheetName val="__"/>
      <sheetName val="1. 통합배선설비"/>
      <sheetName val="별표 "/>
      <sheetName val="집계"/>
      <sheetName val="기본일위"/>
      <sheetName val="내역서2안"/>
      <sheetName val="직노"/>
      <sheetName val="실행내역"/>
      <sheetName val=" HIT-&gt;HMC 견적(3900)"/>
      <sheetName val="일위대가"/>
      <sheetName val="guard(mac)"/>
      <sheetName val="공통(20-91)"/>
      <sheetName val="N賃率-職"/>
      <sheetName val="갑지"/>
      <sheetName val="집계표"/>
      <sheetName val="DATA"/>
      <sheetName val="데이타"/>
      <sheetName val="Sheet1"/>
      <sheetName val="청천내"/>
      <sheetName val="단가비교표"/>
      <sheetName val="물가시세"/>
      <sheetName val="노임단가"/>
      <sheetName val="설직재-1"/>
      <sheetName val="직재"/>
      <sheetName val="건축내역"/>
      <sheetName val="보할공정"/>
      <sheetName val="물가"/>
      <sheetName val="9509"/>
      <sheetName val="성곽내역서"/>
      <sheetName val="제직재"/>
      <sheetName val="제-노임"/>
      <sheetName val="견"/>
      <sheetName val="EQUIPMENT -2"/>
      <sheetName val="조명시설"/>
      <sheetName val="가설공사"/>
      <sheetName val="단가"/>
      <sheetName val="기준자료"/>
      <sheetName val="단중표"/>
      <sheetName val="IMPEADENCE MAP 취수장"/>
      <sheetName val="수량산출서"/>
      <sheetName val="주방환기"/>
      <sheetName val="공사내역"/>
      <sheetName val="도"/>
      <sheetName val="POL설치공정"/>
      <sheetName val="관급단가"/>
      <sheetName val="품셈기준"/>
      <sheetName val="4-3 보온 기본물량집계"/>
      <sheetName val="수량산출"/>
      <sheetName val="양천현"/>
      <sheetName val="JUCK"/>
      <sheetName val="일위목록"/>
      <sheetName val="DB"/>
      <sheetName val="총괄집계표"/>
      <sheetName val="내역"/>
      <sheetName val="전신환매도율"/>
      <sheetName val="MOTOR"/>
      <sheetName val="날개벽(시점좌측)"/>
      <sheetName val="JUCKEYK"/>
      <sheetName val="실행대비"/>
      <sheetName val="무시"/>
      <sheetName val="차선도색현황"/>
      <sheetName val="설계조건"/>
      <sheetName val="단면 (2)"/>
      <sheetName val="현대물량"/>
      <sheetName val="내역서1"/>
      <sheetName val="단가산출-기,교"/>
      <sheetName val="일위목록-기"/>
      <sheetName val="요율"/>
      <sheetName val="일위대가(가설)"/>
      <sheetName val="부서현황"/>
      <sheetName val="sw1"/>
      <sheetName val="NOMUBI"/>
      <sheetName val="A갑지"/>
      <sheetName val="좌측"/>
      <sheetName val="기성총"/>
      <sheetName val="계화배수"/>
      <sheetName val="양수장(기계)"/>
      <sheetName val="20관리비율"/>
      <sheetName val="기성금내역서"/>
      <sheetName val="1.설계조건"/>
      <sheetName val="간접재료비산출표-27-30"/>
      <sheetName val="전차선로 물량표"/>
      <sheetName val="하중"/>
      <sheetName val="2.대외공문"/>
      <sheetName val="BID"/>
      <sheetName val="Care"/>
      <sheetName val="OPT7"/>
      <sheetName val="SV7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PM"/>
      <sheetName val="대공종"/>
      <sheetName val="총괄표"/>
      <sheetName val="차액보증"/>
      <sheetName val="단가표"/>
      <sheetName val="Summary Sheets"/>
      <sheetName val="참조"/>
      <sheetName val="사전공사"/>
      <sheetName val="일위_파일"/>
      <sheetName val="6호기"/>
      <sheetName val="전기일위대가"/>
      <sheetName val="DATE"/>
      <sheetName val="기계내역"/>
      <sheetName val="처리단락"/>
      <sheetName val="교각1"/>
      <sheetName val="부표총괄"/>
      <sheetName val="포장직선구간"/>
      <sheetName val="별표집계"/>
      <sheetName val="산출"/>
      <sheetName val="김포IO"/>
      <sheetName val="FD"/>
      <sheetName val="약전닥트"/>
      <sheetName val="건축부하"/>
      <sheetName val="99관저"/>
      <sheetName val="일지-H"/>
      <sheetName val="LD"/>
      <sheetName val="FA설치명세"/>
      <sheetName val="조건표"/>
      <sheetName val="을"/>
      <sheetName val="J直材4"/>
      <sheetName val="견적대비 견적서"/>
      <sheetName val="관급"/>
      <sheetName val="노임"/>
      <sheetName val="중량산출"/>
      <sheetName val="노임조서"/>
      <sheetName val="표지"/>
      <sheetName val="정부노임단가"/>
      <sheetName val="실행예산서"/>
      <sheetName val="연결임시"/>
      <sheetName val="SPEC"/>
      <sheetName val="관급_File"/>
      <sheetName val="율촌법률사무소2내역"/>
      <sheetName val="#3E1_GCR"/>
      <sheetName val="환율"/>
      <sheetName val="수량이동"/>
      <sheetName val="단가조사서"/>
      <sheetName val="GEN"/>
      <sheetName val="공사비예산서(토목분)"/>
      <sheetName val="Oper Amount"/>
      <sheetName val="말뚝물량"/>
      <sheetName val="1안"/>
      <sheetName val="1007공사세부내역서"/>
      <sheetName val="1007전기내역서(리빙)"/>
      <sheetName val="컨텍리포트"/>
      <sheetName val="금액내역서"/>
      <sheetName val="발신정보"/>
      <sheetName val="대비"/>
      <sheetName val="기초대가"/>
      <sheetName val="토 적 표"/>
      <sheetName val="UNIT"/>
      <sheetName val="옥외"/>
      <sheetName val="가도공"/>
      <sheetName val="전화TV"/>
      <sheetName val="맨홀"/>
      <sheetName val="노무비"/>
      <sheetName val="cable-data"/>
      <sheetName val="발전계획"/>
      <sheetName val="P.M 별"/>
      <sheetName val="Sheet1 (2)"/>
      <sheetName val="삼성전기"/>
      <sheetName val="주식"/>
      <sheetName val="계산중"/>
      <sheetName val="횡배위치"/>
      <sheetName val="내역서(1)"/>
      <sheetName val="FB25JN"/>
      <sheetName val="Carepaq"/>
      <sheetName val="민속촌메뉴"/>
      <sheetName val="도급예산내역서봉투"/>
      <sheetName val="공사원가계산서"/>
      <sheetName val="기계경비(시간당)"/>
      <sheetName val="설계산출기초"/>
      <sheetName val="설계산출표지"/>
      <sheetName val="도급예산내역서총괄표"/>
      <sheetName val="램머"/>
      <sheetName val="단가조사"/>
      <sheetName val="Baby일위대가"/>
      <sheetName val="분전함신설"/>
      <sheetName val="단가산출"/>
      <sheetName val="자재단가"/>
      <sheetName val="을부담운반비"/>
      <sheetName val="운반비산출"/>
      <sheetName val="접지1종"/>
      <sheetName val="조명율표"/>
      <sheetName val="ITEM"/>
      <sheetName val="Macro(차단기)"/>
      <sheetName val="터널조도"/>
      <sheetName val="광혁기성"/>
      <sheetName val="환산"/>
      <sheetName val="인건-측정"/>
      <sheetName val="견적"/>
      <sheetName val="21301동"/>
      <sheetName val="작성기준"/>
      <sheetName val="일위"/>
      <sheetName val="EACT10"/>
      <sheetName val="COPING-1"/>
      <sheetName val="역T형교대-2수량"/>
      <sheetName val="교각계산"/>
      <sheetName val="공사개요"/>
      <sheetName val="매입세율"/>
      <sheetName val="설 계"/>
      <sheetName val="현장지지물물량"/>
      <sheetName val="기둥(하중)"/>
      <sheetName val="CABLE SIZE-1"/>
      <sheetName val="DATA1"/>
      <sheetName val="DATA2"/>
      <sheetName val="전선"/>
      <sheetName val="hvac(제어동)"/>
      <sheetName val="부서별비교표_1"/>
      <sheetName val="041125(분야별)"/>
      <sheetName val="041203(분야별))"/>
      <sheetName val="F5"/>
      <sheetName val="표지 (2)"/>
      <sheetName val="위치조서"/>
      <sheetName val="발전기"/>
      <sheetName val="Sheet13"/>
      <sheetName val="Sheet14"/>
      <sheetName val="INPUT"/>
      <sheetName val="PAN"/>
      <sheetName val="9GNG운반"/>
      <sheetName val="대로근거"/>
      <sheetName val="중로근거"/>
      <sheetName val="자재"/>
      <sheetName val="노무"/>
      <sheetName val="예비품"/>
      <sheetName val="설비"/>
      <sheetName val="ABUT수량-A1"/>
      <sheetName val="토사(PE)"/>
      <sheetName val="6.Base"/>
      <sheetName val="insulation"/>
      <sheetName val="969910( R)"/>
      <sheetName val="T1"/>
      <sheetName val="1.우편집중내역서"/>
      <sheetName val="PIPE"/>
      <sheetName val="FLANGE"/>
      <sheetName val="VALVE"/>
      <sheetName val="제2~7호표"/>
      <sheetName val="재료집계"/>
      <sheetName val="분석"/>
      <sheetName val="홈통받이수량"/>
      <sheetName val="98수문일위"/>
      <sheetName val="식재인부"/>
      <sheetName val="건축2"/>
      <sheetName val="선로정수계산"/>
      <sheetName val="CA지입"/>
      <sheetName val="Sheet17"/>
      <sheetName val="슬래브(유곡)"/>
      <sheetName val="노원열병합  건축공사기성내역서"/>
      <sheetName val="Macro1"/>
      <sheetName val="Macro2"/>
      <sheetName val="현장관리비"/>
      <sheetName val="낙찰표"/>
      <sheetName val="계측"/>
      <sheetName val="전체"/>
      <sheetName val="수입"/>
      <sheetName val="AP1"/>
      <sheetName val="인부임"/>
      <sheetName val="예산대비"/>
      <sheetName val="품목코드"/>
      <sheetName val="연습"/>
      <sheetName val="적용률"/>
      <sheetName val="OPT"/>
      <sheetName val="SV"/>
      <sheetName val="Sheet2"/>
      <sheetName val="982월원안"/>
      <sheetName val="보수공사일정표"/>
      <sheetName val="한전공사"/>
      <sheetName val="공사비내역서"/>
      <sheetName val="일위대가목록표"/>
      <sheetName val="일위대가표"/>
      <sheetName val="공량산출근거"/>
      <sheetName val="단가조사서 (2)"/>
      <sheetName val="Galaxy 소비자가격표"/>
      <sheetName val="샘플표지"/>
      <sheetName val="U-TYPE(1)"/>
      <sheetName val="원본(갑지)"/>
      <sheetName val="업무"/>
      <sheetName val="출력X"/>
      <sheetName val="YS_A"/>
      <sheetName val="대치판정"/>
      <sheetName val="당진1,2호기전선관설치및접지4차공사내역서-을지"/>
      <sheetName val="Macro(전선)"/>
      <sheetName val="UR2-Calculation"/>
      <sheetName val="정산내역"/>
      <sheetName val="아파트 "/>
      <sheetName val="수문일1"/>
      <sheetName val="Sheet6"/>
      <sheetName val="예산내역서"/>
      <sheetName val="설계예산서"/>
      <sheetName val="품셈TABLE"/>
      <sheetName val="목차"/>
      <sheetName val="포장절단"/>
      <sheetName val="보활"/>
      <sheetName val="프랜트면허"/>
      <sheetName val="합천내역"/>
      <sheetName val="단가산출1"/>
      <sheetName val="점수계산1-2"/>
      <sheetName val="노임단가(0.3)"/>
      <sheetName val="예정(3)"/>
      <sheetName val="BALIK201"/>
      <sheetName val="XL4Poppy"/>
      <sheetName val="일위대가목차"/>
      <sheetName val="유기공정"/>
      <sheetName val="버스운행안내"/>
      <sheetName val="예방접종계획"/>
      <sheetName val="근태계획서"/>
      <sheetName val="단가조사표"/>
      <sheetName val="뚝토공"/>
      <sheetName val="WORK"/>
      <sheetName val="토목주소"/>
      <sheetName val="부대공"/>
      <sheetName val="구조물공"/>
      <sheetName val="중기일위대가"/>
      <sheetName val="포장공"/>
      <sheetName val="토공"/>
      <sheetName val="배수공1"/>
      <sheetName val="법면"/>
      <sheetName val="DATA 입력란"/>
      <sheetName val="횡배수관토공수량"/>
      <sheetName val="부속동"/>
      <sheetName val="CABLE SIZE-3"/>
      <sheetName val="송중자재"/>
      <sheetName val="을지"/>
      <sheetName val="부안일위"/>
      <sheetName val="STORAGE"/>
      <sheetName val="취수탑"/>
      <sheetName val="방음벽기초"/>
      <sheetName val="2000년1차"/>
      <sheetName val="설계변경원가계산총괄표"/>
      <sheetName val="CIVIL4"/>
      <sheetName val="갑지(추정)"/>
      <sheetName val="BSD (2)"/>
      <sheetName val="서울산업대(토)"/>
      <sheetName val="일위대가-1"/>
      <sheetName val="배수공"/>
      <sheetName val="MEXICO-C"/>
      <sheetName val="PBS"/>
      <sheetName val="물량산출서"/>
      <sheetName val="BASIC (2)"/>
      <sheetName val="CABLE"/>
      <sheetName val="변압94"/>
      <sheetName val="Carepack"/>
      <sheetName val="CATV"/>
      <sheetName val="입찰견적보고서"/>
      <sheetName val="산출근거"/>
      <sheetName val="재집"/>
      <sheetName val="가로내역"/>
      <sheetName val="시행후면적"/>
      <sheetName val="수지예산"/>
      <sheetName val="LANGUAGE"/>
      <sheetName val="설치공사"/>
      <sheetName val="설계내역서"/>
      <sheetName val="실행철강하도"/>
      <sheetName val="물량표"/>
      <sheetName val="부하LOAD"/>
      <sheetName val="Lookup Table"/>
      <sheetName val="BBT RRP V45"/>
      <sheetName val="Annex"/>
      <sheetName val="Rental_RRP V45"/>
      <sheetName val="#3_일위대가목록"/>
      <sheetName val="단"/>
      <sheetName val="인건비 "/>
      <sheetName val="Sheet3"/>
      <sheetName val="품셈"/>
      <sheetName val="노임이"/>
      <sheetName val="검수고1-1층"/>
      <sheetName val="진주방향"/>
      <sheetName val="A-4"/>
      <sheetName val="danga"/>
      <sheetName val="자재집계표"/>
      <sheetName val="3BL공동구 수량"/>
      <sheetName val="토공(우물통,기타) "/>
      <sheetName val="조내역"/>
      <sheetName val="허용전류-IEC DATA"/>
      <sheetName val="MCC제원"/>
      <sheetName val="기초"/>
      <sheetName val="몰탈콘크리트"/>
      <sheetName val="철근집계"/>
      <sheetName val="단면적"/>
      <sheetName val="MCC"/>
      <sheetName val="방송일위대가"/>
      <sheetName val="토목-물가"/>
      <sheetName val="금액"/>
      <sheetName val="현장관리비집계표"/>
      <sheetName val="견적서"/>
      <sheetName val="동원(3)"/>
      <sheetName val="SG"/>
      <sheetName val="시멘트"/>
      <sheetName val="수량(건축)"/>
      <sheetName val="제품별 MC"/>
      <sheetName val="건축내역서"/>
      <sheetName val="소비자가"/>
      <sheetName val="1F"/>
      <sheetName val="시공계획공정"/>
      <sheetName val="각형맨홀"/>
      <sheetName val="100%"/>
      <sheetName val="산출근거목록"/>
      <sheetName val="일대목록"/>
      <sheetName val="교각별수량"/>
      <sheetName val="찍기"/>
      <sheetName val="한일양산"/>
      <sheetName val="단가대비표"/>
      <sheetName val="건설기계_목록(10)"/>
      <sheetName val="경비_원본"/>
      <sheetName val="VENT"/>
      <sheetName val="관로토공집계표"/>
      <sheetName val="전기일위목록"/>
      <sheetName val="type-F"/>
      <sheetName val="담장산출"/>
      <sheetName val="조명율"/>
      <sheetName val="일위대가(목록)"/>
      <sheetName val="재료비"/>
      <sheetName val="IW-LIST"/>
      <sheetName val="내역서(부대공사)"/>
      <sheetName val="SRC-B3U2"/>
      <sheetName val="choose"/>
      <sheetName val="터파기및재료"/>
      <sheetName val="전기공사 산출집계"/>
      <sheetName val="전기공사 산출"/>
      <sheetName val="개요입력"/>
      <sheetName val="수량기준"/>
      <sheetName val="단가기준"/>
      <sheetName val="인건비"/>
      <sheetName val="VV보온LINK"/>
      <sheetName val="FIT보온LINK"/>
      <sheetName val="FANDBS"/>
      <sheetName val="GRDATA"/>
      <sheetName val="SHAFTDBSE"/>
      <sheetName val="TRE TABLE"/>
      <sheetName val="시화점실행"/>
      <sheetName val="소요자재"/>
      <sheetName val="정산내역서"/>
      <sheetName val="C Model"/>
      <sheetName val="대극장-하부단가"/>
      <sheetName val="내역서(교량)전체"/>
      <sheetName val="10.25"/>
      <sheetName val="Macro(전기)"/>
      <sheetName val="일위산출"/>
      <sheetName val="통신물량"/>
      <sheetName val="영창26"/>
      <sheetName val="실행비교"/>
      <sheetName val="LinerWt"/>
      <sheetName val="산출내역서집계표"/>
      <sheetName val="가로등기초"/>
      <sheetName val="현금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일위대가1"/>
      <sheetName val="일위대가2"/>
      <sheetName val="감독차량비"/>
      <sheetName val="단가조사서"/>
      <sheetName val="노무단가 (할증제외)"/>
      <sheetName val="노무단가(15%할증) "/>
      <sheetName val="안영(지명표지판일위대가)"/>
      <sheetName val="공종별집계표"/>
      <sheetName val="외부산출서"/>
      <sheetName val="단가대비표"/>
      <sheetName val="노무비(참고)"/>
      <sheetName val="Y-WORK"/>
      <sheetName val="견적대비 견적서"/>
      <sheetName val="전기일위대가"/>
      <sheetName val="Sheet1"/>
      <sheetName val="FB25JN"/>
      <sheetName val="수로단위수량"/>
      <sheetName val="단"/>
      <sheetName val="1.우편집중내역서"/>
      <sheetName val="내역서"/>
      <sheetName val="hvac(제어동)"/>
      <sheetName val="인건-측정"/>
      <sheetName val="총괄"/>
      <sheetName val="일위대가"/>
      <sheetName val="DATA1"/>
      <sheetName val="자료"/>
      <sheetName val="2공구(안영)단가산출-1"/>
      <sheetName val="WORK"/>
      <sheetName val="Sheet3"/>
      <sheetName val="Sheet2"/>
      <sheetName val="2002상반기노임기준"/>
      <sheetName val="깨기"/>
      <sheetName val="ABUT수량-A1"/>
      <sheetName val="조건표"/>
      <sheetName val="계약내력"/>
      <sheetName val="ES조서출력하기"/>
      <sheetName val="계산서(곡선부)"/>
      <sheetName val="-치수표(곡선부)"/>
      <sheetName val="세부내역"/>
      <sheetName val="단면가정"/>
      <sheetName val="관기성공.내"/>
      <sheetName val="물가대비표"/>
      <sheetName val="데이타"/>
      <sheetName val="대로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회로"/>
      <sheetName val="9회로-1"/>
      <sheetName val="8회로 전기"/>
      <sheetName val="8회로-1"/>
      <sheetName val="7회로"/>
      <sheetName val="6회로"/>
      <sheetName val="6회로-1"/>
      <sheetName val="5회로"/>
      <sheetName val="3회로"/>
      <sheetName val="2회로"/>
      <sheetName val="조명3전기2"/>
      <sheetName val="7회로 15DIM 3RD"/>
      <sheetName val="35DIM 3D (2)"/>
      <sheetName val="18회로"/>
      <sheetName val="9회로 (2)"/>
      <sheetName val="10회로 조명"/>
      <sheetName val="7회로 조명"/>
      <sheetName val="조명3전기4 신형 (2)"/>
      <sheetName val="4회로"/>
      <sheetName val="조명3전기2 신형"/>
      <sheetName val="11CH50DIM6RD5"/>
      <sheetName val="14CH32DIM6RD5 (2)"/>
      <sheetName val="28회로"/>
      <sheetName val="8회로신형"/>
      <sheetName val="부산시사상구청"/>
      <sheetName val="18DIM5CH3D"/>
      <sheetName val="18DIM4CH3D (2)"/>
      <sheetName val="14DIM3DIR"/>
      <sheetName val="전기3회로dim8"/>
      <sheetName val="전기2회로dim9 (3)"/>
      <sheetName val="전기2회로dim8 (4)"/>
      <sheetName val="5CH8DIM3D"/>
      <sheetName val="5CH10DIM3D (2)"/>
      <sheetName val="18DIM6CH3D (2)"/>
      <sheetName val="총괄"/>
      <sheetName val="#REF"/>
      <sheetName val="일위(설)"/>
      <sheetName val="전기산출근거"/>
      <sheetName val="부하(성남)"/>
      <sheetName val="8회로 25DIM 4RD (2)"/>
      <sheetName val="9회로 22DIM 3D "/>
      <sheetName val="조명5전기1(2)"/>
      <sheetName val="6DIM12CH2D (3)"/>
      <sheetName val="부하계산서"/>
      <sheetName val="과천MAIN"/>
      <sheetName val="일위대가목록"/>
      <sheetName val="일위대가(계측기설치)"/>
      <sheetName val="9811"/>
      <sheetName val="내역서"/>
      <sheetName val="Sheet5"/>
      <sheetName val="LEGEND"/>
      <sheetName val="PROJECT BRIEF(EX.NEW)"/>
      <sheetName val="I一般比"/>
      <sheetName val="내역표지"/>
      <sheetName val="손익분석"/>
      <sheetName val="VXXXXXXX"/>
      <sheetName val="신우"/>
      <sheetName val="Y-WORK"/>
      <sheetName val="견적990322"/>
      <sheetName val="지급자재"/>
      <sheetName val="품목"/>
      <sheetName val="간선계산"/>
      <sheetName val="LOPCALC"/>
      <sheetName val="원가"/>
      <sheetName val="보온자재단가표"/>
      <sheetName val="TOTAL"/>
      <sheetName val="EQUIP-H"/>
      <sheetName val="BM"/>
      <sheetName val="수로교총재료집계"/>
      <sheetName val="__"/>
      <sheetName val="1. 통합배선설비"/>
      <sheetName val="별표 "/>
      <sheetName val="2F 회의실견적(5_14 일대)"/>
      <sheetName val="말뚝지지력산정"/>
      <sheetName val="집계"/>
      <sheetName val="기본일위"/>
      <sheetName val="내역서2안"/>
      <sheetName val="직노"/>
      <sheetName val="실행내역"/>
      <sheetName val=" HIT-&gt;HMC 견적(3900)"/>
      <sheetName val="일위대가"/>
      <sheetName val="guard(mac)"/>
      <sheetName val="공통(20-91)"/>
      <sheetName val="N賃率-職"/>
      <sheetName val="갑지"/>
      <sheetName val="집계표"/>
      <sheetName val="DATA"/>
      <sheetName val="데이타"/>
      <sheetName val="Sheet1"/>
      <sheetName val="청천내"/>
      <sheetName val="단가비교표"/>
      <sheetName val="물가시세"/>
      <sheetName val="노임단가"/>
      <sheetName val="설직재-1"/>
      <sheetName val="직재"/>
      <sheetName val="건축내역"/>
      <sheetName val="보할공정"/>
      <sheetName val="물가"/>
      <sheetName val="9509"/>
      <sheetName val="성곽내역서"/>
      <sheetName val="제직재"/>
      <sheetName val="제-노임"/>
      <sheetName val="견"/>
      <sheetName val="EQUIPMENT -2"/>
      <sheetName val="조명시설"/>
      <sheetName val="가설공사"/>
      <sheetName val="단가"/>
      <sheetName val="기준자료"/>
      <sheetName val="단중표"/>
      <sheetName val="IMPEADENCE MAP 취수장"/>
      <sheetName val="수량산출서"/>
      <sheetName val="양천현"/>
      <sheetName val="JUCK"/>
      <sheetName val="일위목록"/>
      <sheetName val="DB"/>
      <sheetName val="총괄집계표"/>
      <sheetName val="내역"/>
      <sheetName val="전신환매도율"/>
      <sheetName val="MOTOR"/>
      <sheetName val="날개벽(시점좌측)"/>
      <sheetName val="JUCKEYK"/>
      <sheetName val="실행대비"/>
      <sheetName val="무시"/>
      <sheetName val="차선도색현황"/>
      <sheetName val="설계조건"/>
      <sheetName val="입찰안"/>
      <sheetName val="단면 (2)"/>
      <sheetName val="현대물량"/>
      <sheetName val="내역서1"/>
      <sheetName val="단가산출-기,교"/>
      <sheetName val="일위목록-기"/>
      <sheetName val="요율"/>
      <sheetName val="일위대가(가설)"/>
      <sheetName val="수량산출"/>
      <sheetName val="부서현황"/>
      <sheetName val="20관리비율"/>
      <sheetName val="1.설계조건"/>
      <sheetName val="간접재료비산출표-27-30"/>
      <sheetName val="전차선로 물량표"/>
      <sheetName val="전기일위대가"/>
      <sheetName val="DATE"/>
      <sheetName val="기계내역"/>
      <sheetName val="기성총"/>
      <sheetName val="처리단락"/>
      <sheetName val="교각1"/>
      <sheetName val="부표총괄"/>
      <sheetName val="Summary Sheets"/>
      <sheetName val="총괄표"/>
      <sheetName val="하중"/>
      <sheetName val="포장직선구간"/>
      <sheetName val="별표집계"/>
      <sheetName val="산출"/>
      <sheetName val="김포IO"/>
      <sheetName val="FD"/>
      <sheetName val="약전닥트"/>
      <sheetName val="건축부하"/>
      <sheetName val="99관저"/>
      <sheetName val="일지-H"/>
      <sheetName val="LD"/>
      <sheetName val="FA설치명세"/>
      <sheetName val="조건표"/>
      <sheetName val="계화배수"/>
      <sheetName val="주방환기"/>
      <sheetName val="공사내역"/>
      <sheetName val="양수장(기계)"/>
      <sheetName val="2.대외공문"/>
      <sheetName val="BID"/>
      <sheetName val="Care"/>
      <sheetName val="OPT7"/>
      <sheetName val="SV7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PM"/>
      <sheetName val="sw1"/>
      <sheetName val="NOMUBI"/>
      <sheetName val="A갑지"/>
      <sheetName val="좌측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대-산출"/>
      <sheetName val="대-전기인건"/>
      <sheetName val="중-기계산출"/>
      <sheetName val="중-전기인건"/>
      <sheetName val="표준일위"/>
      <sheetName val="물가조사"/>
      <sheetName val="임률"/>
      <sheetName val="대가정리"/>
      <sheetName val="#REF"/>
      <sheetName val="표지"/>
      <sheetName val="원가계산서 "/>
      <sheetName val="집계표 (1)"/>
      <sheetName val="집계표(2)"/>
      <sheetName val="내역서(1차공사분)"/>
      <sheetName val="DATA"/>
      <sheetName val="Sheet1"/>
      <sheetName val="수량산출"/>
      <sheetName val="현장일보"/>
      <sheetName val="총괄표"/>
      <sheetName val="데이타"/>
      <sheetName val="자재단가비교표"/>
      <sheetName val="내역서"/>
      <sheetName val="포장복구집계"/>
      <sheetName val="INPUT"/>
      <sheetName val="ABUT수량-A1"/>
      <sheetName val="일위대가-1"/>
      <sheetName val="Front"/>
      <sheetName val="wall"/>
      <sheetName val="간접"/>
      <sheetName val="ETC"/>
      <sheetName val="견적율"/>
      <sheetName val="노임단가"/>
      <sheetName val="상수도토공집계표"/>
      <sheetName val="I一般比"/>
      <sheetName val="N賃率-職"/>
      <sheetName val="공사수행방안"/>
      <sheetName val="성남일위"/>
      <sheetName val="1.설계조건"/>
      <sheetName val="일위대가"/>
      <sheetName val="도배공사언고"/>
      <sheetName val="산출금액내역"/>
      <sheetName val="안정검토(온1)"/>
      <sheetName val="NEGO"/>
      <sheetName val="별표 "/>
      <sheetName val="POL6차-PIPING"/>
      <sheetName val="CTEMCOST"/>
      <sheetName val="설직재-1"/>
      <sheetName val="사급자재"/>
      <sheetName val="집수정"/>
      <sheetName val="반중력식옹벽3.5"/>
      <sheetName val="자재단가표"/>
      <sheetName val="건축내역"/>
      <sheetName val="암거단위-1련"/>
      <sheetName val="화산경계"/>
      <sheetName val="과천MAIN"/>
      <sheetName val="청천내"/>
      <sheetName val="내역서1999.8최종"/>
      <sheetName val="평균높이산출근거"/>
      <sheetName val="횡배수관위치조서"/>
      <sheetName val="Curves"/>
      <sheetName val="Tables"/>
      <sheetName val="인건비"/>
      <sheetName val="환율"/>
      <sheetName val="손익분석"/>
      <sheetName val="신우"/>
      <sheetName val="전차선로 물량표"/>
      <sheetName val="기준"/>
      <sheetName val="9811"/>
      <sheetName val="목표세부명세"/>
      <sheetName val="원하대비"/>
      <sheetName val="원도급"/>
      <sheetName val="하도급"/>
      <sheetName val="IMPEADENCE MAP 취수장"/>
      <sheetName val="현장관리비"/>
      <sheetName val="YES-T"/>
      <sheetName val="을"/>
      <sheetName val="Option"/>
      <sheetName val="SP-B1"/>
      <sheetName val="예비품"/>
      <sheetName val="J형측구단위수량"/>
      <sheetName val="FD"/>
      <sheetName val="LD"/>
      <sheetName val="GAEYO"/>
      <sheetName val="연동내역"/>
      <sheetName val="노무비"/>
      <sheetName val="횡배수관집현황(2공구)"/>
      <sheetName val="지우지마세요"/>
      <sheetName val="건축-물가변동"/>
      <sheetName val="일위_파일"/>
      <sheetName val="입찰안"/>
      <sheetName val="귀래 설계 공내역서"/>
      <sheetName val="소비자가"/>
      <sheetName val="식재가격"/>
      <sheetName val="식재총괄"/>
      <sheetName val="일위목록"/>
      <sheetName val="const."/>
      <sheetName val="일위대가(계측기설치)"/>
      <sheetName val="부안일위"/>
      <sheetName val="내역서-전체낙찰율"/>
      <sheetName val="날개벽"/>
      <sheetName val="암거단위"/>
      <sheetName val="전기일위대가"/>
      <sheetName val="인건-측정"/>
      <sheetName val="일위대가 (100%)"/>
      <sheetName val="수량산출서"/>
      <sheetName val="작성기준"/>
      <sheetName val="관급단가"/>
      <sheetName val="조명시설"/>
      <sheetName val="Total"/>
      <sheetName val="수목표준대가"/>
      <sheetName val="제수"/>
      <sheetName val="공기"/>
      <sheetName val="Sheet6"/>
      <sheetName val="FRP내역서"/>
      <sheetName val="연결임시"/>
      <sheetName val="집계표"/>
      <sheetName val="설비내역서"/>
      <sheetName val="건축내역서"/>
      <sheetName val="전기내역서"/>
      <sheetName val="단가대비표"/>
      <sheetName val="일위대가(가설)"/>
      <sheetName val="단가"/>
      <sheetName val="중갑지"/>
      <sheetName val="노임"/>
      <sheetName val="단가 "/>
      <sheetName val="내역"/>
      <sheetName val="플랜트 설치"/>
      <sheetName val="단가조사"/>
      <sheetName val="Sheet3"/>
      <sheetName val="실행철강하도"/>
      <sheetName val="COST"/>
      <sheetName val="갑지1"/>
      <sheetName val="직재"/>
      <sheetName val="실행대비"/>
      <sheetName val="차선도색현황"/>
      <sheetName val="전신환매도율"/>
      <sheetName val="A-4"/>
      <sheetName val="H-PILE수량집계"/>
      <sheetName val="표지 (2)"/>
      <sheetName val="평가내역"/>
      <sheetName val="SUN 2000. 10 가격"/>
      <sheetName val="7단가"/>
      <sheetName val="단위중량표"/>
      <sheetName val="한강운반비"/>
      <sheetName val="일위대가서식"/>
      <sheetName val="FB25JN"/>
      <sheetName val="일위"/>
      <sheetName val="예가표"/>
      <sheetName val="Sheet2"/>
      <sheetName val="공사원가계산서"/>
      <sheetName val="직노"/>
      <sheetName val="횡배수관토공수량"/>
      <sheetName val="입력"/>
      <sheetName val="토목"/>
      <sheetName val="기계설비-물가변동"/>
      <sheetName val="반중력식옹벽"/>
      <sheetName val="단가산출"/>
      <sheetName val="전기일위목록"/>
      <sheetName val="영1"/>
      <sheetName val="요율"/>
      <sheetName val="NEYOK"/>
      <sheetName val="금액"/>
      <sheetName val="원가계산서"/>
      <sheetName val="5.모델링"/>
      <sheetName val="2.단면가정"/>
      <sheetName val="설계명세서"/>
      <sheetName val="공사"/>
      <sheetName val="시행후면적"/>
      <sheetName val="빙장비사양"/>
      <sheetName val="장비사양"/>
      <sheetName val="노무비 "/>
      <sheetName val="기본DATA"/>
      <sheetName val="직접인건비"/>
      <sheetName val="갑지"/>
      <sheetName val="집계"/>
      <sheetName val="내역서-CCTV"/>
      <sheetName val="copy"/>
      <sheetName val="설계내역서"/>
      <sheetName val="노임이"/>
      <sheetName val="견"/>
      <sheetName val="노원열병합  건축공사기성내역서"/>
      <sheetName val="AV시스템"/>
      <sheetName val="구천"/>
      <sheetName val="공내역"/>
      <sheetName val="guard(mac)"/>
      <sheetName val="외주"/>
      <sheetName val="시중노임단가"/>
      <sheetName val="Sheet13"/>
      <sheetName val="발전기"/>
      <sheetName val="Sheet14"/>
      <sheetName val="Y-WORK"/>
      <sheetName val="변압기 및 발전기 용량"/>
      <sheetName val="가설공사내역"/>
      <sheetName val="401"/>
      <sheetName val="현장관리비집계표"/>
      <sheetName val="조건입력"/>
      <sheetName val="조건입력(2)"/>
      <sheetName val="장비선정"/>
      <sheetName val="냉천부속동"/>
      <sheetName val="P.M 별"/>
      <sheetName val="현대물량"/>
      <sheetName val="품셈TABLE"/>
      <sheetName val="일위(PN)"/>
      <sheetName val="WEIGHT LIST"/>
      <sheetName val="계산근거"/>
      <sheetName val="DATE"/>
      <sheetName val="노 무 비"/>
      <sheetName val="전기"/>
      <sheetName val="매립"/>
      <sheetName val="교통대책내역"/>
      <sheetName val="R&amp;D"/>
      <sheetName val="계약내력"/>
      <sheetName val="ES조서출력하기"/>
      <sheetName val="APT"/>
      <sheetName val="산출"/>
      <sheetName val="정렬"/>
      <sheetName val="Sheet4"/>
      <sheetName val="갑지(추정)"/>
      <sheetName val="자재단가"/>
      <sheetName val="경비"/>
      <sheetName val="공사개요"/>
      <sheetName val="코드표"/>
      <sheetName val="COVER"/>
      <sheetName val="횡배수관"/>
      <sheetName val="대비"/>
      <sheetName val="집수정(600-700)"/>
      <sheetName val="전계가"/>
      <sheetName val="건축공사 집계표"/>
      <sheetName val="골조"/>
      <sheetName val="용지매수"/>
      <sheetName val="BQ"/>
      <sheetName val="인건비 "/>
      <sheetName val="터파기및재료"/>
      <sheetName val="토목내역서"/>
      <sheetName val="교각계산"/>
      <sheetName val="일위대가표"/>
      <sheetName val="기존단가 (2)"/>
      <sheetName val="약품공급2"/>
      <sheetName val="약품설비"/>
      <sheetName val="총괄"/>
      <sheetName val="인수공"/>
      <sheetName val="단중표"/>
      <sheetName val="부하LOAD"/>
      <sheetName val="MCC제원"/>
      <sheetName val="b_balju_cho"/>
      <sheetName val="98수문일위"/>
      <sheetName val="여수토공사비"/>
      <sheetName val="본공사"/>
      <sheetName val="소방"/>
      <sheetName val="대치판정"/>
      <sheetName val="노임변동률"/>
      <sheetName val="송전기본"/>
      <sheetName val="공조기"/>
      <sheetName val="XXXXXX"/>
      <sheetName val="원가계산"/>
      <sheetName val="견적"/>
      <sheetName val="982월원안"/>
      <sheetName val="SCHEDULE"/>
      <sheetName val="2원료가나다."/>
      <sheetName val="SYS별 부하목록"/>
      <sheetName val="cable data"/>
      <sheetName val="일반부표"/>
      <sheetName val="MixBed"/>
      <sheetName val="CondPol"/>
      <sheetName val=" 냉각수펌프"/>
      <sheetName val="J直材4"/>
      <sheetName val="배수내역 (2)"/>
      <sheetName val="단가비교표"/>
      <sheetName val="단"/>
      <sheetName val="원효펌프교체020812"/>
      <sheetName val="신표지1"/>
      <sheetName val="제-노임"/>
      <sheetName val="미드수량"/>
      <sheetName val="별표집계"/>
      <sheetName val="단위단가"/>
      <sheetName val="합천내역"/>
      <sheetName val="변수"/>
      <sheetName val="dV&amp;Cl"/>
      <sheetName val="CAP"/>
      <sheetName val="R"/>
      <sheetName val="1단계"/>
      <sheetName val="__"/>
      <sheetName val="내역서1"/>
      <sheetName val="Working(wo WTs)"/>
      <sheetName val="철거산출근거"/>
      <sheetName val="장비부하"/>
      <sheetName val="노단"/>
      <sheetName val="부하"/>
      <sheetName val="경산"/>
      <sheetName val="홍보비디오"/>
      <sheetName val="내역서2안"/>
      <sheetName val="철근총괄집계표"/>
      <sheetName val="빗물받이(910-510-410)"/>
      <sheetName val="우수"/>
      <sheetName val="토사(PE)"/>
      <sheetName val="Sheet1 (2)"/>
      <sheetName val="2002상반기노임기준"/>
      <sheetName val="조경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포장공"/>
      <sheetName val="SLAB"/>
      <sheetName val="돈암사업"/>
      <sheetName val="TRE TABLE"/>
      <sheetName val="견적대비표"/>
      <sheetName val="BID"/>
      <sheetName val="인제내역"/>
      <sheetName val="일위목차"/>
      <sheetName val="예산서표지"/>
      <sheetName val="하부철근수량"/>
      <sheetName val="건축집계표"/>
      <sheetName val="토목집계표"/>
      <sheetName val="집계표(설비)"/>
      <sheetName val="SUMMARY"/>
      <sheetName val="PAINT"/>
      <sheetName val="내역서(기성청구)"/>
      <sheetName val="중기(목록)"/>
      <sheetName val="일위대가(목록)"/>
      <sheetName val="산근(목록)"/>
      <sheetName val="재료비"/>
      <sheetName val="공사비"/>
      <sheetName val="일위대가목록"/>
      <sheetName val="샘플표지"/>
      <sheetName val="P-J"/>
      <sheetName val="È£Ç¥"/>
      <sheetName val="부하계산서"/>
      <sheetName val="설계서(1)"/>
      <sheetName val="단가결정"/>
      <sheetName val="6호기"/>
      <sheetName val="SAM"/>
      <sheetName val="프랜트면허"/>
      <sheetName val="시화점실행"/>
      <sheetName val="원가"/>
      <sheetName val="수리결과"/>
      <sheetName val="전기 원가계산서"/>
      <sheetName val="제경비율"/>
      <sheetName val="단가표"/>
      <sheetName val="자료"/>
      <sheetName val="수량산출1"/>
      <sheetName val="입출재고현황 (2)"/>
      <sheetName val="CAT_5"/>
      <sheetName val="목창호"/>
      <sheetName val="실행내역"/>
      <sheetName val="설 계"/>
      <sheetName val="관급"/>
      <sheetName val="제경집계"/>
      <sheetName val="전통건설"/>
      <sheetName val="분석가정"/>
      <sheetName val="C1ㅇ"/>
      <sheetName val="중기사용료"/>
      <sheetName val="가로내역"/>
      <sheetName val="내역서(교량)전체"/>
      <sheetName val="기자재대비표"/>
      <sheetName val="4-7.중앙전기실(노임단가)"/>
      <sheetName val="견적대비 견적서"/>
      <sheetName val="설비"/>
      <sheetName val="건축공사"/>
      <sheetName val="역T형"/>
      <sheetName val="설계조건"/>
      <sheetName val="말뚝설계"/>
      <sheetName val="NAI"/>
      <sheetName val="도급"/>
      <sheetName val="제품정보"/>
      <sheetName val="서울1"/>
      <sheetName val="6동"/>
      <sheetName val="단가보완"/>
      <sheetName val="단위가격"/>
      <sheetName val="부대공"/>
      <sheetName val="토공"/>
      <sheetName val="버스운행안내"/>
      <sheetName val="근태계획서"/>
      <sheetName val="예방접종계획"/>
      <sheetName val="대로근거"/>
      <sheetName val="사  업  비  수  지  예  산  서"/>
      <sheetName val="아래"/>
      <sheetName val="도급갑지"/>
      <sheetName val="패널"/>
      <sheetName val="J01"/>
      <sheetName val="전기혼잡제경비(45)"/>
      <sheetName val="BSD (2)"/>
      <sheetName val="수량산출(1)"/>
      <sheetName val="A갑지"/>
      <sheetName val="음료실행"/>
      <sheetName val="맨홀조서"/>
      <sheetName val="eq_data"/>
      <sheetName val="차액보증"/>
      <sheetName val="공사비명세서"/>
      <sheetName val="개소별수량산출"/>
      <sheetName val="자재"/>
      <sheetName val="하남내역"/>
      <sheetName val="수토공단위당"/>
      <sheetName val="예총"/>
      <sheetName val="FACTOR"/>
      <sheetName val="9GNG운반"/>
      <sheetName val="BOQ건축"/>
      <sheetName val="비탈면보호공수량산출"/>
      <sheetName val="산_3_2"/>
      <sheetName val="산_3_1"/>
      <sheetName val="_REF"/>
      <sheetName val="산_3_2_2"/>
      <sheetName val="9.단가조사서"/>
      <sheetName val="6.일위목록"/>
      <sheetName val="수용가조서"/>
      <sheetName val="설계기준"/>
      <sheetName val="내역1"/>
      <sheetName val="깨기"/>
      <sheetName val="(관급)수량산출서"/>
      <sheetName val="(도급)수량산출서"/>
      <sheetName val="일위대가목록표"/>
      <sheetName val="제품목록"/>
      <sheetName val="측량요율"/>
      <sheetName val="예산명세서"/>
      <sheetName val="자료입력"/>
      <sheetName val="20관리비율"/>
      <sheetName val="choose"/>
      <sheetName val="조도계산"/>
      <sheetName val="재료"/>
      <sheetName val="설치자재"/>
      <sheetName val="목차"/>
      <sheetName val="제품"/>
      <sheetName val="견적계산"/>
      <sheetName val="재고현황"/>
      <sheetName val="Activity(new)"/>
      <sheetName val="Total(new)"/>
      <sheetName val="원가계산서_"/>
      <sheetName val="집계표_(1)"/>
      <sheetName val="별표_"/>
      <sheetName val="1_설계조건"/>
      <sheetName val="전차선로_물량표"/>
      <sheetName val="귀래_설계_공내역서"/>
      <sheetName val="품셈"/>
      <sheetName val="Data Base"/>
      <sheetName val="Linkage Quote"/>
      <sheetName val="Racking"/>
      <sheetName val="3CHBDC"/>
      <sheetName val="배수통관토공수량"/>
      <sheetName val="기계경비산출"/>
      <sheetName val="노무비 근거"/>
      <sheetName val="2. 공원조도(전통공원)"/>
      <sheetName val="조명율표"/>
      <sheetName val="EP0618"/>
      <sheetName val="기계상세"/>
      <sheetName val="하조서"/>
      <sheetName val="누계11"/>
      <sheetName val="을지"/>
      <sheetName val="4.Footing Design"/>
      <sheetName val="2.Load Calculation"/>
      <sheetName val="3.Check For Stability"/>
      <sheetName val="BLR-S"/>
      <sheetName val="COVER-P"/>
      <sheetName val="자 110% &amp; 노 70%"/>
      <sheetName val="배선DATA"/>
      <sheetName val="변경비교-을"/>
      <sheetName val="1안"/>
      <sheetName val="9."/>
      <sheetName val="소일위대가코드표"/>
      <sheetName val="2.대외공문"/>
      <sheetName val="대,유,램"/>
      <sheetName val="DAN"/>
      <sheetName val="대총괄표"/>
      <sheetName val="인상효1"/>
      <sheetName val="XZLC004_PART2"/>
      <sheetName val="inputarea_ref"/>
      <sheetName val="횡배수관집현황_2공구_"/>
      <sheetName val="정공공사"/>
      <sheetName val="제직재"/>
      <sheetName val="9509"/>
      <sheetName val="배수설비"/>
      <sheetName val="철거단가"/>
      <sheetName val="10.25"/>
      <sheetName val="말뚝지지력산정"/>
      <sheetName val="처리단락"/>
      <sheetName val="6PILE  (돌출)"/>
      <sheetName val="서식"/>
      <sheetName val="96노임기준"/>
      <sheetName val="hvac(제어동)"/>
      <sheetName val="입력값"/>
      <sheetName val="연습"/>
      <sheetName val="건축"/>
      <sheetName val="전체"/>
      <sheetName val="JUCKEYK"/>
      <sheetName val="가로등기초"/>
      <sheetName val="2-1. 경관조명 내역총괄표"/>
      <sheetName val="3BL공동구 수량"/>
      <sheetName val="안정검토"/>
      <sheetName val="일위대가(당초)"/>
      <sheetName val="EQ_R1"/>
      <sheetName val="중로근거"/>
      <sheetName val="교각토공"/>
      <sheetName val="가압장(토목)"/>
      <sheetName val="2회내역"/>
      <sheetName val="일위대가(4층원격)"/>
      <sheetName val="간지"/>
      <sheetName val="기계관급기자재비"/>
      <sheetName val="건축관급공사비"/>
      <sheetName val="토목관급공사비"/>
      <sheetName val="2000년1차"/>
      <sheetName val="TABLE"/>
      <sheetName val="기초단가"/>
      <sheetName val="1월"/>
      <sheetName val="수리보고서비"/>
      <sheetName val="4)유동표"/>
      <sheetName val="산출내역서집계표"/>
      <sheetName val="가설개략"/>
      <sheetName val="증감대비"/>
      <sheetName val="49일위"/>
      <sheetName val="사용성검토"/>
      <sheetName val="전체도급"/>
      <sheetName val="수량산출기초(케블등)"/>
      <sheetName val="DATA 입력란"/>
    </sheetNames>
    <definedNames>
      <definedName name="Macro10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전선관"/>
      <sheetName val="DATA"/>
      <sheetName val="수로단위수량"/>
      <sheetName val="일위대가(가설)"/>
      <sheetName val="교각계산"/>
      <sheetName val="FB25JN"/>
      <sheetName val="구리역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-1"/>
      <sheetName val="조견표-1"/>
      <sheetName val="중기사용료및 운전경비"/>
      <sheetName val="기계경비"/>
      <sheetName val="중기사용료및운전경비"/>
      <sheetName val="입출재고현황 (2)"/>
      <sheetName val="Sheet3"/>
      <sheetName val="Sheet1"/>
      <sheetName val="Sheet2"/>
      <sheetName val="FB25JN"/>
      <sheetName val="DATA"/>
      <sheetName val="건축IL-1"/>
      <sheetName val="계약용량(서포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-2"/>
      <sheetName val="조견표-2"/>
      <sheetName val="기계경비"/>
      <sheetName val="일위대가-1"/>
      <sheetName val="Sheet3"/>
      <sheetName val="Sheet1"/>
      <sheetName val="Sheet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표지"/>
      <sheetName val="총괄"/>
      <sheetName val="무늬목"/>
      <sheetName val="어프로치"/>
      <sheetName val="걸레받이"/>
      <sheetName val="페브릭"/>
      <sheetName val="디자인칸막이"/>
      <sheetName val="엑티브"/>
      <sheetName val="강화도어"/>
      <sheetName val="수성페인트"/>
      <sheetName val="롤스크린"/>
      <sheetName val="할로겐"/>
      <sheetName val="등"/>
      <sheetName val="스카시"/>
      <sheetName val="산출조서"/>
      <sheetName val="IMPEADENCE MAP 취수장"/>
      <sheetName val="일위대가-2"/>
      <sheetName val="일위대가-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B25JN"/>
      <sheetName val="UF25JN"/>
      <sheetName val="DM1T"/>
      <sheetName val="DP2T"/>
      <sheetName val="방음시창"/>
      <sheetName val="방음문"/>
      <sheetName val="ST'L 리브"/>
      <sheetName val="흡음루바"/>
      <sheetName val="FB25JCN "/>
      <sheetName val="FB50JCN"/>
      <sheetName val="FB25CN"/>
      <sheetName val="GC25JN"/>
      <sheetName val="GC50JN"/>
      <sheetName val="ACCESS FL."/>
      <sheetName val="ACCESS FL. (2)"/>
      <sheetName val="TECTUM"/>
      <sheetName val="TEC+FAB마감"/>
      <sheetName val="GC50JN (2)"/>
      <sheetName val="IMPEADENCE MAP 취수장"/>
      <sheetName val="일위대가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 계산서"/>
      <sheetName val="DATA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부하 계산서 (2)"/>
      <sheetName val="Sheet11"/>
      <sheetName val="Sheet12"/>
      <sheetName val="Sheet13"/>
      <sheetName val="Sheet14"/>
      <sheetName val="Sheet15"/>
      <sheetName val="Sheet16"/>
      <sheetName val="LOPCALC"/>
      <sheetName val="내역서"/>
      <sheetName val="입찰안"/>
      <sheetName val="IMPEADENCE MAP 취수장"/>
      <sheetName val="FB25JN"/>
      <sheetName val="제수"/>
      <sheetName val="공기"/>
      <sheetName val="19상가"/>
      <sheetName val="환율"/>
      <sheetName val="XZLC004_PART2"/>
      <sheetName val="LEGEND"/>
      <sheetName val="PARAMETER"/>
      <sheetName val="일위대가(계측기설치)"/>
      <sheetName val="교각계산"/>
      <sheetName val="직노"/>
      <sheetName val="TABLE"/>
      <sheetName val="원가"/>
      <sheetName val="BOX형 교대"/>
      <sheetName val="조도계산서 (도서)"/>
      <sheetName val="대조표(0108)"/>
      <sheetName val="처리단락"/>
      <sheetName val="원가계산서"/>
      <sheetName val="입출재고현황 (2)"/>
      <sheetName val="GAEYO"/>
      <sheetName val="I一般比"/>
      <sheetName val="LOAD"/>
      <sheetName val="상수도토공집계표"/>
      <sheetName val="내역"/>
      <sheetName val="증감대비"/>
      <sheetName val="별표집계"/>
      <sheetName val="LD"/>
      <sheetName val="약전닥트"/>
      <sheetName val="건축부하"/>
      <sheetName val="일지-H"/>
      <sheetName val="FA설치명세"/>
      <sheetName val="#REF"/>
      <sheetName val="김포IO"/>
      <sheetName val="위치조서"/>
      <sheetName val="98수문일위"/>
      <sheetName val="분석가정"/>
      <sheetName val="평가내역"/>
      <sheetName val="Curves"/>
      <sheetName val="Tables"/>
      <sheetName val="양수장(기계)"/>
      <sheetName val="기본DATA"/>
      <sheetName val="설계개요"/>
      <sheetName val="갑지(추정)"/>
      <sheetName val="계산중"/>
      <sheetName val="횡배위치"/>
      <sheetName val="ABUT수량-A1"/>
      <sheetName val="예비품"/>
      <sheetName val="시중노임단가"/>
      <sheetName val="공통(20-91)"/>
      <sheetName val="전차선로 물량표"/>
      <sheetName val="한강운반비"/>
      <sheetName val="노임"/>
      <sheetName val="자재"/>
      <sheetName val="MOTOR"/>
      <sheetName val="일위대가목록"/>
      <sheetName val="박병권"/>
      <sheetName val="단가대비표"/>
      <sheetName val="피벗테이블데이터분석"/>
      <sheetName val="평균높이산출근거"/>
      <sheetName val="횡배수관위치조서"/>
      <sheetName val="일위대가-1"/>
      <sheetName val="설계조건"/>
      <sheetName val="품셈"/>
    </sheetNames>
    <sheetDataSet>
      <sheetData sheetId="0">
        <row r="4">
          <cell r="B4">
            <v>1E-3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`"/>
      <sheetName val="가설공사비"/>
      <sheetName val="소총괄표"/>
      <sheetName val="1회기성"/>
      <sheetName val="설변총괄표"/>
      <sheetName val="FB25JN"/>
      <sheetName val="산출내역서집계표"/>
      <sheetName val="BID"/>
      <sheetName val="물량집계"/>
      <sheetName val="48전력선로일위"/>
      <sheetName val="통신1기성"/>
      <sheetName val="일위대가"/>
      <sheetName val="일위_파일"/>
      <sheetName val="내역"/>
      <sheetName val="조건"/>
      <sheetName val="아파트 "/>
      <sheetName val="3.공통공사대비"/>
      <sheetName val="손익"/>
      <sheetName val="단가"/>
      <sheetName val="개소별수량산출"/>
      <sheetName val="구리토평1전기"/>
      <sheetName val="Sheet5"/>
      <sheetName val="BSD (2)"/>
      <sheetName val="내역서"/>
      <sheetName val="날개수량1.5"/>
      <sheetName val="위치조서"/>
      <sheetName val="단가표 (2)"/>
      <sheetName val="MCC제원"/>
      <sheetName val="DATA"/>
      <sheetName val="일반부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TEM"/>
      <sheetName val="단가조사서"/>
      <sheetName val="- INFORMATION -"/>
      <sheetName val="재경비"/>
      <sheetName val="기타공사비"/>
      <sheetName val="공사비 (2)"/>
      <sheetName val="공량산출 (전등)"/>
      <sheetName val="공사비"/>
      <sheetName val="공량산출(가로등)"/>
      <sheetName val="단가"/>
      <sheetName val="일위대가집계표(사급)"/>
      <sheetName val="일위대가(사급)"/>
      <sheetName val="공량산출 (수변전)"/>
      <sheetName val="공량산출 (약전)"/>
      <sheetName val="공량산출 (소방)"/>
      <sheetName val="일위대가서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학교별사업"/>
      <sheetName val="Y-WORK"/>
      <sheetName val="일위대가서식"/>
      <sheetName val="내역서"/>
      <sheetName val="FB25J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YES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특별교실"/>
      <sheetName val="기숙사"/>
      <sheetName val="화장실"/>
      <sheetName val="총집계-1"/>
      <sheetName val="총집계-2"/>
      <sheetName val="원가-1"/>
      <sheetName val="원가-2"/>
      <sheetName val="기안"/>
      <sheetName val="갑지"/>
      <sheetName val="견적서"/>
      <sheetName val="내역서"/>
      <sheetName val="4월 실적추정(건축+토목)"/>
      <sheetName val="4월 실적추정(건축)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을지"/>
      <sheetName val="보차도경계석"/>
      <sheetName val="부하계산서"/>
      <sheetName val="표지 (2)"/>
      <sheetName val="Macro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견적조건"/>
      <sheetName val="견적조건(을지)"/>
      <sheetName val="JUCK"/>
      <sheetName val="간선계산"/>
      <sheetName val="N賃率-職"/>
      <sheetName val="98지급계획"/>
      <sheetName val="남양시작동자105노65기1.3화1.2"/>
      <sheetName val="일반공사"/>
      <sheetName val="제-노임"/>
      <sheetName val="제직재"/>
      <sheetName val="노무비"/>
      <sheetName val="일위대가"/>
      <sheetName val="을"/>
      <sheetName val="FILE1"/>
      <sheetName val="인건비"/>
      <sheetName val="일위대가목차"/>
      <sheetName val="Baby일위대가"/>
      <sheetName val="직노"/>
      <sheetName val="단가산출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매립"/>
      <sheetName val="대구실행"/>
      <sheetName val="AIR SHOWER(3인용)"/>
      <sheetName val="부대공Ⅱ"/>
      <sheetName val="설계내역서"/>
      <sheetName val="입찰안"/>
      <sheetName val="ITEM"/>
      <sheetName val="0.집계"/>
      <sheetName val="1.수변전설비공사"/>
      <sheetName val="I一般比"/>
      <sheetName val="기초단가"/>
      <sheetName val="실행내역"/>
      <sheetName val="DATA"/>
      <sheetName val="200"/>
      <sheetName val="본공사"/>
      <sheetName val="자재단가"/>
      <sheetName val="신우"/>
      <sheetName val="대비"/>
      <sheetName val="내역"/>
      <sheetName val="재집"/>
      <sheetName val="직재"/>
      <sheetName val="입찰보고"/>
      <sheetName val="MOTOR"/>
      <sheetName val="조도계산서 (도서)"/>
      <sheetName val="unit 4"/>
      <sheetName val="49-119"/>
      <sheetName val="48전력선로일위"/>
      <sheetName val="아산추가1220"/>
      <sheetName val="당초"/>
      <sheetName val="3-1.CB"/>
      <sheetName val="부대내역"/>
      <sheetName val="준검 내역서"/>
      <sheetName val="빌딩 안내"/>
      <sheetName val="발신정보"/>
      <sheetName val="2F 회의실견적(5_14 일대)"/>
      <sheetName val="부하(성남)"/>
      <sheetName val="연부97-1"/>
      <sheetName val="갑지1"/>
      <sheetName val="J直材4"/>
      <sheetName val="공사원가계산서)"/>
      <sheetName val="내역집계표"/>
      <sheetName val="전기내역"/>
      <sheetName val="산출근거"/>
      <sheetName val="대가집계표"/>
      <sheetName val="대가전기"/>
      <sheetName val="자료"/>
      <sheetName val="집계표(관급)"/>
      <sheetName val="전기내역관급"/>
      <sheetName val="대치판정"/>
      <sheetName val="연습"/>
      <sheetName val="손익분석"/>
      <sheetName val="말뚝지지력산정"/>
      <sheetName val="일위대가(가설)"/>
      <sheetName val="CTEMCOST"/>
      <sheetName val="수량"/>
      <sheetName val="구역화물"/>
      <sheetName val="단가일람"/>
      <sheetName val="포장공"/>
      <sheetName val="ITB COST"/>
      <sheetName val="금리계산"/>
      <sheetName val="원가계산서"/>
      <sheetName val="XL4Poppy"/>
      <sheetName val="전선 및 전선관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내역(설계)"/>
      <sheetName val="STORAGE"/>
      <sheetName val="Y-WORK"/>
      <sheetName val="BID"/>
      <sheetName val="현장관리비집계표"/>
      <sheetName val="점수계산1-2"/>
      <sheetName val="설계예산서"/>
      <sheetName val="수량집계"/>
      <sheetName val="토목"/>
      <sheetName val="가로등내역서"/>
      <sheetName val="수량산출서"/>
      <sheetName val="2000.11월설계내역"/>
      <sheetName val="#REF"/>
      <sheetName val="터파기및재료"/>
      <sheetName val="집계표"/>
      <sheetName val="단가"/>
      <sheetName val="총괄표"/>
      <sheetName val="실행철강하도"/>
      <sheetName val="내역서2안"/>
      <sheetName val="조명율표"/>
      <sheetName val="소야공정계획표"/>
      <sheetName val="부대공사비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본선차로수량집계표"/>
      <sheetName val="수주현황2월"/>
      <sheetName val="단면 (2)"/>
      <sheetName val="토공유동표"/>
      <sheetName val="교각계산"/>
      <sheetName val="내역서(전기)"/>
      <sheetName val="노임"/>
      <sheetName val="96보완계획7.12"/>
      <sheetName val="DANGA"/>
      <sheetName val="Macro(전선)"/>
      <sheetName val="재료"/>
      <sheetName val="식생블럭단위수량"/>
      <sheetName val="MAIN_TABLE"/>
      <sheetName val="1.설계조건"/>
      <sheetName val="LOPCALC"/>
      <sheetName val="가로등부표"/>
      <sheetName val="제경비율"/>
      <sheetName val="지주목시비량산출서"/>
      <sheetName val="단가조사"/>
      <sheetName val="목차"/>
      <sheetName val="철거산출근거"/>
      <sheetName val="설직재-1"/>
      <sheetName val="토공"/>
      <sheetName val="노원열병합  건축공사기성내역서"/>
      <sheetName val="공종별내역서"/>
      <sheetName val="검사원"/>
      <sheetName val="원가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98NS-N"/>
      <sheetName val="TOT"/>
      <sheetName val="정부노임단가"/>
      <sheetName val="토량산출서"/>
      <sheetName val="1.수인터널"/>
      <sheetName val="SG"/>
      <sheetName val="일위대가서식"/>
      <sheetName val="일위대가양식"/>
      <sheetName val="위치조서"/>
      <sheetName val="노무비단가"/>
      <sheetName val="실행내역서"/>
      <sheetName val="INPUT"/>
      <sheetName val="적용공정"/>
      <sheetName val="L_RPTB02_01"/>
      <sheetName val="우배수"/>
      <sheetName val="맨홀"/>
      <sheetName val="금호"/>
      <sheetName val="1차설계변경내역"/>
      <sheetName val="Sheet17"/>
      <sheetName val="자료입력"/>
      <sheetName val="예산명세서"/>
      <sheetName val="Macro2"/>
      <sheetName val="가설건물"/>
      <sheetName val="BQ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산출내역서집계표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Summary Sheets"/>
      <sheetName val="요율"/>
      <sheetName val="일위목록-기"/>
      <sheetName val="Module11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90.03실행 "/>
      <sheetName val="001"/>
      <sheetName val="총계"/>
      <sheetName val="지급자재"/>
      <sheetName val="99총공사내역서"/>
      <sheetName val="설비"/>
      <sheetName val="데이타"/>
      <sheetName val="율촌법률사무소2내역"/>
      <sheetName val="단가 및 재료비"/>
      <sheetName val="수량산출"/>
      <sheetName val="봉양~조차장간고하개명(신설)"/>
      <sheetName val="주상도"/>
      <sheetName val="6호기"/>
      <sheetName val="하조서"/>
      <sheetName val="보증수수료산출"/>
      <sheetName val="기계경비"/>
      <sheetName val="가로등"/>
      <sheetName val="공사비예산서(토목분)"/>
      <sheetName val="수목데이타 "/>
      <sheetName val="변압기 및 발전기 용량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예산변경사항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수입"/>
      <sheetName val="조건표"/>
      <sheetName val="JJ"/>
      <sheetName val="설계"/>
      <sheetName val="설 계"/>
      <sheetName val="ASP포장"/>
      <sheetName val="3BL공동구 수량"/>
      <sheetName val="일위대가표"/>
      <sheetName val="단가산출서(기계)"/>
      <sheetName val="에너지동"/>
      <sheetName val="Total"/>
      <sheetName val="코드표"/>
      <sheetName val="Sheet1 (2)"/>
      <sheetName val="BID-도로"/>
      <sheetName val="내력서"/>
      <sheetName val="조명시설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자재대"/>
      <sheetName val="소요자재"/>
      <sheetName val="노무산출서"/>
      <sheetName val="ETC"/>
      <sheetName val="우수맨홀공제단위수량"/>
      <sheetName val="스톱로그내역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돌망태단위수량"/>
      <sheetName val="전기일위대가"/>
      <sheetName val="단면(RW1)"/>
      <sheetName val="시설물일위"/>
      <sheetName val="WORK"/>
      <sheetName val="비교표"/>
      <sheetName val="소비자가"/>
      <sheetName val="ilch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터널조도"/>
      <sheetName val="주형"/>
      <sheetName val="3차설계"/>
      <sheetName val="현황CODE"/>
      <sheetName val="손익현황"/>
      <sheetName val="기둥(원형)"/>
      <sheetName val="ABUT수량-A1"/>
      <sheetName val="밸브설치"/>
      <sheetName val="3.바닥판설계"/>
      <sheetName val="3.공통공사대비"/>
      <sheetName val="지진시"/>
      <sheetName val="6PILE  (돌출)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사전공사"/>
      <sheetName val="적상기초자료"/>
      <sheetName val="건축공사"/>
      <sheetName val="철거집계"/>
      <sheetName val="계수시트"/>
      <sheetName val="인건-측정"/>
      <sheetName val="가시설흙막이"/>
      <sheetName val="12월31일"/>
      <sheetName val="전차선로 물량표"/>
      <sheetName val="중기일위대가"/>
      <sheetName val="BOQ"/>
      <sheetName val="본부소개"/>
      <sheetName val="주사무실종합"/>
      <sheetName val="설비내역서"/>
      <sheetName val="건축내역서"/>
      <sheetName val="전기내역서"/>
      <sheetName val="기초자료"/>
      <sheetName val="여과지동"/>
      <sheetName val="내역표지"/>
      <sheetName val="L_RPTA05_목록"/>
      <sheetName val="연결임시"/>
      <sheetName val="계산식"/>
      <sheetName val="가도공"/>
      <sheetName val="DATE"/>
      <sheetName val="한강운반비"/>
      <sheetName val="자재"/>
      <sheetName val="공통(20-91)"/>
      <sheetName val="설계명세서"/>
      <sheetName val="말뚝물량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경상직원"/>
      <sheetName val="유첨#2"/>
      <sheetName val="펌프장수량산출(토)"/>
      <sheetName val="고등학교"/>
      <sheetName val="내역서(토목)"/>
      <sheetName val="개요"/>
      <sheetName val="인사자료총집계"/>
      <sheetName val="물가시세"/>
      <sheetName val="보할공정"/>
      <sheetName val="보합"/>
      <sheetName val="램머"/>
      <sheetName val="단"/>
      <sheetName val="단위단가"/>
      <sheetName val="현관"/>
      <sheetName val="암거날개벽재료집계"/>
      <sheetName val="기자재비"/>
      <sheetName val="현장관리비내역서"/>
      <sheetName val="포장복구집계"/>
      <sheetName val="BJJIN"/>
      <sheetName val="저"/>
      <sheetName val="별표"/>
      <sheetName val="간접비"/>
      <sheetName val="3련 BOX"/>
      <sheetName val="토목주소"/>
      <sheetName val="프랜트면허"/>
      <sheetName val="점검총괄"/>
      <sheetName val="CABLE SIZE-3"/>
      <sheetName val="공구원가계산"/>
      <sheetName val="1차증가원가계산"/>
      <sheetName val="경산"/>
      <sheetName val="SLAB&quot;1&quot;"/>
      <sheetName val="품셈"/>
      <sheetName val="총괄내역서"/>
      <sheetName val="입찰결과(DATA)"/>
      <sheetName val="일위대가표(유단가)"/>
      <sheetName val="기계경비시간당손료목록"/>
      <sheetName val="동력부하(도산)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EQUIP-H"/>
      <sheetName val="경비_원본"/>
      <sheetName val="AS포장복구 "/>
      <sheetName val="기계경비(시간당)"/>
      <sheetName val=" 상부공통집계(총괄)"/>
      <sheetName val="간접1"/>
      <sheetName val="2000전체분"/>
      <sheetName val="일반수량"/>
      <sheetName val="VA_code"/>
      <sheetName val="20관리비율"/>
      <sheetName val="공종별원가계산"/>
      <sheetName val="말고개터널조명전압강하"/>
      <sheetName val="물가자료"/>
      <sheetName val="품의서"/>
      <sheetName val="전신환매도율"/>
      <sheetName val="EACT10"/>
      <sheetName val="방음벽기초(H=4m)"/>
      <sheetName val="가감수량"/>
      <sheetName val="맨홀수량산출"/>
      <sheetName val="외주"/>
      <sheetName val="구조물철거타공정이월"/>
      <sheetName val="Macro(차단기)"/>
      <sheetName val="상수도토공집계표"/>
      <sheetName val="자재목록"/>
      <sheetName val="연결관산출조서"/>
      <sheetName val="통장출금액"/>
      <sheetName val="부속동"/>
      <sheetName val="예산갑지"/>
      <sheetName val="조경일람"/>
      <sheetName val="일위대가목록"/>
      <sheetName val="고분전시관"/>
      <sheetName val="데리네이타현황"/>
      <sheetName val="경비2내역"/>
      <sheetName val="일위대가표 (2)"/>
      <sheetName val="REACTION(USD지진시)"/>
      <sheetName val="안정검토"/>
      <sheetName val="REACTION(USE평시)"/>
      <sheetName val="DATA1"/>
      <sheetName val="단가대비표"/>
      <sheetName val="Testing"/>
      <sheetName val="계화배수"/>
      <sheetName val="방음벽 기초 일반수량"/>
      <sheetName val="I.설계조건"/>
      <sheetName val="단면가정"/>
      <sheetName val="부재력정리"/>
      <sheetName val="BLOCK(1)"/>
      <sheetName val="단면치수"/>
      <sheetName val="NEYOK"/>
      <sheetName val="토목내역"/>
      <sheetName val="참조-(1)"/>
      <sheetName val="금액내역서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CA지입"/>
      <sheetName val="U-TYPE(1)"/>
      <sheetName val="전선"/>
      <sheetName val="CABLE"/>
      <sheetName val="교통대책내역"/>
      <sheetName val="BOQ(전체)"/>
      <sheetName val="1공구(을)"/>
      <sheetName val="대공종"/>
      <sheetName val="차종별"/>
      <sheetName val="구동"/>
      <sheetName val="3.내역서"/>
      <sheetName val="PIPE"/>
      <sheetName val="VALVE"/>
      <sheetName val="변경내역을"/>
      <sheetName val="C3"/>
      <sheetName val="합천내역"/>
      <sheetName val="노무비산출"/>
      <sheetName val="기초코드"/>
      <sheetName val="화재 탐지 설비"/>
      <sheetName val="전기2005"/>
      <sheetName val="통신2005"/>
      <sheetName val=" 견적서"/>
      <sheetName val="집수정(600-700)"/>
      <sheetName val="총괄집계표"/>
      <sheetName val="고창터널(고창방향)"/>
      <sheetName val="플랜트 설치"/>
      <sheetName val="총수량집계표"/>
      <sheetName val="기계경비일람"/>
      <sheetName val="견적"/>
      <sheetName val="내역서(전체)"/>
      <sheetName val="96정변2"/>
      <sheetName val="대림산업"/>
      <sheetName val="전기"/>
      <sheetName val="guard(mac)"/>
      <sheetName val="단가조사서"/>
      <sheetName val="적용(기계)"/>
      <sheetName val="Mc1"/>
      <sheetName val="2000,9월 일위"/>
      <sheetName val="평균높이산출근거"/>
      <sheetName val="횡배수관위치조서"/>
      <sheetName val="세동별비상"/>
      <sheetName val="TABLE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접지수량"/>
      <sheetName val="단  가  대  비  표"/>
      <sheetName val="일  위  대  가  목  록"/>
      <sheetName val="역T형교대(말뚝기초)"/>
      <sheetName val="대외공문"/>
      <sheetName val="건축내역"/>
      <sheetName val="간접"/>
      <sheetName val="유동표(변경)"/>
      <sheetName val="대림경상68억"/>
      <sheetName val="MBR9"/>
      <sheetName val="EQUIPMENT -2"/>
      <sheetName val="1._x0018_변전설비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FOOTING단면력"/>
      <sheetName val="Man Power &amp; Comp"/>
      <sheetName val="증감대비"/>
      <sheetName val="22단가(철거)"/>
      <sheetName val="49단가"/>
      <sheetName val="49단가(철거)"/>
      <sheetName val="22단가"/>
      <sheetName val="과천MAIN"/>
      <sheetName val="노무비 근거"/>
      <sheetName val="효성CB 1P기초"/>
      <sheetName val="EQ-R1"/>
      <sheetName val="품목"/>
      <sheetName val="2006기계경비산출표"/>
      <sheetName val="일용노임단가"/>
      <sheetName val="전체"/>
      <sheetName val="ELECTRIC"/>
      <sheetName val="SCHEDULE"/>
      <sheetName val="const."/>
      <sheetName val="다이꾸"/>
      <sheetName val="2000년 공정표"/>
      <sheetName val="교각별철근수량집계표"/>
      <sheetName val="단위수량"/>
      <sheetName val="맨홀토공수량"/>
      <sheetName val="1공구 건정토건 토공"/>
      <sheetName val=" 총괄표"/>
      <sheetName val="공비대비"/>
      <sheetName val="FB25JN"/>
      <sheetName val="물량산출근거"/>
      <sheetName val="CONCRETE"/>
      <sheetName val="설산1.나"/>
      <sheetName val="본사S"/>
      <sheetName val="전압강하계산"/>
      <sheetName val="D-3503"/>
      <sheetName val="조건"/>
      <sheetName val="여흥"/>
      <sheetName val="NYS"/>
      <sheetName val="연령현황"/>
      <sheetName val="MIJIBI"/>
      <sheetName val="건축직"/>
      <sheetName val="노임이"/>
      <sheetName val="A갑지"/>
      <sheetName val="BSD (2)"/>
      <sheetName val="PROJECT BRIEF"/>
      <sheetName val="내역서 (2)"/>
      <sheetName val="입적표"/>
      <sheetName val="토적표"/>
      <sheetName val="36신설수량"/>
      <sheetName val="단가목록"/>
      <sheetName val="물량표"/>
      <sheetName val="투찰내역"/>
      <sheetName val="9811"/>
      <sheetName val="기자재대비표"/>
      <sheetName val="1단계"/>
      <sheetName val="대비내역"/>
      <sheetName val="70%"/>
      <sheetName val="1,2공구원가계산서"/>
      <sheetName val="2공구산출내역"/>
      <sheetName val="1공구산출내역서"/>
      <sheetName val="단면"/>
      <sheetName val="입출재고현황 (2)"/>
      <sheetName val="변경비교-을"/>
      <sheetName val="BASIC (2)"/>
      <sheetName val="BOX전기내역"/>
      <sheetName val="견적의뢰서"/>
      <sheetName val="견적대비"/>
      <sheetName val="9-1차이내역"/>
      <sheetName val="PO-BOQ"/>
      <sheetName val="옹벽수량집계"/>
      <sheetName val="1SPAN"/>
      <sheetName val="의왕내역"/>
      <sheetName val="제품별"/>
      <sheetName val="하수급견적대비"/>
      <sheetName val="00000000"/>
      <sheetName val="일위집계표"/>
      <sheetName val="수로교총재료집계"/>
      <sheetName val="약품설비"/>
      <sheetName val="5.정산서"/>
      <sheetName val="공사별 가중치 산출근거(토목)"/>
      <sheetName val="가중치근거(조경)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검사조서"/>
      <sheetName val="집계(총괄)"/>
      <sheetName val="구성비"/>
      <sheetName val="실적보고"/>
      <sheetName val="표준안전집계"/>
      <sheetName val="표준안전내역"/>
      <sheetName val="일위"/>
      <sheetName val="wall"/>
      <sheetName val="집1"/>
      <sheetName val="토공계산서(부체도로)"/>
      <sheetName val="월선수금"/>
      <sheetName val="SORCE1"/>
      <sheetName val="가시설단위수량"/>
      <sheetName val="SE-611"/>
      <sheetName val="날개벽"/>
      <sheetName val="자재단가표"/>
      <sheetName val="공종단가"/>
      <sheetName val="AILC004"/>
      <sheetName val="재료집계"/>
      <sheetName val="제수변수량"/>
      <sheetName val="공기변수량"/>
      <sheetName val="일위대가(계측기설치)"/>
      <sheetName val="48일위"/>
      <sheetName val="실행갑지"/>
      <sheetName val="견적990322"/>
      <sheetName val="금액결정"/>
      <sheetName val="설계기준 및 하중계산"/>
      <sheetName val="입력값"/>
      <sheetName val="토량1-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세부견적서(DAS Call Back)"/>
      <sheetName val="부하LOAD"/>
      <sheetName val="시중노임단가"/>
      <sheetName val="기본DATA"/>
      <sheetName val="DWPM"/>
      <sheetName val="내역총괄"/>
      <sheetName val="내역총괄2"/>
      <sheetName val="내역총괄3"/>
      <sheetName val="TEL"/>
      <sheetName val="예산조서(무선)"/>
      <sheetName val="건설장비기초단가"/>
      <sheetName val="TRE TABLE"/>
      <sheetName val="기계경비및산출근거서"/>
      <sheetName val="COVER"/>
      <sheetName val="건축공사실행"/>
      <sheetName val="CODE"/>
      <sheetName val="사원등록"/>
      <sheetName val="호봉 (2)"/>
      <sheetName val="원형1호맨홀토공수량"/>
      <sheetName val="MFAB"/>
      <sheetName val="MFRT"/>
      <sheetName val="MPKG"/>
      <sheetName val="MPRD"/>
      <sheetName val="차수공개요"/>
      <sheetName val="직공비"/>
      <sheetName val="주관사업"/>
      <sheetName val="수문일1"/>
      <sheetName val="발주설계서(당초)"/>
      <sheetName val="unit"/>
      <sheetName val="단가 "/>
      <sheetName val="동해title"/>
      <sheetName val="바닥판"/>
      <sheetName val="s"/>
      <sheetName val="등록자료"/>
      <sheetName val="입력정보"/>
      <sheetName val="OZ049E"/>
      <sheetName val="TYPE-1"/>
      <sheetName val="관람석제출"/>
      <sheetName val="백암비스타내역"/>
      <sheetName val="세목전체"/>
      <sheetName val="³ëÀÓ"/>
      <sheetName val="9GNG운반"/>
      <sheetName val="수안보-MBR1"/>
      <sheetName val="입력DATA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8. 안정검토"/>
      <sheetName val="산출(전주P7)"/>
      <sheetName val="시공계획"/>
      <sheetName val="대창(함평)-창열"/>
      <sheetName val="대창(장성)"/>
      <sheetName val="케이블"/>
      <sheetName val="기기리스트"/>
      <sheetName val="교각별수량"/>
      <sheetName val="원가산출서"/>
      <sheetName val="Dae_Jiju"/>
      <sheetName val="Sikje_ingun"/>
      <sheetName val="TREE_D"/>
      <sheetName val="품셈집계표"/>
      <sheetName val="자재조사표(참고용)"/>
      <sheetName val="일반부표집계표"/>
      <sheetName val="분전함신설"/>
      <sheetName val="접지1종"/>
      <sheetName val="구리토평1전기"/>
      <sheetName val="세부내역"/>
      <sheetName val="날개벽수량표"/>
      <sheetName val="AS복구"/>
      <sheetName val="중기터파기"/>
      <sheetName val="변수값"/>
      <sheetName val="중기상차"/>
      <sheetName val="원형맨홀수량"/>
      <sheetName val="2002상반기노임기준"/>
      <sheetName val="업체별기성내역"/>
      <sheetName val=" 냉각수펌프"/>
      <sheetName val="주방환기"/>
      <sheetName val="구분자"/>
      <sheetName val="단가표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진우+대광"/>
      <sheetName val="현장지지물물량"/>
      <sheetName val="교대"/>
      <sheetName val="실행간접비용"/>
      <sheetName val="마산방향"/>
      <sheetName val="진주방향"/>
      <sheetName val="용산1(해보)"/>
      <sheetName val="설계예시"/>
      <sheetName val="MEXICO-C"/>
      <sheetName val="NOMUBI"/>
      <sheetName val="EKOG10건축"/>
      <sheetName val="토공 total"/>
      <sheetName val="관리,공감"/>
      <sheetName val="노임변동률"/>
      <sheetName val="COMPRESSOR"/>
      <sheetName val="기본설계도급항목"/>
      <sheetName val="강북라우터"/>
      <sheetName val="220 (2)"/>
      <sheetName val="견적서1"/>
      <sheetName val="실행예산"/>
      <sheetName val="Macro3"/>
      <sheetName val="건축"/>
      <sheetName val="정화조동내역"/>
      <sheetName val="깨기수량"/>
      <sheetName val="1.우편집중내역서"/>
      <sheetName val="Customer Databas"/>
      <sheetName val="5.공종별예산내역서"/>
      <sheetName val="관접합및부설"/>
      <sheetName val="2002하반기노임기준"/>
      <sheetName val="본부장"/>
      <sheetName val="4)유동표"/>
      <sheetName val="단가표 (2)"/>
      <sheetName val="기계설비"/>
      <sheetName val="OPGW기별"/>
      <sheetName val="과세내역(세부)"/>
      <sheetName val="중기사용료"/>
      <sheetName val="실행(1)"/>
      <sheetName val="1차 내역서"/>
      <sheetName val="내역."/>
      <sheetName val="부대"/>
      <sheetName val="48수량"/>
      <sheetName val="22수량"/>
      <sheetName val="49일위"/>
      <sheetName val="22일위"/>
      <sheetName val="49수량"/>
      <sheetName val="LD일"/>
      <sheetName val="FA설치명세"/>
      <sheetName val="FD"/>
      <sheetName val="LP-S"/>
      <sheetName val="품셈TABLE"/>
      <sheetName val="품셈표"/>
      <sheetName val="부대대비"/>
      <sheetName val="냉연집계"/>
      <sheetName val="산출내역서"/>
      <sheetName val="경상비"/>
      <sheetName val="설계가"/>
      <sheetName val="관로"/>
      <sheetName val="평교-내역"/>
      <sheetName val="대구-교대(A1-A2)"/>
      <sheetName val="재정비직인"/>
      <sheetName val="재정비내역"/>
      <sheetName val="지적고시내역"/>
      <sheetName val="현장설명서"/>
      <sheetName val="견적조건서"/>
      <sheetName val="시공일반사항"/>
      <sheetName val="현장설명서갑지"/>
      <sheetName val="하도급선정의뢰서(습식공사)"/>
      <sheetName val="사각맨홀"/>
      <sheetName val="노임,재료비"/>
      <sheetName val="15"/>
      <sheetName val="일반수량총괄"/>
      <sheetName val="약품공급2"/>
      <sheetName val="현장관리비 "/>
      <sheetName val="인건비 "/>
      <sheetName val="내역(토목)"/>
      <sheetName val="DB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아파트기별"/>
      <sheetName val="공리일"/>
      <sheetName val="LEGEND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평가데이터"/>
      <sheetName val="안양1공구_건축"/>
      <sheetName val="CC16-내역서"/>
      <sheetName val="금액"/>
      <sheetName val="1"/>
      <sheetName val="금액집계"/>
      <sheetName val="공통부대비"/>
      <sheetName val="가공비"/>
      <sheetName val="지장물C"/>
      <sheetName val="General Data"/>
      <sheetName val="IP좌표"/>
      <sheetName val="기초공"/>
      <sheetName val="c_balju"/>
      <sheetName val="내역서(총)"/>
      <sheetName val="소업1교"/>
      <sheetName val="변화치수"/>
      <sheetName val="공통가설"/>
      <sheetName val="기타시설"/>
      <sheetName val="판매시설"/>
      <sheetName val="아파트"/>
      <sheetName val="주민복지관"/>
      <sheetName val="지하주차장"/>
      <sheetName val="토사(PE)"/>
      <sheetName val="청천내"/>
      <sheetName val="실행대비"/>
      <sheetName val="문학간접"/>
      <sheetName val="매입세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별표 "/>
      <sheetName val="계약내역서(을지)"/>
      <sheetName val="sw1"/>
      <sheetName val="woo(mac)"/>
      <sheetName val="제원.설계조건"/>
      <sheetName val="type-F"/>
      <sheetName val="단가산출집계"/>
      <sheetName val="sum1 (2)"/>
      <sheetName val="토공(완충)"/>
      <sheetName val="SLAB"/>
      <sheetName val="가설공사"/>
      <sheetName val="일위대가 집계표"/>
      <sheetName val="횡배수관토공수량"/>
      <sheetName val="골조시행"/>
      <sheetName val="원본"/>
      <sheetName val="건축원가계산서"/>
      <sheetName val="공사비집계"/>
      <sheetName val="Site Expenses"/>
      <sheetName val="차도조도계산"/>
      <sheetName val="ATS단가"/>
      <sheetName val="단중표"/>
      <sheetName val="입찰견적보고서"/>
      <sheetName val="계산근거"/>
      <sheetName val="mcc일위대가"/>
      <sheetName val="투자효율분석"/>
      <sheetName val="design criteria"/>
      <sheetName val="plan&amp;section of foundation"/>
      <sheetName val="96수출"/>
      <sheetName val="횡배수관"/>
      <sheetName val="협조전"/>
      <sheetName val="견적내용입력"/>
      <sheetName val="견적서세부내용"/>
      <sheetName val="투찰"/>
      <sheetName val="설계내역(2001)"/>
      <sheetName val="내역(전체)"/>
      <sheetName val="b_balju_cho"/>
      <sheetName val="단위세대"/>
      <sheetName val="단가표 "/>
      <sheetName val="공사비 내역 (가)"/>
      <sheetName val="토공사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일위대가내역"/>
      <sheetName val="대전-교대(A1-A2)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적현로"/>
      <sheetName val="만수배관단가"/>
      <sheetName val="FRP배관단가(만수)"/>
      <sheetName val="기본단가표"/>
      <sheetName val="갑지(추정)"/>
      <sheetName val="실행"/>
      <sheetName val="단가조사-1"/>
      <sheetName val="단가조사-2"/>
      <sheetName val="효동"/>
      <sheetName val="평균환율-USD"/>
      <sheetName val="총인원"/>
      <sheetName val="직급인원"/>
      <sheetName val="인원동원계획"/>
      <sheetName val="WEON"/>
      <sheetName val="경상"/>
      <sheetName val="가설"/>
      <sheetName val="우수"/>
      <sheetName val="변경총괄지(1)"/>
      <sheetName val="단면별연장"/>
      <sheetName val="EP0618"/>
      <sheetName val="캔개발배경"/>
      <sheetName val="시장"/>
      <sheetName val="일정표"/>
      <sheetName val="지하1층"/>
      <sheetName val="TYPE-A"/>
      <sheetName val="공종"/>
      <sheetName val="제품"/>
      <sheetName val="기본일위"/>
      <sheetName val="조명율데이타"/>
      <sheetName val="통신물량"/>
      <sheetName val="가설공사내역"/>
      <sheetName val="중동상가"/>
      <sheetName val="신공항A-9(원가수정)"/>
      <sheetName val="01AC"/>
      <sheetName val="본선토량운반계산서(1)0"/>
      <sheetName val="구조물공"/>
      <sheetName val="부대공"/>
      <sheetName val="배수공"/>
      <sheetName val="암거단위"/>
      <sheetName val="세부내역서(전기)"/>
      <sheetName val="날개벽(시점좌측)"/>
      <sheetName val="품목납기"/>
      <sheetName val="토공(우물통,기타) "/>
      <sheetName val="세부내역서"/>
      <sheetName val="수량산출1"/>
      <sheetName val="H-PILE수량집계"/>
      <sheetName val="99년신청"/>
      <sheetName val="가로등제어반 설치공사(수량)"/>
      <sheetName val="내역서(삼호)"/>
      <sheetName val="4월_실적추정(건축+토목)"/>
      <sheetName val="4월_실적추정(건축)"/>
      <sheetName val="복구량산정_및_전용회선_사용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0_집계"/>
      <sheetName val="1_수변전설비공사"/>
      <sheetName val="표지_(2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적용토목"/>
      <sheetName val="설계개요"/>
      <sheetName val="할증 "/>
      <sheetName val="COVER-P"/>
      <sheetName val="기본단가"/>
      <sheetName val="영업소실적"/>
      <sheetName val="변경품셈총괄"/>
      <sheetName val="품종별-이름"/>
      <sheetName val=" 갑  지 "/>
      <sheetName val="소방사항"/>
      <sheetName val="내역서적용수량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pbs_lambda"/>
      <sheetName val="Matériel embarqué PVC"/>
      <sheetName val="2공구수량"/>
      <sheetName val="cost"/>
      <sheetName val="BabyÀÏÀ§´ë°¡"/>
      <sheetName val="NìüëÒ-òÅ"/>
      <sheetName val="°£¼±°è»ê"/>
      <sheetName val="´ë±¸½ÇÇà"/>
      <sheetName val="0.Áý°è"/>
      <sheetName val="1.¼öº¯Àü¼³ºñ°ø»ç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년도별노임표"/>
      <sheetName val="중기목록표"/>
      <sheetName val="경율산정"/>
      <sheetName val="입고장부 (4)"/>
      <sheetName val="기존단가 (2)"/>
      <sheetName val="경비"/>
      <sheetName val="개소별수량산출"/>
      <sheetName val="종합기별"/>
      <sheetName val="노무비명세서"/>
      <sheetName val="소요자재명세서"/>
      <sheetName val="피벗테이블데이터분석"/>
      <sheetName val="적용단위길이"/>
      <sheetName val="MACRO(MCC)"/>
      <sheetName val="공조기"/>
      <sheetName val="위성"/>
      <sheetName val="연결관암거"/>
      <sheetName val="변경내역"/>
      <sheetName val="예산M11A"/>
      <sheetName val="표층포설및다짐"/>
      <sheetName val="출력X"/>
      <sheetName val="화설내"/>
      <sheetName val="정공공사"/>
      <sheetName val="기초일위"/>
      <sheetName val="시설일위"/>
      <sheetName val="조명일위"/>
      <sheetName val="DATA 입력부"/>
      <sheetName val="매매"/>
      <sheetName val="전신"/>
      <sheetName val="승용"/>
      <sheetName val="토목공사"/>
      <sheetName val="토공산출(주차장)"/>
      <sheetName val="선정요령"/>
      <sheetName val="공사내역서(을)실행"/>
      <sheetName val="자재 단가표"/>
      <sheetName val="일위대가(건축)"/>
      <sheetName val="본사인상전"/>
      <sheetName val="도급양식"/>
      <sheetName val="단가산출-기,교"/>
      <sheetName val="현금"/>
      <sheetName val="현장"/>
      <sheetName val="Cost bd-&quot;A&quot;"/>
      <sheetName val="IBASE"/>
      <sheetName val="당사"/>
      <sheetName val="실행예산서"/>
      <sheetName val="급명"/>
      <sheetName val="간지"/>
      <sheetName val="Languages"/>
      <sheetName val="01"/>
      <sheetName val="Recovered_Sheet1"/>
      <sheetName val="원가상세내역"/>
      <sheetName val="2004경영(비목별)"/>
      <sheetName val="2004경영"/>
      <sheetName val="단가비교표_공통1"/>
      <sheetName val="가공2원도"/>
      <sheetName val="원내역서3"/>
      <sheetName val="101동"/>
      <sheetName val="3도로"/>
      <sheetName val="우각부보강"/>
      <sheetName val="SULKEA"/>
      <sheetName val="아파트건축"/>
      <sheetName val="L형옹벽측구"/>
      <sheetName val="장비"/>
      <sheetName val="산근1"/>
      <sheetName val="노무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설명"/>
      <sheetName val="계산DATA"/>
      <sheetName val="전류"/>
      <sheetName val="데이터북"/>
      <sheetName val="조명참고자료"/>
      <sheetName val="Cable schedule"/>
      <sheetName val="V-data"/>
      <sheetName val="L-data"/>
      <sheetName val="P-data"/>
      <sheetName val="하도급변경대비표"/>
      <sheetName val="2000용수잠관-수량집계"/>
      <sheetName val="공사내역"/>
      <sheetName val="단가조사표"/>
      <sheetName val="설계내역서(기계)"/>
      <sheetName val="일위산출"/>
      <sheetName val="제경비"/>
      <sheetName val="우수공"/>
      <sheetName val="대로근거"/>
      <sheetName val="기지국"/>
      <sheetName val="아수배전(1회)"/>
      <sheetName val="인건비_조사"/>
      <sheetName val="산#2-1 (2)"/>
      <sheetName val="3.하중산정4.지지력"/>
      <sheetName val="토공A"/>
      <sheetName val="견적서(대외) (2)"/>
      <sheetName val="참조M"/>
      <sheetName val="직원동원SCH"/>
      <sheetName val="원하도급내역서(당초)"/>
      <sheetName val="오동"/>
      <sheetName val="대조"/>
      <sheetName val="나한"/>
      <sheetName val="INPUT(덕도방향-시점)"/>
      <sheetName val="BOX 본체"/>
      <sheetName val="소포내역 (2)"/>
      <sheetName val="대포2교접속"/>
      <sheetName val="산출목록표"/>
      <sheetName val="수원공"/>
      <sheetName val="E총"/>
      <sheetName val="Vari by Vendor"/>
      <sheetName val="DATA-UPS"/>
      <sheetName val="공조기(삭제)"/>
      <sheetName val="일(4)"/>
      <sheetName val="97 사업추정(WEKI)"/>
      <sheetName val="준공평가"/>
      <sheetName val="예산M12A"/>
      <sheetName val="건축개요"/>
      <sheetName val="지수"/>
      <sheetName val="3본사"/>
      <sheetName val="(2)"/>
      <sheetName val="성내동"/>
      <sheetName val="MANUFACTORY"/>
      <sheetName val="관리사무소"/>
      <sheetName val="계획금액"/>
      <sheetName val="2.펌프장(사급자재)"/>
      <sheetName val="파형강관집계"/>
      <sheetName val="비교1"/>
      <sheetName val="master(total)"/>
      <sheetName val="basic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조도계산서_(도서)"/>
      <sheetName val="1_설계조건"/>
      <sheetName val="3-1_CB"/>
      <sheetName val="1_수인터널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2000_11월설계내역"/>
      <sheetName val="전선_및_전선관"/>
      <sheetName val="단가_및_재료비"/>
      <sheetName val="준검_내역서"/>
      <sheetName val="수목데이타_"/>
      <sheetName val="변압기_및_발전기_용량"/>
      <sheetName val="-_INFORMATION_-"/>
      <sheetName val="5호광장_(만점)"/>
      <sheetName val="인천국제_(만점)_(2)"/>
      <sheetName val="설_계"/>
      <sheetName val="3BL공동구_수량"/>
      <sheetName val="Sheet1_(2)"/>
      <sheetName val="단면_(2)"/>
      <sheetName val="외주대비_-석축"/>
      <sheetName val="외주대비-구조물_(2)"/>
      <sheetName val="견적표지_(3)"/>
      <sheetName val="IMP_(REACTOR)"/>
      <sheetName val="1_설계기준"/>
      <sheetName val="주beam"/>
      <sheetName val="내역서 "/>
      <sheetName val="토공정보"/>
      <sheetName val="2"/>
      <sheetName val="두앙"/>
      <sheetName val="12_xd8b7_⭎ጀ鮂"/>
      <sheetName val="12좷⭘ጀ鮂"/>
      <sheetName val="공용시설내역"/>
      <sheetName val="품셈총괄표"/>
      <sheetName val="남양구조시험동"/>
      <sheetName val="단중표-ST"/>
      <sheetName val="가중치"/>
      <sheetName val="전력구구조물산근"/>
      <sheetName val="Y_WORK"/>
      <sheetName val="AH-1 "/>
      <sheetName val="OHU"/>
      <sheetName val="NAI"/>
      <sheetName val="견"/>
      <sheetName val="DATA(BAC)"/>
      <sheetName val="working load at the btm ft."/>
      <sheetName val="stability check"/>
      <sheetName val="design load"/>
      <sheetName val="내부부하"/>
      <sheetName val="건축집계"/>
      <sheetName val="제수"/>
      <sheetName val="공기"/>
      <sheetName val="백호우계수"/>
      <sheetName val="단가산출서 (2)"/>
      <sheetName val="단가산출서"/>
      <sheetName val="대,유,램"/>
      <sheetName val="몰탈재료산출"/>
      <sheetName val="단위목록"/>
      <sheetName val="기계경비목록"/>
      <sheetName val="관급"/>
      <sheetName val="총집계표"/>
      <sheetName val="NAMES"/>
      <sheetName val="loading"/>
      <sheetName val="Factor"/>
      <sheetName val="w't table"/>
      <sheetName val="UR2-Calculation"/>
      <sheetName val="Main"/>
      <sheetName val="4차원가계산서"/>
      <sheetName val="환율-LIBOR"/>
      <sheetName val="개보수공사BM"/>
      <sheetName val="P-산#1-1(WOWA1)"/>
      <sheetName val="집수정"/>
      <sheetName val="과세표준율-2"/>
      <sheetName val="면적분양가"/>
      <sheetName val="분양면적(1123)"/>
      <sheetName val="출력소스"/>
      <sheetName val="계좌번호"/>
      <sheetName val="잔수량(작성)"/>
      <sheetName val="전체철근집계"/>
      <sheetName val="CB"/>
      <sheetName val="CS2"/>
      <sheetName val="자재집계"/>
      <sheetName val="배수내역(총수량)"/>
      <sheetName val="층"/>
      <sheetName val="통합"/>
      <sheetName val="입력"/>
      <sheetName val="충주"/>
      <sheetName val="3련 B_x0005__x0000_"/>
      <sheetName val="기성수금(단단위)"/>
      <sheetName val="원가매출(단단위)"/>
      <sheetName val="기간등록"/>
      <sheetName val="산근"/>
      <sheetName val="적용건축"/>
      <sheetName val="설치 일위대가(4԰_x0000_缀_x0000__x0000__x0000_"/>
      <sheetName val="프로젝트"/>
      <sheetName val="콘_재료분리(1)"/>
      <sheetName val="0217상가미분양자산"/>
      <sheetName val="단위중량"/>
      <sheetName val="SKETCH"/>
      <sheetName val="배수문수량산출(3)"/>
      <sheetName val="일위_파일"/>
      <sheetName val="eq_data"/>
      <sheetName val="전기설계변경"/>
      <sheetName val="실행내역서 "/>
      <sheetName val="CALCULATION"/>
      <sheetName val="INDEX"/>
      <sheetName val="15100"/>
      <sheetName val="HRSG SMALL07220"/>
      <sheetName val="성서방향-교대(A2)"/>
      <sheetName val="2터널시점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자재비"/>
      <sheetName val="10현장조직"/>
      <sheetName val="3-1-12"/>
      <sheetName val="3-1-3"/>
      <sheetName val="단가산출1"/>
      <sheetName val="21301동"/>
      <sheetName val="금긋기 및 절단"/>
      <sheetName val="TB-내역서"/>
      <sheetName val="Instruction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교육종류"/>
      <sheetName val="BOX"/>
      <sheetName val="2.2.2입적표"/>
      <sheetName val=" 토목 처리장도급내역서 "/>
      <sheetName val="98수문일위"/>
      <sheetName val="꣈፺"/>
      <sheetName val="堀᎟"/>
      <sheetName val="¼ö·®»êÃÈ"/>
      <sheetName val="저፺"/>
      <sheetName val="¼ö·®»êÃX"/>
      <sheetName val="壈᎟"/>
      <sheetName val="쀀ፐ"/>
      <sheetName val="죈፺"/>
      <sheetName val="惈፵"/>
      <sheetName val="송전재료비"/>
      <sheetName val="WING3"/>
      <sheetName val="7.1유효폭"/>
      <sheetName val="단가(반정1교-원주)"/>
      <sheetName val="배수관토공"/>
      <sheetName val="음봉방향"/>
      <sheetName val="자료(통합)"/>
      <sheetName val="식재인부"/>
      <sheetName val="발주내역"/>
      <sheetName val="단위량당중기"/>
      <sheetName val="제3장 기술업무"/>
      <sheetName val="일반전기C"/>
      <sheetName val="POOM_MOTO"/>
      <sheetName val="COPING"/>
      <sheetName val="일반맨홀수량집계"/>
      <sheetName val="집수A"/>
      <sheetName val="工완성공사율"/>
      <sheetName val="내역서비교"/>
      <sheetName val="현장예산"/>
      <sheetName val="특수기호강도거푸집"/>
      <sheetName val="종배수관면벽신"/>
      <sheetName val="종배수관(신)"/>
      <sheetName val="Oper Amount"/>
      <sheetName val="8.PILE  (돌출)"/>
      <sheetName val="초기화면"/>
      <sheetName val="9."/>
      <sheetName val="자재테이블"/>
      <sheetName val="평3"/>
      <sheetName val="골재산출"/>
      <sheetName val="약전닥트"/>
      <sheetName val="품종별월계"/>
      <sheetName val="물墸᎟鰀"/>
      <sheetName val="화재 탐지_x0005__x0000_"/>
      <sheetName val="전신환매도徸"/>
      <sheetName val="5.공종별尜_x0013_層_x0013_闰"/>
      <sheetName val="금액내㔀቎"/>
      <sheetName val="청하배수"/>
      <sheetName val="설계서"/>
      <sheetName val="예산"/>
      <sheetName val="3.자재비(총괄)"/>
      <sheetName val="상행-교대(A1)"/>
      <sheetName val="유림골조"/>
      <sheetName val="신공"/>
      <sheetName val="aa"/>
      <sheetName val="CIVIL"/>
      <sheetName val="자  재"/>
      <sheetName val="DATA 입력란"/>
      <sheetName val="균열"/>
      <sheetName val="FAX"/>
      <sheetName val="1공구(입찰내역)"/>
      <sheetName val="통합내역"/>
      <sheetName val="1. 설계조건 2.단면가정 3. 하중계산"/>
      <sheetName val="경산(을)"/>
      <sheetName val="제진기"/>
      <sheetName val="명세서"/>
      <sheetName val="시멘트"/>
      <sheetName val="사급자재총괄"/>
      <sheetName val="SRC-B3U2"/>
      <sheetName val="현대물량"/>
      <sheetName val="이름정의"/>
      <sheetName val="초기화면1"/>
      <sheetName val="목동1절주.bh01"/>
      <sheetName val="(A)내역서"/>
      <sheetName val="설명서 "/>
      <sheetName val="전기혼잡제경비(45)"/>
      <sheetName val="현금흐름"/>
      <sheetName val="저리조양"/>
      <sheetName val="★도급내역"/>
      <sheetName val="가격조사서"/>
      <sheetName val="단면설계"/>
      <sheetName val="신표지1"/>
      <sheetName val="노임(1차)"/>
      <sheetName val="관리,부대비"/>
      <sheetName val="공내역"/>
      <sheetName val="접속도로1"/>
      <sheetName val="실행(표지,갑,을)"/>
      <sheetName val="메서,변+증"/>
      <sheetName val="공사별 가중치 산출근거(건축)"/>
      <sheetName val="버스운행안내"/>
      <sheetName val="예방접종계획"/>
      <sheetName val="근태계획서"/>
      <sheetName val="LAB"/>
      <sheetName val="Inquiry"/>
      <sheetName val="중간부"/>
      <sheetName val="송우내역서"/>
      <sheetName val="증감분석"/>
      <sheetName val="MACRO(전선관)"/>
      <sheetName val="공사진행"/>
      <sheetName val="H PILE수량"/>
      <sheetName val="__MAIN"/>
      <sheetName val="°úÃµMAIN"/>
      <sheetName val="ÅÍ³ÎÁ¶µµ"/>
      <sheetName val="1.¼³°è±âÁØ"/>
      <sheetName val="3Â÷¼³°è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철근량 검토"/>
      <sheetName val="TC표지"/>
      <sheetName val="하중계산"/>
      <sheetName val="유기공정"/>
      <sheetName val="STBOX"/>
      <sheetName val="Piping Design Data"/>
      <sheetName val="산재 안전"/>
      <sheetName val="노무비 경비"/>
      <sheetName val="산정표"/>
      <sheetName val="공사기본자료"/>
      <sheetName val="부안일위"/>
      <sheetName val="공사비총괄표"/>
      <sheetName val="BQ(실행)"/>
      <sheetName val="기준액"/>
      <sheetName val="교량하부공"/>
      <sheetName val="와동25-3(변경)"/>
      <sheetName val="기계"/>
      <sheetName val="본체"/>
      <sheetName val="T6-6(2)"/>
      <sheetName val="Upgrades pricing"/>
      <sheetName val="Ampecity Data"/>
      <sheetName val="MCC제원"/>
      <sheetName val="3_바닥판설계"/>
      <sheetName val="종배수관"/>
      <sheetName val="연습장소"/>
      <sheetName val="상세내역,전력산출서"/>
      <sheetName val="2003상반기노임기준"/>
      <sheetName val="중기조종사 단위단가"/>
      <sheetName val="내역(가지)"/>
      <sheetName val="GI-LIST"/>
      <sheetName val="EQT-ESTN"/>
      <sheetName val="현황산출서"/>
      <sheetName val="옹벽기초자료"/>
      <sheetName val="전부인쇄"/>
      <sheetName val="9-1차이내역."/>
      <sheetName val="1.외주공사"/>
      <sheetName val="2.직영공사"/>
      <sheetName val="가CP"/>
      <sheetName val="건축내역서 (경제상무실)"/>
      <sheetName val="APT"/>
      <sheetName val="원가계산서(남측)"/>
      <sheetName val="첨부"/>
      <sheetName val="계산DATA입력"/>
      <sheetName val="전력"/>
      <sheetName val="토공집계표"/>
      <sheetName val="COL"/>
      <sheetName val="샘플표지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±âÃÊ´Ü°¡"/>
      <sheetName val="웅진교-S2"/>
      <sheetName val="의정부문예회관변경내역"/>
      <sheetName val="POL6차-PIPING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萀⅜"/>
      <sheetName val="장비당단가 (1)"/>
      <sheetName val="자재목록표"/>
      <sheetName val="단중聀"/>
      <sheetName val="당정동경상이수"/>
      <sheetName val="당정동공통이수"/>
      <sheetName val="차수"/>
      <sheetName val="대가목록"/>
      <sheetName val="샤워실위생"/>
      <sheetName val="현장경비"/>
      <sheetName val="준공조서"/>
      <sheetName val="소운반"/>
      <sheetName val="공종구간"/>
      <sheetName val="산출0"/>
      <sheetName val="인원"/>
      <sheetName val="방송노임"/>
      <sheetName val="TG9504"/>
      <sheetName val="1995년 섹터별 매출"/>
      <sheetName val="ROOF(ALKALI)"/>
      <sheetName val="역T형옹벽(3.0)"/>
      <sheetName val="실행(ALT1)"/>
      <sheetName val="貭♘"/>
      <sheetName val="기계실"/>
      <sheetName val="MAT"/>
      <sheetName val="경로,구간현황"/>
      <sheetName val="현장관리비"/>
      <sheetName val="O＆P"/>
      <sheetName val="결재판(삭제하지말아주세요)"/>
      <sheetName val="유첨䈀ᅪ"/>
      <sheetName val="토공,기초"/>
      <sheetName val="변경후-SHEET"/>
      <sheetName val="FAB별"/>
      <sheetName val="주간계획"/>
      <sheetName val="PIPING"/>
      <sheetName val="선택"/>
      <sheetName val="총괄원가 "/>
      <sheetName val="공통비"/>
      <sheetName val="보호"/>
      <sheetName val="성남여성복지내역"/>
      <sheetName val="일위1"/>
      <sheetName val="공사설계서"/>
      <sheetName val="참조"/>
      <sheetName val="기초코徸"/>
      <sheetName val="시운전연료"/>
      <sheetName val="예산조서(︀ᇕ԰"/>
      <sheetName val="Proposal"/>
      <sheetName val="포장절단"/>
      <sheetName val="일위단가"/>
      <sheetName val="일위(설)"/>
      <sheetName val="건축토목내역"/>
      <sheetName val="205동"/>
      <sheetName val="청구내역(9807)"/>
      <sheetName val="과세면세표"/>
      <sheetName val="인제내역"/>
      <sheetName val="PARAMETER"/>
      <sheetName val="세부내역(직접인건비)"/>
      <sheetName val="사통"/>
      <sheetName val="96작생능"/>
      <sheetName val="사다리"/>
      <sheetName val="현장지䀀ኀ㠀ኃ"/>
      <sheetName val="건축원가"/>
      <sheetName val="부丵〒"/>
      <sheetName val="부司2"/>
      <sheetName val="집계(세부총괄)"/>
      <sheetName val="주차구획선수량"/>
      <sheetName val="BOX(1.5X1.5)"/>
      <sheetName val="접속슬라브"/>
      <sheetName val="설계기준"/>
      <sheetName val="내역1"/>
      <sheetName val="총괄-1"/>
      <sheetName val="물가"/>
      <sheetName val="기초및구체공"/>
      <sheetName val="삼보지질"/>
      <sheetName val="7.전산해석결과"/>
      <sheetName val="4.하중"/>
      <sheetName val="우각부검토"/>
      <sheetName val="특수선일위대가"/>
      <sheetName val="도급"/>
      <sheetName val="인공(100P,배선반)"/>
      <sheetName val="홈통받이수량"/>
      <sheetName val="입찰"/>
      <sheetName val="현경"/>
      <sheetName val="공통가설공사"/>
      <sheetName val="설내역서 "/>
      <sheetName val="공사수행방안"/>
      <sheetName val="정렬"/>
      <sheetName val="용소리교"/>
      <sheetName val="기본"/>
      <sheetName val="단위집계표"/>
      <sheetName val="기성내역서표지"/>
      <sheetName val="2000년하반기"/>
      <sheetName val="견적대비표"/>
      <sheetName val="건축내역(진해석동)"/>
      <sheetName val="G.R300경비"/>
      <sheetName val="Data2"/>
      <sheetName val="정화조방수미장"/>
      <sheetName val="화해(함평)"/>
      <sheetName val="화해(장성)"/>
      <sheetName val="출력-내역서"/>
      <sheetName val="일위대가(1)"/>
      <sheetName val="일위목차"/>
      <sheetName val="AS포장복구_"/>
      <sheetName val="부서현황"/>
      <sheetName val="2BOX본체"/>
      <sheetName val="설-원가"/>
      <sheetName val="전체내역서"/>
      <sheetName val="결과조달"/>
      <sheetName val="1공구 건정토건 철콘"/>
      <sheetName val="2공구하도급내역서"/>
      <sheetName val="도급내역"/>
      <sheetName val="투찰추정"/>
      <sheetName val="도급내역5+800"/>
      <sheetName val="수목표준대가"/>
      <sheetName val="도급금액"/>
      <sheetName val="재노경"/>
      <sheetName val="변경내역서"/>
      <sheetName val="품셈기준"/>
      <sheetName val="물가변동잔여물량세부내역서"/>
      <sheetName val="내역(중앙)"/>
      <sheetName val="내역(창신)"/>
      <sheetName val="신규(방류시설)"/>
      <sheetName val="소방"/>
      <sheetName val="덤프트럭계수"/>
      <sheetName val="카메라"/>
      <sheetName val="미지급내역"/>
      <sheetName val="현장별계약현황('98.10.31)"/>
      <sheetName val="집계표(육상)"/>
      <sheetName val="사급자재"/>
      <sheetName val="날개벽(TYPE1)"/>
      <sheetName val="102역사"/>
      <sheetName val="단락전류-A"/>
      <sheetName val="DPRKMHDT"/>
      <sheetName val="hvac내역서(제어동)"/>
      <sheetName val="덕소내역"/>
      <sheetName val="내역서01"/>
      <sheetName val="장문교(대전)"/>
      <sheetName val="22단가(철完9"/>
      <sheetName val="전기공사"/>
      <sheetName val="인수공총괄"/>
      <sheetName val="지질조사"/>
      <sheetName val="하중산정"/>
      <sheetName val="관급자재"/>
      <sheetName val="총공사내역서"/>
      <sheetName val="계약내역서"/>
      <sheetName val="전체도급"/>
      <sheetName val="본선 토공 분배표"/>
      <sheetName val="1.토공"/>
      <sheetName val="제출내역 (2)"/>
      <sheetName val="6공구(당초)"/>
      <sheetName val="전화번호DATA (2001)"/>
      <sheetName val="자압"/>
      <sheetName val="106C0300"/>
      <sheetName val="열린교실"/>
      <sheetName val="수량이동"/>
      <sheetName val="KMT물량"/>
      <sheetName val="J01"/>
      <sheetName val="구조물터파기수량집계"/>
      <sheetName val="배수공 시멘트 및 골재량 산출"/>
      <sheetName val="합의경상"/>
      <sheetName val="단면瑌)"/>
      <sheetName val="BEND LOSS"/>
      <sheetName val="총체보활공정표"/>
      <sheetName val="T1"/>
      <sheetName val="단가결정"/>
      <sheetName val="판"/>
      <sheetName val="일위대가(출입)"/>
      <sheetName val="Front"/>
      <sheetName val="1.취수장"/>
      <sheetName val="상-교대(A1-A2)"/>
      <sheetName val="첨부1"/>
      <sheetName val="13LPMCC"/>
      <sheetName val="PART_DISCOUNT"/>
      <sheetName val="적점"/>
      <sheetName val="결합부검토"/>
      <sheetName val="Data&amp;Result"/>
      <sheetName val="교통량조사"/>
      <sheetName val="재료표"/>
      <sheetName val="969910( R)"/>
      <sheetName val="금액결揄"/>
      <sheetName val="공사비 내역"/>
      <sheetName val="공사비증감"/>
      <sheetName val="2000_x0005__x0000__x0000_"/>
      <sheetName val="IMPEADENCE MAP 취수장"/>
      <sheetName val="모델링"/>
      <sheetName val="EUPDAT2"/>
      <sheetName val="변경서식"/>
      <sheetName val="시가지우회도로공내역서"/>
      <sheetName val="견적사양비교표"/>
      <sheetName val="매입내역 "/>
      <sheetName val="거래처별지출내역"/>
      <sheetName val="제잡비"/>
      <sheetName val="T13(P68~72,78)"/>
      <sheetName val="㩷"/>
      <sheetName val="렀ⵘ"/>
      <sheetName val="֭_x0000_"/>
      <sheetName val="간선"/>
      <sheetName val="성곽내역서"/>
      <sheetName val="16-1"/>
      <sheetName val="단양 00 아파트-세부내역"/>
      <sheetName val="Param"/>
      <sheetName val="Ⅴ-2.공종별내역"/>
      <sheetName val="단가및재료비"/>
      <sheetName val="빗물받이(910-510-410)"/>
      <sheetName val="용수간선"/>
      <sheetName val="유림총괄"/>
      <sheetName val="노무비(첨부4-4)"/>
      <sheetName val="변수데이타"/>
      <sheetName val="일반부표"/>
      <sheetName val="뚝토공"/>
      <sheetName val="05년"/>
      <sheetName val="사  업  비  수  지  예  산  서"/>
      <sheetName val="내역서(총괄)"/>
      <sheetName val="공종별 집계표"/>
      <sheetName val="공통가설_8"/>
      <sheetName val="아파트_9"/>
      <sheetName val="직접공사비집계표_7"/>
      <sheetName val="Rates"/>
      <sheetName val="명단원자료(이전)"/>
      <sheetName val="영동(D)"/>
      <sheetName val="원가서"/>
      <sheetName val="기초입력"/>
      <sheetName val="1-1"/>
      <sheetName val="통로box전기"/>
      <sheetName val="밧데리"/>
      <sheetName val="지주설치제원"/>
      <sheetName val="인상효1"/>
      <sheetName val="갈현동"/>
      <sheetName val="총괄분 설계서용지"/>
      <sheetName val="단가대비"/>
      <sheetName val="기초자료입력"/>
      <sheetName val="일위산출근거"/>
      <sheetName val="2.대외공문"/>
      <sheetName val="ATM기초철가"/>
      <sheetName val="시화점실행"/>
      <sheetName val="식재일위대가"/>
      <sheetName val="건축부하"/>
      <sheetName val="REACTION芨.헾⿁_x0005__x0000_"/>
      <sheetName val="REACTION鴘E鵜E헾⼼_x0005_"/>
      <sheetName val="7단가"/>
      <sheetName val="정산내역"/>
      <sheetName val="#3_일위대가목록"/>
      <sheetName val="#2_일위대가목록"/>
      <sheetName val="연동내역서"/>
      <sheetName val="tggwan(mac)"/>
      <sheetName val="물량집계"/>
      <sheetName val="횡배수관집현황(2공구)"/>
      <sheetName val="역T형"/>
      <sheetName val="Personnaliser..."/>
      <sheetName val="Takt Time"/>
      <sheetName val="입력변수"/>
      <sheetName val="타견적(을)"/>
      <sheetName val="A 견적"/>
      <sheetName val="전기공사일위대가"/>
      <sheetName val="성원계약"/>
      <sheetName val="적격심사표"/>
      <sheetName val="개별직종노임단가(2005.1)"/>
      <sheetName val="맨홀수량"/>
      <sheetName val="노임,자재"/>
      <sheetName val="기계경비(맨홀)"/>
      <sheetName val="인수공규격"/>
      <sheetName val="굴착현장"/>
      <sheetName val="INMD1198"/>
      <sheetName val="INFG1198"/>
      <sheetName val="표준ፙ렀ᑟ"/>
      <sheetName val="물가대비표"/>
      <sheetName val="예총"/>
      <sheetName val="401"/>
      <sheetName val="예산내역서"/>
      <sheetName val="일집"/>
      <sheetName val="담장산출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기흥하도용"/>
      <sheetName val="대가단최종"/>
      <sheetName val="적용기준표(98년상반기)"/>
      <sheetName val="산출명세서"/>
      <sheetName val="2.노무비명세서(수직보垰7埼"/>
      <sheetName val="환"/>
      <sheetName val="역집계1"/>
      <sheetName val="상 부"/>
      <sheetName val="예산M6-B"/>
      <sheetName val="차선도색현황"/>
      <sheetName val="P.M 별"/>
      <sheetName val="돈암사업"/>
      <sheetName val="단면A-A(TR)"/>
      <sheetName val="견적율"/>
      <sheetName val="상가지급현황"/>
      <sheetName val="D-3109"/>
      <sheetName val="도로경계블럭단위수량"/>
      <sheetName val="도로경계블럭단위토공"/>
      <sheetName val="L형측구단위수량"/>
      <sheetName val="L형측구연장조서"/>
      <sheetName val="부하"/>
      <sheetName val="도체종-상수표"/>
      <sheetName val="sub"/>
      <sheetName val="마장"/>
      <sheetName val="투찰가"/>
      <sheetName val="연돌일위집계"/>
      <sheetName val="납부서"/>
      <sheetName val="일위대가(여기까지)"/>
      <sheetName val="J"/>
      <sheetName val="단위_xdc00_ὗ␀"/>
      <sheetName val="수성페인트도장 내역서"/>
      <sheetName val="Piping(Methanol)"/>
      <sheetName val="진접"/>
      <sheetName val="사급자재(1단계)"/>
      <sheetName val="조명투자및환수계획"/>
      <sheetName val="제조중간결과"/>
      <sheetName val="공내ᰖ"/>
      <sheetName val="탑(을지)"/>
      <sheetName val="경산锼_x0013_閄"/>
      <sheetName val="22단"/>
      <sheetName val="22단锼"/>
      <sheetName val="기초자료입력및 K치 확인"/>
      <sheetName val="AS_x0005__x0000_"/>
      <sheetName val="8.현장관리비"/>
      <sheetName val="7.안전관리비"/>
      <sheetName val="진주䈀ᅪ"/>
      <sheetName val="노᠀⁷"/>
      <sheetName val="CHITIET VL-NC-TT -1p"/>
      <sheetName val="TDTKP1"/>
      <sheetName val="bearing"/>
      <sheetName val="도장수량(하1)"/>
      <sheetName val="사업수지"/>
      <sheetName val="기계경비단가"/>
      <sheetName val="CON'C"/>
      <sheetName val="경영상태"/>
      <sheetName val="전체공내역서"/>
      <sheetName val="퍼스트"/>
      <sheetName val="2.주요계수총괄"/>
      <sheetName val="스포회원매출"/>
      <sheetName val="감액총괄표"/>
      <sheetName val="단가견적조사표"/>
      <sheetName val="자재조사표"/>
      <sheetName val="단위가격"/>
      <sheetName val="Option"/>
      <sheetName val="copy"/>
      <sheetName val="서식"/>
      <sheetName val="전자"/>
      <sheetName val="환산"/>
      <sheetName val="기본사항"/>
      <sheetName val="현지검측내역"/>
      <sheetName val="수량산출서-2"/>
      <sheetName val="구주,중아,CIS"/>
      <sheetName val="EL90"/>
      <sheetName val="역T형교대栄⿇_x0000__x0000_庨_x0000_"/>
      <sheetName val="역T형교대栄⿇_x0000__x0000__x0000_"/>
      <sheetName val="역T형교대舨&quot;헾⾪_x0005__x0000_"/>
      <sheetName val="CAT_5"/>
      <sheetName val="공사준공계"/>
      <sheetName val="준공검사보고서"/>
      <sheetName val="도급내역서"/>
      <sheetName val="Tiburon"/>
      <sheetName val="배출수지B"/>
      <sheetName val="예산서"/>
      <sheetName val="5."/>
      <sheetName val="11"/>
      <sheetName val="12."/>
      <sheetName val="14."/>
      <sheetName val="13"/>
      <sheetName val="7."/>
      <sheetName val="8."/>
      <sheetName val="10."/>
      <sheetName val="전기단가조사서"/>
      <sheetName val="PI蒨9"/>
      <sheetName val="영창26"/>
      <sheetName val="공종목록표"/>
      <sheetName val="오억미만"/>
      <sheetName val="직원자료입력"/>
      <sheetName val="MixBed"/>
      <sheetName val="CondPol"/>
      <sheetName val="단가대조"/>
      <sheetName val="유첨_x0005__x0000_"/>
      <sheetName val="유첨헾】"/>
      <sheetName val="LH3 동양시스템"/>
      <sheetName val="변경ᛅ⾒_x0005_"/>
      <sheetName val="월별"/>
      <sheetName val="EQUIP LIST"/>
      <sheetName val="소상 &quot;1&quot;"/>
      <sheetName val="도"/>
      <sheetName val="빙장비사양"/>
      <sheetName val="FAB4생산"/>
      <sheetName val="HVAC"/>
      <sheetName val="지급자재대"/>
      <sheetName val="단__가__대__비__표"/>
      <sheetName val="일__위__대__가__목__록"/>
      <sheetName val="90_03실행_"/>
      <sheetName val="3_공통공사대비"/>
      <sheetName val="AIR_SHOWER(3인용)"/>
      <sheetName val="왕십리방향"/>
      <sheetName val="가시설"/>
      <sheetName val="ÀÔ낼㝗ﰀ㝗"/>
      <sheetName val="10.Ã¶丵⾥_x0005__x0000__x0000_"/>
      <sheetName val="ÀÔԀ_x0000_缀_x0000_"/>
      <sheetName val="Á¶µµ°è»ê¼­ (헾⼵_x0005__x0000_"/>
      <sheetName val="10.Ã¶堨û丵⽏_x0005__x0000_"/>
      <sheetName val="Á¶µµ°è»ê¼­ (堨û丵⽏_x0005_"/>
      <sheetName val="unit_4"/>
      <sheetName val="2F_회의실견적(5_14_일대)"/>
      <sheetName val="원가계산서_(총괄)"/>
      <sheetName val="원가계산서_(건축)"/>
      <sheetName val="임시급식_(2)"/>
      <sheetName val="Summary_Sheets"/>
      <sheetName val="96보완계획7_12"/>
      <sheetName val="ITB_COST"/>
      <sheetName val="3_내역서"/>
      <sheetName val="전차선로_물량표"/>
      <sheetName val="1공구_건정토건_토공"/>
      <sheetName val="º¹±¸·®»êÁ¤_¹×_Àü¿ëÈ¸¼±_»ç¿ë"/>
      <sheetName val="4¿ù_½ÇÀûÃßÁ¤(°ÇÃà+Åä¸ñ)"/>
      <sheetName val="4¿ù_½ÇÀûÃßÁ¤(°ÇÃà)"/>
      <sheetName val="6PILE__(돌출)"/>
      <sheetName val="플랜트_설치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노원열병합__건축공사기성내역서"/>
      <sheetName val="내역서_(2)"/>
      <sheetName val="EQUIPMENT_-2"/>
      <sheetName val="빌딩_안내"/>
      <sheetName val="3련_BOX"/>
      <sheetName val="10_Ã¶丵⾥"/>
      <sheetName val="자동_철거"/>
      <sheetName val="자동_설치"/>
      <sheetName val="토목_철주"/>
      <sheetName val="철거_일위대가(1-19)"/>
      <sheetName val="철거_일위대가(20-22)"/>
      <sheetName val="CABLE_SIZE-3"/>
      <sheetName val="설치_일위대가(23-45호)"/>
      <sheetName val="TRE_TABLE"/>
      <sheetName val="2000,9월_일위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10_Ã¶堨û丵⽏"/>
      <sheetName val="Á¶µµ°è»ê¼­_(堨û丵⽏"/>
      <sheetName val="const_"/>
      <sheetName val="BSD_(2)"/>
      <sheetName val="_견적서"/>
      <sheetName val="Á¶µµ°è»ê¼­_(헾⼵"/>
      <sheetName val="_상부공통집계(총괄)"/>
      <sheetName val="일위대가표_(2)"/>
      <sheetName val="방음벽_기초_일반수량"/>
      <sheetName val="I_설계조건"/>
      <sheetName val="2007일위_"/>
      <sheetName val="토목일위_(83~)"/>
      <sheetName val="노무비_"/>
      <sheetName val="8__안정검토"/>
      <sheetName val="설치_일위대가(46~78호)"/>
      <sheetName val="BASIC_(2)"/>
      <sheetName val="Man_Power_&amp;_Comp"/>
      <sheetName val="2000년_공정표"/>
      <sheetName val="220_(2)"/>
      <sheetName val="노무비_근거"/>
      <sheetName val="효성CB_1P기초"/>
      <sheetName val="단가_"/>
      <sheetName val="2000.11¿ù¼³餀㢘ԯ_x0000_缀_x0000_"/>
      <sheetName val="밀양노선별공사비명세서"/>
      <sheetName val="1안"/>
      <sheetName val="테이블"/>
      <sheetName val="수주실적0709"/>
      <sheetName val="제4절-1"/>
      <sheetName val="전체_1설계"/>
      <sheetName val="광혁기성"/>
      <sheetName val="공주-교대(A1)"/>
      <sheetName val="내역서단가산출용"/>
      <sheetName val="구조     ."/>
      <sheetName val="1)fs"/>
      <sheetName val="(전체발주,금회3차공사)내역서"/>
      <sheetName val="Macro(AT)"/>
      <sheetName val="PW3"/>
      <sheetName val="PW4"/>
      <sheetName val="SC1"/>
      <sheetName val="PE"/>
      <sheetName val="PM"/>
      <sheetName val="TR"/>
      <sheetName val="0001(arch)"/>
      <sheetName val="Breakdown"/>
      <sheetName val="금호산업"/>
      <sheetName val="표 지"/>
      <sheetName val="공사비내역서"/>
      <sheetName val="주경기-오배수"/>
      <sheetName val="REINF."/>
      <sheetName val="11.자재단가"/>
      <sheetName val="b_balju"/>
      <sheetName val="총괄갑 "/>
      <sheetName val="L-type"/>
      <sheetName val="총(신설)"/>
      <sheetName val="분수공별 면적"/>
      <sheetName val="관로조직표"/>
      <sheetName val="4.2.1 마루높이 검토"/>
      <sheetName val="이토변실(A3-LINE)"/>
      <sheetName val="평가내역"/>
      <sheetName val="직접인건비"/>
      <sheetName val="토공대가"/>
      <sheetName val="구조대가"/>
      <sheetName val="포설대가1"/>
      <sheetName val="부대대가"/>
      <sheetName val="토공실행"/>
      <sheetName val="B.O.M"/>
      <sheetName val="화전내"/>
      <sheetName val="중기목록"/>
      <sheetName val="박스토공"/>
      <sheetName val="기준표"/>
      <sheetName val="보호공"/>
      <sheetName val="0.갑지"/>
      <sheetName val="자재일람"/>
      <sheetName val="구의33고"/>
      <sheetName val="SLIDES"/>
      <sheetName val="Ext. Stone-P"/>
      <sheetName val="건축공사 집계표"/>
      <sheetName val="골조"/>
      <sheetName val="구간산출"/>
      <sheetName val="전압"/>
      <sheetName val="조도"/>
      <sheetName val="동력"/>
      <sheetName val="VENDOR LIST"/>
      <sheetName val="총괄서"/>
      <sheetName val="내역아"/>
      <sheetName val="울타리"/>
      <sheetName val="빙축열"/>
      <sheetName val="기술자료 (연수)"/>
      <sheetName val="등록업체"/>
      <sheetName val="견적정보"/>
      <sheetName val="RE9604"/>
      <sheetName val="노임단가표"/>
      <sheetName val="5.동별횡주관경"/>
      <sheetName val="일위(시설)"/>
      <sheetName val="IMF Code"/>
      <sheetName val="1F"/>
      <sheetName val="노원열병합  건축︀ᇕ԰_x0000_缀_x0000__x0000_"/>
      <sheetName val="노원열병합  건축ﻕᇕ԰_x0000_缀_x0000__x0000_"/>
      <sheetName val="Top PO"/>
      <sheetName val="보도경계블럭"/>
      <sheetName val="날개벽(좌,우=45도,75도)"/>
      <sheetName val="full (2)"/>
      <sheetName val="옥외"/>
      <sheetName val="Tot-sum"/>
      <sheetName val="노원열병합  건축렀䡟ԯ_x0000_缀_x0000__x0000_"/>
      <sheetName val="154TW"/>
      <sheetName val="일반수량집계"/>
      <sheetName val="예비품"/>
      <sheetName val="남대문빌딩"/>
      <sheetName val="PUMP"/>
      <sheetName val="원내역서 그대로"/>
      <sheetName val="파이프"/>
      <sheetName val="실행비교"/>
      <sheetName val="회로내역(승인)"/>
      <sheetName val="공통대가"/>
      <sheetName val="Pier 3"/>
      <sheetName val="민감도"/>
      <sheetName val="조경"/>
      <sheetName val="수안보-_x0005__x0000__x0000_"/>
      <sheetName val="부표총괄"/>
      <sheetName val="배"/>
      <sheetName val="노원열병합  건축렀こ렀䡟ԯ_x0000_缀"/>
      <sheetName val="일반맨홀수량집계(A-7 LINE)"/>
      <sheetName val="E.P.T수량산출서"/>
      <sheetName val="공제구간조서"/>
      <sheetName val="1호인버트수량"/>
      <sheetName val="석축설면"/>
      <sheetName val="법면단"/>
      <sheetName val="Sheet22"/>
      <sheetName val="내역전기"/>
      <sheetName val="동원인원산출"/>
      <sheetName val="일위대가 "/>
      <sheetName val="가시설수량"/>
      <sheetName val="장비집계"/>
      <sheetName val="암센터"/>
      <sheetName val="TYPE-B 평균H"/>
      <sheetName val="인부임"/>
      <sheetName val="특기사항"/>
      <sheetName val="하도내역 (철콘)"/>
      <sheetName val="GAEYO"/>
      <sheetName val="집계표(공종별)"/>
      <sheetName val="명세"/>
      <sheetName val="견적서(1)"/>
      <sheetName val="2234"/>
      <sheetName val="조립1부실적"/>
      <sheetName val="5월"/>
      <sheetName val="능률"/>
      <sheetName val="Despacho (c.civil)"/>
      <sheetName val="1을"/>
      <sheetName val="감가상각"/>
      <sheetName val="자판실행"/>
      <sheetName val="D16"/>
      <sheetName val="D25"/>
      <sheetName val="D22"/>
      <sheetName val="적용(기尜_x0013_"/>
      <sheetName val="2.1  노무비 평균단가산출"/>
      <sheetName val="CLAUSE"/>
      <sheetName val="약품설︀"/>
      <sheetName val="3CHBDC"/>
      <sheetName val="1-11조직표"/>
      <sheetName val="산근(목록)"/>
      <sheetName val="이형관중량"/>
      <sheetName val="기자재׃"/>
      <sheetName val="갑지(0_x0000_"/>
      <sheetName val="단0_x0000_退"/>
      <sheetName val="갑지(렀뚣瘉"/>
      <sheetName val="갑지(_x0000_뎰瘇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스케즐"/>
      <sheetName val="PAINT"/>
      <sheetName val="단위세대물량"/>
      <sheetName val="낙찰표"/>
      <sheetName val="변경품셈"/>
      <sheetName val="대비표"/>
      <sheetName val="제丵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22단丵"/>
      <sheetName val="22단헾"/>
      <sheetName val="전선_및_전선ࠝ"/>
      <sheetName val="대,怀፵"/>
      <sheetName val="단가적용(터널)"/>
      <sheetName val="단위가격_할증"/>
      <sheetName val="제"/>
      <sheetName val="산출및내역"/>
      <sheetName val="총괄집䠄ᡏ"/>
      <sheetName val="96.12"/>
      <sheetName val="계약표지"/>
      <sheetName val="기준비용"/>
      <sheetName val="분양가격표"/>
      <sheetName val="현장설က_x0000_蠀ᛟ"/>
      <sheetName val="학생내역"/>
      <sheetName val="Working(wo WTs)"/>
      <sheetName val="주조정실"/>
      <sheetName val="Requirements"/>
      <sheetName val="원가계산하도"/>
      <sheetName val="거푸집물량"/>
      <sheetName val="단위_x0000__x0000_尀"/>
      <sheetName val="단위ࠀᎄ䰀"/>
      <sheetName val="단위倀❹缀"/>
      <sheetName val="단위耀ὡ"/>
      <sheetName val="적용기준"/>
      <sheetName val="견적내역"/>
      <sheetName val="설변물량"/>
      <sheetName val="B부대공"/>
      <sheetName val="아산경희980422"/>
      <sheetName val="소일위대가코드표"/>
      <sheetName val="사각맨0"/>
      <sheetName val="105,106,107동"/>
      <sheetName val="수로교총재료齘_x0013_"/>
      <sheetName val="통신단가조사"/>
      <sheetName val="산출2-기기동력"/>
      <sheetName val="견적의ᰀ፜"/>
      <sheetName val="사각맨᠜"/>
      <sheetName val="공기԰_x0000_缀"/>
      <sheetName val="설계睮め_x0005_"/>
      <sheetName val="CF"/>
      <sheetName val="전기일위목록"/>
      <sheetName val="가계부"/>
      <sheetName val="제품목록"/>
      <sheetName val="매입매출관리"/>
      <sheetName val="UPDATA"/>
      <sheetName val="단가보완"/>
      <sheetName val="5사남"/>
      <sheetName val="각종장비전압강하계산"/>
      <sheetName val="시중노임(공사)"/>
      <sheetName val="설계변경내역 98"/>
      <sheetName val="목록1"/>
      <sheetName val="목록2"/>
      <sheetName val="원본(갑지)"/>
      <sheetName val="배관배선 단가조사"/>
      <sheetName val="동력배선"/>
      <sheetName val="본선동력배선"/>
      <sheetName val="본선조명"/>
      <sheetName val="전력간선배선"/>
      <sheetName val="전열배선"/>
      <sheetName val="Macro"/>
      <sheetName val="참조(2)"/>
      <sheetName val="내역서1"/>
      <sheetName val="cable-data"/>
      <sheetName val="전체내역 (2)"/>
      <sheetName val="keyword"/>
      <sheetName val="Summary"/>
      <sheetName val="1._x005f_x0018_변전설비"/>
      <sheetName val="다곡2교"/>
      <sheetName val="TYPE1"/>
      <sheetName val="철근량"/>
      <sheetName val="입렀"/>
      <sheetName val="입栀"/>
      <sheetName val="입ꠀ"/>
      <sheetName val="계정"/>
      <sheetName val="BIDDING-SUM"/>
      <sheetName val="입︀"/>
      <sheetName val=" 소방공사 산출근거"/>
      <sheetName val="1._x005f_x005f_x005f_x0018_변전설비"/>
      <sheetName val="YES.XLS"/>
      <sheetName val="장비명"/>
      <sheetName val="경비공통"/>
      <sheetName val="입찰보Ⳡ"/>
      <sheetName val="자재표"/>
      <sheetName val="총(철거)"/>
      <sheetName val="RangeObject"/>
      <sheetName val="분뇨"/>
      <sheetName val="H-pile(250x250)"/>
      <sheetName val="H-pile(298x299)"/>
      <sheetName val="쌍송교"/>
      <sheetName val="방음벽기초(H_xd8d4_ㆂᰀㆃ"/>
      <sheetName val="안정검토(온1)"/>
      <sheetName val="일위대가(원본)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CT "/>
      <sheetName val="전력구구조물산근2구간"/>
      <sheetName val="총공사비"/>
      <sheetName val="금강견적"/>
      <sheetName val="북방3터널"/>
      <sheetName val="포장공자재집계표"/>
      <sheetName val="3련 B姨#"/>
      <sheetName val="무전표"/>
      <sheetName val="공통단가"/>
      <sheetName val="운반비"/>
      <sheetName val="LIST"/>
      <sheetName val="현장관리비데이타"/>
      <sheetName val="바이오"/>
      <sheetName val="잡철물"/>
      <sheetName val="배수관접합및부설  "/>
      <sheetName val="000000"/>
      <sheetName val="5"/>
      <sheetName val="수지표"/>
      <sheetName val="셀명"/>
      <sheetName val="D"/>
      <sheetName val="기성내역"/>
      <sheetName val="변품8-37"/>
      <sheetName val="Change rate"/>
      <sheetName val="B3.PERSONEL-Ucret"/>
      <sheetName val="nomi "/>
      <sheetName val="순공사비"/>
      <sheetName val="관기성공.내"/>
      <sheetName val="손익집계(공장별)"/>
      <sheetName val="설계명세서(선로)"/>
      <sheetName val="esc"/>
      <sheetName val="영흥TL(UP,DOWN) "/>
      <sheetName val="sheets"/>
      <sheetName val="공사"/>
      <sheetName val="단가비교표 (계측제어)"/>
      <sheetName val="일위대가1"/>
      <sheetName val="C.배수관공"/>
      <sheetName val="식재-외주 (2)"/>
      <sheetName val="유효폭의 계산"/>
      <sheetName val="용산3(영광)"/>
      <sheetName val="新철폐복2"/>
      <sheetName val="新철폐복3"/>
      <sheetName val="남양내역"/>
      <sheetName val="TYPE-U800"/>
      <sheetName val="카렌스센터계량기설치공사"/>
      <sheetName val="설계서(설치)"/>
      <sheetName val="토목내역서"/>
      <sheetName val="재료집계표3"/>
      <sheetName val="범용개발순소요비용"/>
      <sheetName val="05 BOX"/>
      <sheetName val="02 SLAB"/>
      <sheetName val="gvl"/>
      <sheetName val="기준"/>
      <sheetName val="금융비용"/>
      <sheetName val="실내건축일위대가"/>
      <sheetName val="변수2"/>
      <sheetName val="저항"/>
      <sheetName val="대상공사(조달청)"/>
      <sheetName val="적용환율"/>
      <sheetName val="한전고리-을"/>
      <sheetName val="basic_info"/>
      <sheetName val="자금청구"/>
      <sheetName val="9GN邷㭘"/>
      <sheetName val="shtOpr"/>
      <sheetName val="정거장"/>
      <sheetName val="길내기"/>
      <sheetName val="전등부하"/>
      <sheetName val="(C)원내역"/>
      <sheetName val="환률"/>
      <sheetName val="공사비명세서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경로당내역건축"/>
      <sheetName val="계림(함평)"/>
      <sheetName val="계림(장성)"/>
      <sheetName val="노임단가(08.01)"/>
      <sheetName val="몰탈단가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투찰금액"/>
      <sheetName val="석재장조사"/>
      <sheetName val="파일의이용"/>
      <sheetName val="유동표"/>
      <sheetName val="CAL"/>
      <sheetName val="FRT_O"/>
      <sheetName val="FAB_I"/>
      <sheetName val="2002계약현황"/>
      <sheetName val="견적접수"/>
      <sheetName val="견적내역서"/>
      <sheetName val="PANEL"/>
      <sheetName val="덕전리"/>
      <sheetName val="Sheet16 (2)"/>
      <sheetName val="대창(함평)"/>
      <sheetName val="대구-교대(A1)"/>
      <sheetName val="시초1교"/>
      <sheetName val="추가예산"/>
      <sheetName val="48신설수량"/>
      <sheetName val="설계변경내역서"/>
      <sheetName val="조건입력"/>
      <sheetName val="조건입력(2)"/>
      <sheetName val="장비선정"/>
      <sheetName val="금광1터널"/>
      <sheetName val="º¯°æ»çÀþ"/>
      <sheetName val="제수변︀ᇕ"/>
      <sheetName val="º¯°æ»çÀ_x0000_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제수변䊱ᅪ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주관锼_x0013_"/>
      <sheetName val="2호맨홀공제수량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36신丵〒_x0005_"/>
      <sheetName val="KSHAHU-6"/>
      <sheetName val="대가 (보완)"/>
      <sheetName val="접속도로"/>
      <sheetName val="토목원가계窨_x0013_"/>
      <sheetName val="교실"/>
      <sheetName val="견적단가"/>
      <sheetName val="암거공"/>
      <sheetName val="-15.0"/>
      <sheetName val="해평견적"/>
      <sheetName val="사리부설"/>
      <sheetName val="1월"/>
      <sheetName val="임대견적서"/>
      <sheetName val="포쐀䑣"/>
      <sheetName val="포䠟⥏"/>
      <sheetName val="포䠠⥏"/>
      <sheetName val="포䈀㙪"/>
      <sheetName val="정산입력"/>
      <sheetName val="개산공사비"/>
      <sheetName val="총괄집桶青"/>
      <sheetName val="01상노임"/>
      <sheetName val="토 적 표"/>
      <sheetName val="栍ᾆ"/>
      <sheetName val="동원인원"/>
      <sheetName val="자재 집계표"/>
      <sheetName val="백호헾】_x0005_"/>
      <sheetName val="36신설수翇"/>
      <sheetName val="36신설수︀"/>
      <sheetName val="견적꓀᥻"/>
      <sheetName val="36신설수Ç"/>
      <sheetName val="36신설수資"/>
      <sheetName val="정화조"/>
      <sheetName val="현장일보"/>
      <sheetName val="9509"/>
      <sheetName val="신공항A-9헾】_x0005__x0000__x0000_"/>
      <sheetName val="A(Rev.3)"/>
      <sheetName val="부총"/>
      <sheetName val="기존구조물철거집계계표"/>
      <sheetName val="내역서(교량)전체"/>
      <sheetName val="장비경비"/>
      <sheetName val="원가계墬ᥓ"/>
      <sheetName val="원가계Ⴌ_x0000_"/>
      <sheetName val="관로토공집계표"/>
      <sheetName val="3회기성헾】"/>
      <sheetName val="변경비교헾】"/>
      <sheetName val="3회기성䃸〒"/>
      <sheetName val="3회기성_x0005__x0000_"/>
      <sheetName val="3회기성吸("/>
      <sheetName val="3회기성ⱂ⿌"/>
      <sheetName val="3회기성埀0"/>
      <sheetName val="제철"/>
      <sheetName val="건공실"/>
      <sheetName val="입찰사유서 제4공종 (흙깎기)"/>
      <sheetName val="하부철근수량"/>
      <sheetName val="코드"/>
      <sheetName val="배관단가조사서"/>
      <sheetName val="상반기손익차2총괄"/>
      <sheetName val="설계일반"/>
      <sheetName val="토목검측서"/>
      <sheetName val="DRAIN DRUM PIT D-301"/>
      <sheetName val="TYPE집계표"/>
      <sheetName val="기성내역서"/>
      <sheetName val="PAD TR보호대기초"/>
      <sheetName val="가로등기초"/>
      <sheetName val="HANDHOLE(2)"/>
      <sheetName val="MW-BM"/>
      <sheetName val="´_x0005__x0000_"/>
      <sheetName val="절감계산"/>
      <sheetName val="조도계산(가로등NEW)"/>
      <sheetName val="ML"/>
      <sheetName val="기초"/>
      <sheetName val="archi(본사)"/>
      <sheetName val="산출1-수변전"/>
      <sheetName val="산출1-전력"/>
      <sheetName val="산출6-TRAY"/>
      <sheetName val="산출7-본선1)"/>
      <sheetName val="산출7-본선2"/>
      <sheetName val="산출7-본선3"/>
      <sheetName val="방송(체육관)"/>
      <sheetName val="기본자료"/>
      <sheetName val="inputdata"/>
      <sheetName val="J__LOTUS_9605P_BB_C_BD_OUT_YE_2"/>
      <sheetName val="교대시점"/>
      <sheetName val="골재丵〒"/>
      <sheetName val="내역총渀腷"/>
      <sheetName val="사전공헾"/>
      <sheetName val="사전공颙"/>
      <sheetName val="수량BOQ"/>
      <sheetName val="POWER"/>
      <sheetName val="우,오수"/>
      <sheetName val="팔당터널(1공구)"/>
      <sheetName val="공정코드"/>
      <sheetName val="card1"/>
      <sheetName val="흙쌓기도수로설치현황(1)"/>
      <sheetName val="첨부파일"/>
      <sheetName val="토목내역서 (도급단가)"/>
      <sheetName val="비목군분류일위"/>
      <sheetName val="도장 및 용접 수량"/>
      <sheetName val="음성방향"/>
      <sheetName val="현장관리비 산출내역"/>
      <sheetName val="수압집계"/>
      <sheetName val="SP-B1"/>
      <sheetName val="신규 품"/>
      <sheetName val="단산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SANBAISU"/>
      <sheetName val="전체내ᓈባ"/>
      <sheetName val="전체내죃፺"/>
      <sheetName val="전체내쀀ፐ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견적堀᎟"/>
      <sheetName val="4렀቟԰"/>
      <sheetName val="4︀ᇕ԰"/>
      <sheetName val="사업계획1안"/>
      <sheetName val="월별수입"/>
      <sheetName val="참조자료"/>
      <sheetName val="Macro(부하)"/>
      <sheetName val="증栀ᙿ가"/>
      <sheetName val="공정"/>
      <sheetName val="단위별 일위대가표"/>
      <sheetName val="1호맨홀토공"/>
      <sheetName val="N頀ᚃ"/>
      <sheetName val="N"/>
      <sheetName val="공사직종별노임"/>
      <sheetName val="선우통상(을)"/>
      <sheetName val="견적서-골조공사"/>
      <sheetName val="부산4"/>
      <sheetName val="FIN TUBE"/>
      <sheetName val="HED. &amp; PIPE"/>
      <sheetName val="원가집계"/>
      <sheetName val="견적시담(송포2공구)"/>
      <sheetName val="귀래방향"/>
      <sheetName val="리터팬내장형"/>
      <sheetName val="FCU (2)"/>
      <sheetName val="장비분석"/>
      <sheetName val="W-현원가"/>
      <sheetName val="회사99"/>
      <sheetName val="부대토목"/>
      <sheetName val="LABTOTAL"/>
      <sheetName val="COA-17"/>
      <sheetName val="C-18"/>
      <sheetName val="Assumptions"/>
      <sheetName val="10월"/>
      <sheetName val="4.일위대가목차"/>
      <sheetName val="적격점수&lt;300억미만&gt;"/>
      <sheetName val="값"/>
      <sheetName val="11+040(통로)"/>
      <sheetName val="화재 颮㍓씀넖ԯ"/>
      <sheetName val="양식(직판용)"/>
      <sheetName val="96월별PL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AHU집계"/>
      <sheetName val="공조기휀"/>
      <sheetName val="계양가시설"/>
      <sheetName val="내부수지예산"/>
      <sheetName val="토목공사일반"/>
      <sheetName val="내역서(기성청구)"/>
      <sheetName val="1단계_견적내역서"/>
      <sheetName val="시설물기초"/>
      <sheetName val="당진1,2호기전선관설치및접지4차공사내역서-을지"/>
      <sheetName val="합계"/>
      <sheetName val="7.3.1 전력간선 굵기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위치"/>
      <sheetName val="공작물조직표(용배수)"/>
      <sheetName val="날개수량1.5"/>
      <sheetName val="몰탈䠊ፓ㠀擞"/>
      <sheetName val="bdata-출력안함"/>
      <sheetName val="공리공제"/>
      <sheetName val="자재ᰀ፜搀"/>
      <sheetName val="WIND-EQ"/>
      <sheetName val="DAILY"/>
      <sheetName val="농로수량집계"/>
      <sheetName val="OCT"/>
      <sheetName val="FEXS"/>
      <sheetName val="ISOP"/>
      <sheetName val="설계내"/>
      <sheetName val="설치 일위대가(46~԰_x0000_缀_x0000_"/>
      <sheetName val="원가계산서 "/>
      <sheetName val="N쌃괅"/>
      <sheetName val="지입집계"/>
      <sheetName val="공종별 집계"/>
      <sheetName val="용역비내역-진짜"/>
      <sheetName val="일별1"/>
      <sheetName val="집행(2-1)"/>
      <sheetName val="철탑공사"/>
      <sheetName val="1,2,3,4,5단위수량"/>
      <sheetName val="강관산출"/>
      <sheetName val="갑(전기)"/>
      <sheetName val="동력부하계산"/>
      <sheetName val="계약서"/>
      <sheetName val="PANEL 내역"/>
      <sheetName val="PAC"/>
      <sheetName val="hvac(제어동)"/>
      <sheetName val="LD"/>
      <sheetName val="지하"/>
      <sheetName val="청주(철골발주의뢰서)"/>
      <sheetName val="Price List"/>
      <sheetName val="ORIGN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일위대가-1"/>
      <sheetName val="준설량산정표"/>
      <sheetName val="견적대비 견적서"/>
      <sheetName val="15.공량산출근거서"/>
      <sheetName val="교각토공"/>
      <sheetName val="96노임기준"/>
      <sheetName val="CRUDE RE-bar"/>
      <sheetName val="기둥"/>
      <sheetName val="저판(버림100)"/>
      <sheetName val="재료-CODE"/>
      <sheetName val="내역_FILE"/>
      <sheetName val="9.2단가산출서"/>
      <sheetName val="손료"/>
      <sheetName val="중기사용료산출근거"/>
      <sheetName val="Stem Footing"/>
      <sheetName val="단위"/>
      <sheetName val="︀ᇕ"/>
      <sheetName val="怀፵"/>
      <sheetName val="자단"/>
      <sheetName val="공사착공계"/>
      <sheetName val="주사무실︀ᇕ"/>
      <sheetName val="주사무실ꠀ፺"/>
      <sheetName val="BOX ꠀ፺"/>
      <sheetName val="㗈቎"/>
      <sheetName val="주사무실ֳ_x0000_"/>
      <sheetName val="¼ö·®»êÃ¨"/>
      <sheetName val="¼ö·®»êÃ_x0005_"/>
      <sheetName val="¼ö·®»êÃ "/>
      <sheetName val="거실통로등"/>
      <sheetName val="주사무실墳᎟"/>
      <sheetName val="BOX ︀ᇕ"/>
      <sheetName val="BOX 저፺"/>
      <sheetName val="䋈ᅪ"/>
      <sheetName val="주사무실԰_x0000_"/>
      <sheetName val="ﻈ䓕"/>
      <sheetName val="BOX ︀釕"/>
      <sheetName val="위치︀釕"/>
      <sheetName val="BOX ᢝ"/>
      <sheetName val="8.석축단위(H=1.5M)"/>
      <sheetName val="ꠀ፺"/>
      <sheetName val="︀動"/>
      <sheetName val="BOX ᠀ᶛ"/>
      <sheetName val="위치᠀ᶛ"/>
      <sheetName val="저ᚙ"/>
      <sheetName val="ꠀ᪘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ᓈባ"/>
      <sheetName val="︀盕"/>
      <sheetName val="壈▞"/>
      <sheetName val="일목"/>
      <sheetName val="L_RPTB03_01"/>
      <sheetName val="단위수량산출"/>
      <sheetName val="차도부연장현황"/>
      <sheetName val="국도접속 차도부수량"/>
      <sheetName val="원곡IC교 내진성능보강공사 실시설계 용역.xlsx"/>
      <sheetName val="표지판현황"/>
      <sheetName val="CPM챠트"/>
      <sheetName val="합의서"/>
      <sheetName val="전체내ꀀፐ"/>
      <sheetName val="ꀀ"/>
      <sheetName val="교대(A1挔"/>
      <sheetName val="횡배위치"/>
      <sheetName val="계산중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식재가격"/>
      <sheetName val="식재총괄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ꠀ፺"/>
      <sheetName val="전체내԰_x0000_"/>
      <sheetName val="전체내֬_x0000_"/>
      <sheetName val="전체내ﰀ⁗"/>
      <sheetName val="전체내ﻈ䓕"/>
      <sheetName val="교대(A1헾"/>
      <sheetName val="하수급견적대鷸"/>
      <sheetName val="케이블트레이"/>
      <sheetName val="전체내棈᎜"/>
      <sheetName val="전체내䠀ᖞ"/>
      <sheetName val="하수급견적대鬘"/>
      <sheetName val="차압계산"/>
      <sheetName val="전체내저ᚙ"/>
      <sheetName val="전체내ꠀ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전체내蠀ᒗ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︀盕"/>
      <sheetName val="일위대가(계측︩盕ԯ_x0000_"/>
      <sheetName val="전체내壈▞"/>
      <sheetName val="토공총괄집계"/>
      <sheetName val="조정내역"/>
      <sheetName val="토공총괄표"/>
      <sheetName val="맨홀물량"/>
      <sheetName val="안양동교 1안"/>
      <sheetName val="소각장스케줄"/>
      <sheetName val="중로근거"/>
      <sheetName val="공종코드"/>
      <sheetName val="방호벽"/>
      <sheetName val="낙석방지책"/>
      <sheetName val="금액︀⣕"/>
      <sheetName val="노임목록"/>
      <sheetName val="외천교"/>
      <sheetName val="철콘집계"/>
      <sheetName val="5회기성03월"/>
      <sheetName val="목표세부명세"/>
      <sheetName val=" ｹ-ﾌﾞﾙ"/>
      <sheetName val="A"/>
      <sheetName val="매입세율"/>
      <sheetName val="관세,통관수수료,운반비"/>
      <sheetName val="KS-301_WBS"/>
      <sheetName val="가시설(TYPE-A)"/>
      <sheetName val="1호맨홀가감수량"/>
      <sheetName val="1-1평균터파기고(1)"/>
      <sheetName val="1호맨홀수량산출"/>
      <sheetName val="ASEM내역"/>
      <sheetName val="마산방향철근집계"/>
      <sheetName val="시추주상도"/>
      <sheetName val="※참고자료※"/>
      <sheetName val="자(3.0m)"/>
      <sheetName val="총괄집렇♑"/>
      <sheetName val="총괄집㸁䧾"/>
      <sheetName val="VXXXXXXX"/>
      <sheetName val="DATE2001"/>
      <sheetName val="좌측"/>
      <sheetName val="2.조명기구철거(일괄철거분)"/>
      <sheetName val="위치�ᢘ"/>
      <sheetName val="재료할증"/>
      <sheetName val="Á¶µµ°è»ê¼­ (µ_x0000__x0000_Ā_x0000_"/>
      <sheetName val="N۾_x0001_"/>
      <sheetName val="적정성평가표(8번)(1순위)"/>
      <sheetName val="적정성평가표(12번)(6순위)"/>
      <sheetName val="기별(종합)"/>
      <sheetName val="사용성검토"/>
      <sheetName val="작성"/>
      <sheetName val="행거,슈,볼트,펌프,잡재"/>
      <sheetName val="을-ATYPE"/>
      <sheetName val="선수금"/>
      <sheetName val="비탈면보호공수량산출"/>
      <sheetName val="산출"/>
      <sheetName val="49-11g"/>
      <sheetName val="49-11H"/>
      <sheetName val="PI_x0000__x0000_"/>
      <sheetName val="화산경계"/>
      <sheetName val="in"/>
      <sheetName val="인공산출"/>
      <sheetName val="설계수량"/>
      <sheetName val="국공유지및사유지"/>
      <sheetName val="0"/>
      <sheetName val="평균터파기고(1-2,ASP)"/>
      <sheetName val="암거단위-1련"/>
      <sheetName val="수안보-墰5壼5"/>
      <sheetName val="자재수량"/>
      <sheetName val="을지로철거"/>
      <sheetName val="위치蠀ﵱ"/>
      <sheetName val="위치︀盕"/>
      <sheetName val="입헾⿵"/>
      <sheetName val="입鴸Ĕ"/>
      <sheetName val="입헾⽈"/>
      <sheetName val="입鞨d"/>
      <sheetName val="입헾⾐"/>
      <sheetName val="위치恅"/>
      <sheetName val="위치䢳恬"/>
      <sheetName val="위치餀ẘ"/>
      <sheetName val="위치_xd800_챉"/>
      <sheetName val="입적"/>
      <sheetName val="부하飝챊欀犺"/>
      <sheetName val="부하欀犺ԯ_x0000_"/>
      <sheetName val="내역서 (ﺬ諕"/>
      <sheetName val="교통惨У԰_x0000_"/>
      <sheetName val="6.¾㉀ᩴ蛀"/>
      <sheetName val="PREFACE"/>
      <sheetName val="간접경상비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도근좌표"/>
      <sheetName val="발전기"/>
      <sheetName val="GEN"/>
      <sheetName val="1.동력공사"/>
      <sheetName val="수전기기DATA"/>
      <sheetName val="MdBase"/>
      <sheetName val="UB2"/>
      <sheetName val="sheet"/>
      <sheetName val="콘센트신설"/>
      <sheetName val="전등수량산출"/>
      <sheetName val="원가계산(2)"/>
      <sheetName val="상수도토공_x0005__x0000_"/>
      <sheetName val="설직재0_x0000_"/>
      <sheetName val="설직재餀㒘"/>
      <sheetName val="°¡·Îµî耀퓬縺"/>
      <sheetName val="°¡·Îµî⸀朋ԯ_x0000_缀_x0000_"/>
      <sheetName val="추천서"/>
      <sheetName val="PUMP SHT"/>
      <sheetName val="변경후원본2"/>
      <sheetName val="경성자금"/>
      <sheetName val="SUB일위대가"/>
      <sheetName val="사용자정의"/>
      <sheetName val="평자재단가"/>
      <sheetName val="95년12월말"/>
      <sheetName val="교량전기"/>
      <sheetName val="철거산출헾】"/>
      <sheetName val="철거산출午_x0013_"/>
      <sheetName val="토목(용인)"/>
      <sheetName val="ࠀ᎚"/>
      <sheetName val="내역 (2)"/>
      <sheetName val="건축2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화재_탐지_설비"/>
      <sheetName val="호봉_(2)"/>
      <sheetName val="8_PILE__(돌출)"/>
      <sheetName val="69_03%"/>
      <sheetName val="변경내역84_52%"/>
      <sheetName val="PROJECT_BRIEF"/>
      <sheetName val="5_공종별예산내역서"/>
      <sheetName val="97_사업추정(WEKI)"/>
      <sheetName val="총괄원가_"/>
      <sheetName val="_갑__지_"/>
      <sheetName val="기성내역_진짜"/>
      <sheetName val="설산1_나"/>
      <sheetName val="실행내역서_"/>
      <sheetName val="plan&amp;section_of_foundation"/>
      <sheetName val="working_load_at_the_btm_ft_"/>
      <sheetName val="stability_check"/>
      <sheetName val="design_criteria"/>
      <sheetName val="할증_"/>
      <sheetName val="PUMP_SHT"/>
      <sheetName val="FIN_TUBE"/>
      <sheetName val="HED__&amp;_PIPE"/>
      <sheetName val="_총괄표"/>
      <sheetName val="0_Áý°è"/>
      <sheetName val="1_¼öº¯Àü¼³ºñ°ø»ç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토공(우물통,기타)_"/>
      <sheetName val="96_x0005__x0000_ø"/>
      <sheetName val="99노임기준"/>
      <sheetName val="48산출"/>
      <sheetName val="암거"/>
      <sheetName val="기초대가"/>
      <sheetName val="커튼월(pfg)"/>
      <sheetName val="배수내역"/>
      <sheetName val="시설물"/>
      <sheetName val="식재"/>
      <sheetName val="도장"/>
      <sheetName val="전기일ꙭÀ_x0000_"/>
      <sheetName val="미드수량"/>
      <sheetName val="토공대비"/>
      <sheetName val="직원투입계획"/>
      <sheetName val="N閞㋁"/>
      <sheetName val="심사공종"/>
      <sheetName val="각종양식"/>
      <sheetName val="운동장 (2)"/>
      <sheetName val="조경내역"/>
      <sheetName val="금액내렀቟"/>
      <sheetName val="금액내԰_x0000_"/>
      <sheetName val="등록׃】"/>
      <sheetName val="등록_x0010__x0000_"/>
      <sheetName val="설계명세_x0005_"/>
      <sheetName val="DATA 입᠒ᎍ"/>
      <sheetName val="설계명세_x0000_"/>
      <sheetName val="설계명세揄"/>
      <sheetName val="설계명세䡲"/>
      <sheetName val="제조 경영"/>
      <sheetName val="예산대비"/>
      <sheetName val="사각맨ﻇ"/>
      <sheetName val="공비대䠚"/>
      <sheetName val="40총괄"/>
      <sheetName val="40집계"/>
      <sheetName val="결재판"/>
      <sheetName val="기계경비(旉る_x0000__x0000_"/>
      <sheetName val="기계경비(贘_x0013_짘ࣅ"/>
      <sheetName val="사진대지"/>
      <sheetName val="L형옹벽"/>
      <sheetName val="RAHMEN"/>
      <sheetName val="등록_x0000__x0000_"/>
      <sheetName val="인원계획"/>
      <sheetName val="시행예산"/>
      <sheetName val="자압1"/>
      <sheetName val="원가총괄"/>
      <sheetName val="A1_본체_수량산출서"/>
      <sheetName val="8. 내진해석"/>
      <sheetName val="세부狇譈"/>
      <sheetName val="주관사_x0000_"/>
      <sheetName val="주관사提"/>
      <sheetName val="주관사㧨"/>
      <sheetName val="주관사㌈"/>
      <sheetName val="파이프류"/>
      <sheetName val="점검내역서(data) (2)"/>
      <sheetName val="사각맨퀀"/>
      <sheetName val="사각맨堀"/>
      <sheetName val="사각맨䈀"/>
      <sheetName val="»êÃ렀䡟ԯ_x0000_缀"/>
      <sheetName val="»êÃ︀ᇕ԰_x0000_缀"/>
      <sheetName val="몰탈재븧܊"/>
      <sheetName val="견적의"/>
      <sheetName val="견적의烇彰"/>
      <sheetName val="4/_x0000_䠀"/>
      <sheetName val="4쌇栅/"/>
      <sheetName val="4က_x0000_က"/>
      <sheetName val="수안보-헾】_x0005__x0000_"/>
      <sheetName val="준공조서갑지"/>
      <sheetName val="앉음벽 (2)"/>
      <sheetName val="하도급선정의뢰서(습식공_x0000__x0000_"/>
      <sheetName val="OCT.FDN"/>
      <sheetName val="삼성전기"/>
      <sheetName val="내역서-전체낙찰율"/>
      <sheetName val="재료단가"/>
      <sheetName val="전장품(관리용)"/>
      <sheetName val="준공정산"/>
      <sheetName val="부대공집계표"/>
      <sheetName val="관일"/>
      <sheetName val="노무비(DB)_이후 출력XXXXXX"/>
      <sheetName val="March"/>
      <sheetName val="1._x0018_변︀ᇕ԰"/>
      <sheetName val="삭제금지단가"/>
      <sheetName val="한화 둔산 내역서"/>
      <sheetName val="방배동내역(리라)"/>
      <sheetName val="부대공사총괄"/>
      <sheetName val="건축공사집계표"/>
      <sheetName val="방배동내역 (총괄)"/>
      <sheetName val="³²¾ç½ÃÀÛµ¿ÀÚ105³ë65±_x0000__x0000__x0005__x0000_慀ȡ_x0000__x0000__x0000_"/>
      <sheetName val="단  가  垨4奜4睮⿩_x0005_"/>
      <sheetName val="토목변경"/>
      <sheetName val="당사실시1"/>
      <sheetName val="교사기준면적(초등)"/>
      <sheetName val="토공및부대2차"/>
      <sheetName val="새공통"/>
      <sheetName val="3절_CheckList_구분"/>
      <sheetName val="총괄표(1)"/>
      <sheetName val="내역5"/>
      <sheetName val="인부신상자료"/>
      <sheetName val="기성공제요청서"/>
      <sheetName val="하도기성내역 수정"/>
      <sheetName val="기성공제 동의서"/>
      <sheetName val="기성공제 합의서(쓰레기처리비)"/>
      <sheetName val="변경실행(2차) "/>
      <sheetName val="호표"/>
      <sheetName val="공정량산출내역서 "/>
      <sheetName val="B767"/>
      <sheetName val="수안보-徸〒_x0005__x0000_"/>
      <sheetName val="입출재고현⩿〚_x0005__x0000_"/>
      <sheetName val="수안보-娐&gt;闰⿑"/>
      <sheetName val="수안보-ꮸ⿥_x0005__x0000_"/>
      <sheetName val="백호丵〒_x0005_"/>
      <sheetName val="철근총괄집계표"/>
      <sheetName val="참조 DATA"/>
      <sheetName val="남양주부대"/>
      <sheetName val="단위목헾"/>
      <sheetName val="산출내역(K2)"/>
      <sheetName val="전체제잡비"/>
      <sheetName val="지불내역1"/>
      <sheetName val="집수정(1)"/>
      <sheetName val="직접비"/>
      <sheetName val="페인트"/>
      <sheetName val="30신설일위대가"/>
      <sheetName val="30집계표"/>
      <sheetName val="지구단위계획"/>
      <sheetName val="00노임기준"/>
      <sheetName val="일위대가(가설԰"/>
      <sheetName val="본사공가현황"/>
      <sheetName val="spec"/>
      <sheetName val="program"/>
      <sheetName val="studbolt no."/>
      <sheetName val="studbolt size"/>
      <sheetName val="item sort no"/>
      <sheetName val="하남내역"/>
      <sheetName val="공사비예산서"/>
      <sheetName val="천방교접속"/>
      <sheetName val="09년실적"/>
      <sheetName val="중사"/>
      <sheetName val="단가산출목록표"/>
      <sheetName val="단가(1)"/>
      <sheetName val="##내역서##"/>
      <sheetName val="식재출력용"/>
      <sheetName val="유지관리"/>
      <sheetName val="キ⩙"/>
      <sheetName val="VS P-Q"/>
      <sheetName val="법면"/>
      <sheetName val="배수공1"/>
      <sheetName val="내역서(당초변경)"/>
      <sheetName val="도급단가-아파트"/>
      <sheetName val="교량명원본"/>
      <sheetName val="BOX제원원본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고창방향"/>
      <sheetName val="역삼"/>
      <sheetName val="구조물공집계"/>
      <sheetName val="부대집계"/>
      <sheetName val="BREAKDOWN(철거설치)"/>
      <sheetName val="물량증감"/>
      <sheetName val="9902"/>
      <sheetName val="환율"/>
      <sheetName val="주소록"/>
      <sheetName val="조명율"/>
      <sheetName val="보집계표"/>
      <sheetName val="배관내역"/>
      <sheetName val="토목공종세부"/>
      <sheetName val="예산내역"/>
      <sheetName val="총괄수지표"/>
      <sheetName val="견적회신"/>
      <sheetName val="1. 가로등 설비 공사(산출)"/>
      <sheetName val="---FAB#1업무일지---"/>
      <sheetName val="base"/>
      <sheetName val="S0"/>
      <sheetName val="ÀÏÀ§´ë헾】_x0005__x0000__x0000__x0000_"/>
      <sheetName val="공무공A"/>
      <sheetName val="기계경비(시"/>
      <sheetName val="98수금사업"/>
      <sheetName val="o현장경비"/>
      <sheetName val="가도䠀"/>
      <sheetName val="가도ԯ"/>
      <sheetName val="가도저"/>
      <sheetName val="°ø±¸¼Õ·_x0000_"/>
      <sheetName val="지입자재"/>
      <sheetName val="피스표"/>
      <sheetName val="조견표"/>
      <sheetName val="관헾"/>
      <sheetName val="원가(1︀"/>
      <sheetName val="원가(1䠀"/>
      <sheetName val="관聈"/>
      <sheetName val="개봉3동하수관"/>
      <sheetName val="관_x0005_"/>
      <sheetName val="36+45-113-18+19+20I"/>
      <sheetName val="측구터파기공수량집계"/>
      <sheetName val="수장"/>
      <sheetName val="일위(PN)"/>
      <sheetName val="Piping Cost"/>
      <sheetName val="차단기 BACK DATA"/>
      <sheetName val="³²¾ç½ÃÀÛµ¿ÀÚ105³ë65_x0000__x0000_Ԁ_x0000__x0000_贈_x0002__x0000__x0000__x0000_"/>
      <sheetName val="토공2"/>
      <sheetName val="자탐수량산출서"/>
      <sheetName val="C1ㅇ"/>
      <sheetName val="STD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신.분"/>
      <sheetName val="4.2유효폭의 계산"/>
      <sheetName val="정보"/>
      <sheetName val="형식별 개략공사비"/>
      <sheetName val="간이영수증"/>
      <sheetName val="내역총괄표"/>
      <sheetName val="접지뀀Ῥ"/>
      <sheetName val="대우단가(풍산)"/>
      <sheetName val="99 조정금액"/>
      <sheetName val="관급자재대"/>
      <sheetName val="계정과목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대비2"/>
      <sheetName val="패널"/>
      <sheetName val="설계요율"/>
      <sheetName val="주재료비"/>
      <sheetName val="4.전기"/>
      <sheetName val="흄관수량"/>
      <sheetName val="YES-T"/>
      <sheetName val="N0_x0000_"/>
      <sheetName val="수정"/>
      <sheetName val="RING WALL"/>
      <sheetName val="CAL."/>
      <sheetName val="insulation"/>
      <sheetName val="Architecture Work"/>
      <sheetName val="PipWT"/>
      <sheetName val="뜃맟뭁돽띿맟?-BLDG"/>
      <sheetName val="은평작업지시대장"/>
      <sheetName val="차도부수량집계표"/>
      <sheetName val="세목별"/>
      <sheetName val="소개"/>
      <sheetName val="#REF!"/>
      <sheetName val="계열사현황종합"/>
      <sheetName val="천마갑지"/>
      <sheetName val="적정심사"/>
      <sheetName val="8. 안_x0000__x0000__x0005_"/>
      <sheetName val="ꢭ፺"/>
      <sheetName val="206 무장,정비 장비용량 산출"/>
      <sheetName val="노임 단가"/>
      <sheetName val="5공철탑검토표"/>
      <sheetName val="4공철탑검토"/>
      <sheetName val="수량산출내역1115"/>
      <sheetName val="아파트저᝾"/>
      <sheetName val="아파트㾅"/>
      <sheetName val="일위대가표(무)"/>
      <sheetName val="일위대가산출기초"/>
      <sheetName val="건0_x0000_蠀"/>
      <sheetName val="금0_x0000_䠀"/>
      <sheetName val="금蠣㡎耀"/>
      <sheetName val="5.3 단면가정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배전반용량계산"/>
      <sheetName val="세정탑 설계"/>
      <sheetName val="건축-물가변동"/>
      <sheetName val="기계설비-물가변동"/>
      <sheetName val="강교(Sub)"/>
      <sheetName val="일반토공견적"/>
      <sheetName val="원형측구(B-type)"/>
      <sheetName val="EJ"/>
      <sheetName val="선로정수계산"/>
      <sheetName val="요약"/>
      <sheetName val="OPG_x0005__x0000__x0000_"/>
      <sheetName val="기능공인적사항"/>
      <sheetName val="ᰀ፜"/>
      <sheetName val="N炬≹"/>
      <sheetName val="투찰(하수)"/>
      <sheetName val="상행-교대(A1-A2)"/>
      <sheetName val="DT"/>
      <sheetName val="롤러"/>
      <sheetName val="펌프차타설"/>
      <sheetName val="combi(wall)"/>
      <sheetName val="제잡비(주공종)"/>
      <sheetName val="(3.품질관리 시험 총괄표)"/>
      <sheetName val="2차공사"/>
      <sheetName val="일위대가 (PM)"/>
      <sheetName val="Picture"/>
      <sheetName val="내역통합"/>
      <sheetName val="매원개착터널총괄"/>
      <sheetName val="성토도수로현황"/>
      <sheetName val="master(2차)"/>
      <sheetName val="작용하중산정"/>
      <sheetName val="01_ 원가계산서"/>
      <sheetName val="중기가격"/>
      <sheetName val="진행 DATA (2)"/>
      <sheetName val="외화계약"/>
      <sheetName val="J直_x0004__x0005_"/>
      <sheetName val="ༀༀ̀ఀЀ"/>
      <sheetName val="Tenants"/>
      <sheetName val="VA橂⼸_x0005_"/>
      <sheetName val="산출서집계"/>
      <sheetName val="ES조서출력하기"/>
      <sheetName val="9.2.3 각 실별 조도계산(3단계)"/>
      <sheetName val="수량산출서 갑지"/>
      <sheetName val="손료기준-공사부구두문의"/>
      <sheetName val="심의대상"/>
      <sheetName val="cost9702"/>
      <sheetName val="48전력선_x0002__x0000_㣸"/>
      <sheetName val="PROJECT BRIEF(EX.NEW)"/>
      <sheetName val="검사조怀"/>
      <sheetName val="검사조ԯ"/>
      <sheetName val="검사조砀"/>
      <sheetName val="검사조⠀"/>
      <sheetName val="검사조瀀"/>
      <sheetName val="의왕실행"/>
      <sheetName val="현장식당(1)"/>
      <sheetName val="우석문틀"/>
      <sheetName val="D.B"/>
      <sheetName val="날개벽(좌,우=60도-4개)"/>
      <sheetName val="일반수량총괄집계"/>
      <sheetName val="잡비계산"/>
      <sheetName val="5.단가대비표"/>
      <sheetName val="97노임단가"/>
      <sheetName val="입력란"/>
      <sheetName val="주관⩿〚"/>
      <sheetName val="1þ"/>
      <sheetName val="1ð"/>
      <sheetName val="1¨"/>
      <sheetName val="1¸"/>
      <sheetName val="반중력식옹벽3.5"/>
      <sheetName val="(14)전기품셈정산"/>
      <sheetName val="(12)전기경비"/>
      <sheetName val="전통건설"/>
      <sheetName val="기계공사"/>
      <sheetName val="남양시작동010313100%"/>
      <sheetName val="98비정기소모"/>
      <sheetName val="도급및 실행내역"/>
      <sheetName val="정문내역"/>
      <sheetName val="BID FORM"/>
      <sheetName val="Form of Bid"/>
      <sheetName val="수곡내역"/>
      <sheetName val="설계변경내역"/>
      <sheetName val="GTG TR PIT"/>
      <sheetName val="BLR-S"/>
      <sheetName val="제품표준규격"/>
      <sheetName val="할丵〒"/>
      <sheetName val="전기내역서(총계)"/>
      <sheetName val="대창(장ԯ_x0000_"/>
      <sheetName val="암거 제원표-1단계"/>
      <sheetName val="참고자료"/>
      <sheetName val="1호철근량"/>
      <sheetName val="구조물"/>
      <sheetName val="산출서"/>
      <sheetName val="총괄BOQ"/>
      <sheetName val="조정금액결과표 (차수별)"/>
      <sheetName val="4.고용보험"/>
      <sheetName val="차선도색수량집계"/>
      <sheetName val="펌프장수량䈀嵪ԯ_x0000_缀"/>
      <sheetName val="펌프장수량㔀቎԰_x0000_缀"/>
      <sheetName val="펌프장수량ԯ_x0000_缀_x0000__x0000_"/>
      <sheetName val="ALINE"/>
      <sheetName val="Nက_x0000_"/>
      <sheetName val="³ëÀ_x001f_"/>
      <sheetName val="1층"/>
      <sheetName val="수습"/>
      <sheetName val="견적2001(1분기)"/>
      <sheetName val="접지耀⧞"/>
      <sheetName val="접지_x0000__x0000_"/>
      <sheetName val="접지쀀ᗡ"/>
      <sheetName val="CA_x0000__x0000_"/>
      <sheetName val="집"/>
      <sheetName val="기성청구현황"/>
      <sheetName val="VA_x0000__x0000__x0005_"/>
      <sheetName val="(4-2)열관류값-2"/>
      <sheetName val="산정기준"/>
      <sheetName val="Control Sheet"/>
      <sheetName val="b_gunmul"/>
      <sheetName val="b_balju (2)"/>
      <sheetName val="갑(계장)"/>
      <sheetName val="돈"/>
      <sheetName val="공비대䠛"/>
      <sheetName val="내역금액적용"/>
      <sheetName val="비목코드"/>
      <sheetName val="DATA-1"/>
      <sheetName val="8공구 강재 수량"/>
      <sheetName val="5. 차단기 용량계산"/>
      <sheetName val="2000.05"/>
      <sheetName val="적격"/>
      <sheetName val="BH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배수관연장산출서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구체"/>
      <sheetName val="단가표(전산)"/>
      <sheetName val="2219-SPOOL BOM"/>
      <sheetName val="종단계산"/>
      <sheetName val="대운반(철재)"/>
      <sheetName val="시점교대"/>
      <sheetName val="설명서"/>
      <sheetName val="예정공정표"/>
      <sheetName val="2.내역서"/>
      <sheetName val="3.2주형지지보"/>
      <sheetName val="x주형보 설계(3차로)"/>
      <sheetName val="부대tu"/>
      <sheetName val="우수공,맨홀,집수정"/>
      <sheetName val="짉譥"/>
      <sheetName val="ᣉᎍ"/>
      <sheetName val="CAPVC"/>
      <sheetName val="OCM"/>
      <sheetName val="내역기준"/>
      <sheetName val="General_Data"/>
      <sheetName val="sum1_(2)"/>
      <sheetName val="Site_Expenses"/>
      <sheetName val="제원_설계조건"/>
      <sheetName val="일위대가_집계표"/>
      <sheetName val="단가표_"/>
      <sheetName val="공사비_내역_(가)"/>
      <sheetName val="5_정산서"/>
      <sheetName val="정산내역서"/>
      <sheetName val="주식"/>
      <sheetName val="FO"/>
      <sheetName val="Summary Sheet"/>
      <sheetName val="지입재료비"/>
      <sheetName val="적요"/>
      <sheetName val="_x0005__x0006__x0008__x0003_"/>
      <sheetName val="_x0000_ _x0000__x0006__x0000__x0006_"/>
      <sheetName val="倀ᑙ"/>
      <sheetName val="1x"/>
      <sheetName val="栈᲋"/>
      <sheetName val="_xd810_᱓"/>
      <sheetName val="시공계_x0005_"/>
      <sheetName val="변경비_x0005__x0000_"/>
      <sheetName val="SANTOGO"/>
      <sheetName val="¹׃】_x0000_"/>
      <sheetName val="PIPE(UG)내역"/>
      <sheetName val="장비가동"/>
      <sheetName val="집계표(수정)"/>
      <sheetName val="잔여공사월별내역"/>
      <sheetName val="대비(최종이사회)"/>
      <sheetName val="공사비예비관리공감측설산출내역"/>
      <sheetName val="양식"/>
      <sheetName val="표지세로"/>
      <sheetName val="5.소모재료비"/>
      <sheetName val="전계가"/>
      <sheetName val="BH-1 (2)"/>
      <sheetName val="자재단가壠"/>
      <sheetName val="자재단가厘"/>
      <sheetName val="제품橂"/>
      <sheetName val="일위집계(기존)"/>
      <sheetName val="북제주-표지"/>
      <sheetName val="COVERSHEET"/>
      <sheetName val="영구청af헾"/>
      <sheetName val="영구청af薸"/>
      <sheetName val="실행내역 "/>
      <sheetName val="참조 (2)"/>
      <sheetName val="조정_x0014__x0008_"/>
      <sheetName val="_x0000__x0008__x0000__x0008__x0000__x0006__x0000__x0004_"/>
      <sheetName val="7.PILE  (돌출)"/>
      <sheetName val="방음벽 기초 일반헾】"/>
      <sheetName val="설계서을"/>
      <sheetName val="청 구"/>
      <sheetName val="설계내역2"/>
      <sheetName val="내역(정지)"/>
      <sheetName val="2000_11¿ù¼³餀㢘ԯ缀"/>
      <sheetName val="인건비_"/>
      <sheetName val="단양_00_아파트-세부내역"/>
      <sheetName val="Vari_by_Vendor"/>
      <sheetName val="산#2-1_(2)"/>
      <sheetName val="현장관리비_"/>
      <sheetName val="입출재고현황_(2)"/>
      <sheetName val="Piping_Design_Data"/>
      <sheetName val="H_PILE수량"/>
      <sheetName val="중기조종사_단위단가"/>
      <sheetName val="제3장_기술업무"/>
      <sheetName val="A_견적"/>
      <sheetName val="공사별_가중치_산출근거(토목)"/>
      <sheetName val="1_ÀüÂ÷¼±Á¶Á¤"/>
      <sheetName val="2_Á¶°¡¼±Á¶Á¤"/>
      <sheetName val="3_±ÞÀü¼±½Å¼³"/>
      <sheetName val="4_±ÞÀü¼±Ã¶°Å"/>
      <sheetName val="Oper_Amount"/>
      <sheetName val="자재_단가표"/>
      <sheetName val="내역서_"/>
      <sheetName val="7_1유효폭"/>
      <sheetName val="CATV"/>
      <sheetName val="품셈(기초)"/>
      <sheetName val="1차배부(JB포함)"/>
      <sheetName val="설계내역일위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22-1소단"/>
      <sheetName val="22-2M단"/>
      <sheetName val="01하반기노임"/>
      <sheetName val="울진항공등화 내역서"/>
      <sheetName val="정보매체A동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견적 (2)"/>
      <sheetName val="설계(안)"/>
      <sheetName val="가옥조"/>
      <sheetName val="운반비산정"/>
      <sheetName val="Sheet1(X)"/>
      <sheetName val="인원조직표"/>
      <sheetName val="냉천부속동"/>
      <sheetName val="Macro(전동기)"/>
      <sheetName val="SHUTDOWN VALVE"/>
      <sheetName val="건축공정"/>
      <sheetName val="방진공정"/>
      <sheetName val="조경공정"/>
      <sheetName val="국별인원"/>
      <sheetName val="산출기초"/>
      <sheetName val="순환펌프"/>
      <sheetName val="저수조"/>
      <sheetName val="급,배기팬"/>
      <sheetName val="급탕순환펌프"/>
      <sheetName val="제안서"/>
      <sheetName val="행정표준(1)"/>
      <sheetName val="행정표준(2)"/>
      <sheetName val="증감䈀ᅪ"/>
      <sheetName val="제수午_x0013_ὐ"/>
      <sheetName val="[YES.XLS][YES.XLS]4/_x0000_䠀"/>
      <sheetName val="[YES.XLS][YES.XLS]4쌇栅/"/>
      <sheetName val="도면자료제출일정"/>
      <sheetName val="5정거장"/>
      <sheetName val="1-3길내기"/>
      <sheetName val="형틀공사"/>
      <sheetName val="옹벽수량萘_x0013_"/>
      <sheetName val="수"/>
      <sheetName val="6차2회변경내역서"/>
      <sheetName val="자재단가_x0005_"/>
      <sheetName val="총괄집ᨈꥬ"/>
      <sheetName val="총괄집_x0000__x0000_"/>
      <sheetName val="1.3.1절점좌표"/>
      <sheetName val="1.1설계기준"/>
      <sheetName val="변경비_x0000__x0000_Ѡ"/>
      <sheetName val="가제당공사비"/>
      <sheetName val="기초처리공사비"/>
      <sheetName val="°ø»ç¿ø°¡°è牨-犬-"/>
      <sheetName val="전체내역갑지"/>
      <sheetName val="실행내역서 (조경)"/>
      <sheetName val="/_x0000_"/>
      <sheetName val="က_x0000_"/>
      <sheetName val="포장쌅"/>
      <sheetName val="전체실적"/>
      <sheetName val="SAMPLE"/>
      <sheetName val="7.경제성결과"/>
      <sheetName val="inter"/>
      <sheetName val="M5_S"/>
      <sheetName val="M6_S"/>
      <sheetName val="SRAM_CHIP"/>
      <sheetName val="SRAM_생산"/>
      <sheetName val="YLD"/>
      <sheetName val="라멘교일반수량"/>
      <sheetName val="기성내역(건축)"/>
      <sheetName val="산#3-1"/>
      <sheetName val="산#3-2"/>
      <sheetName val="배관BM(일반)"/>
      <sheetName val="산#3-2-2"/>
      <sheetName val="Á¤»ê¹°·®︀웕"/>
      <sheetName val="조도계산서1"/>
      <sheetName val="고창터널(고창방향䈀"/>
      <sheetName val="설계서(7)"/>
      <sheetName val="5.1단가조사"/>
      <sheetName val="배수설비"/>
      <sheetName val="교대일반수량"/>
      <sheetName val="Formulas &amp; Tables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FUSE_MCB"/>
      <sheetName val="작업내역"/>
      <sheetName val="방지책개소별명세"/>
      <sheetName val="J형측구단위수량"/>
      <sheetName val="동원인원계획표"/>
      <sheetName val="N賃率_職"/>
      <sheetName val="영구峤"/>
      <sheetName val="단가_x0005__x0000_"/>
      <sheetName val="영구_x0005_"/>
      <sheetName val="영구射"/>
      <sheetName val="영구嶄"/>
      <sheetName val="임시전기공사설계서"/>
      <sheetName val="±âÀÚÀç´ëºñÇ¥"/>
      <sheetName val="¿¬°áÀÓ½Ã"/>
      <sheetName val="°ü±Þ"/>
      <sheetName val="도시가스현황"/>
      <sheetName val="견적의뢰"/>
      <sheetName val="LG제품"/>
      <sheetName val="Priorities"/>
      <sheetName val="재1"/>
      <sheetName val="원가계산서 (2)"/>
      <sheetName val="관로토공"/>
      <sheetName val="우수관"/>
      <sheetName val="지선량"/>
      <sheetName val="SPM(13.84)"/>
      <sheetName val="fitting"/>
      <sheetName val="Look-Up"/>
      <sheetName val="Units"/>
      <sheetName val="노임9월"/>
      <sheetName val="수량산출(통신선로)"/>
      <sheetName val="수량산출(여객장치)"/>
      <sheetName val="수량산출(전화)"/>
      <sheetName val="사업부배부A"/>
      <sheetName val="입력값1"/>
      <sheetName val="PBS"/>
      <sheetName val="SILICATE"/>
      <sheetName val="간접비내역-1"/>
      <sheetName val="산출-설비"/>
      <sheetName val="일_x0007__x0006__x0003__x0004__x0007_"/>
      <sheetName val="_x0000__x0005__x0000__x0004__x0000__x0008__x0000__x0005__x0000__x0008_"/>
      <sheetName val="간이연락"/>
      <sheetName val="견적을지"/>
      <sheetName val="불변현금흐름표"/>
      <sheetName val="기타유틸리티설비"/>
      <sheetName val="견적대비(1차) (2)"/>
      <sheetName val="내역서적용수량집계표(가로)"/>
      <sheetName val="1._x0018_변԰_x0000__x0000_"/>
      <sheetName val="1._x0018_변ԯ_x0000_缀"/>
      <sheetName val="DEVI."/>
      <sheetName val="U.C."/>
      <sheetName val="관리비"/>
      <sheetName val="집수정단"/>
      <sheetName val="주공 갑지"/>
      <sheetName val="A LINE"/>
      <sheetName val="22수"/>
      <sheetName val="22단"/>
      <sheetName val="49단"/>
      <sheetName val="기별"/>
      <sheetName val="단가 (2)"/>
      <sheetName val="옥외배관기본공량"/>
      <sheetName val="3-4호기 내역서"/>
      <sheetName val="인원계획-미화"/>
      <sheetName val="BID9697"/>
      <sheetName val="평형공사비"/>
      <sheetName val="토공검토G"/>
      <sheetName val="미지급금"/>
      <sheetName val="귀래 설계 공내역서"/>
      <sheetName val="철근량_검토"/>
      <sheetName val="기술자료_(연수)"/>
      <sheetName val="CABdata"/>
      <sheetName val="입찰결과(DATA_x0000_"/>
      <sheetName val="49"/>
      <sheetName val="공사비PK5월"/>
      <sheetName val="간접비(1)"/>
      <sheetName val="공종별집계표"/>
      <sheetName val="총 원가계산"/>
      <sheetName val="장비부하"/>
      <sheetName val="역간(덕_동)"/>
      <sheetName val="역간(의-덕)"/>
      <sheetName val="단가대비표(SYS)"/>
      <sheetName val="제조노임"/>
      <sheetName val="월말"/>
      <sheetName val="ISBL-CIV"/>
      <sheetName val="치수표"/>
      <sheetName val="5차설계"/>
      <sheetName val="허용전류-IEC DATA"/>
      <sheetName val="3_바닥판설계1"/>
      <sheetName val="Ampecity_Data"/>
      <sheetName val="견적서(대외)_(2)"/>
      <sheetName val="1_¼³°è±âÁØ"/>
      <sheetName val="3_¹Ù´ÚÆÇ¼³°è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산재_안전"/>
      <sheetName val="노무비_경비"/>
      <sheetName val="소상_&quot;1&quot;"/>
      <sheetName val="[YES.XLS]신표司/"/>
      <sheetName val="[YES.XLS][YES.XLS]신표司/"/>
      <sheetName val="[YES.XLS][YES.XLS][YES.XLS]신표司/"/>
      <sheetName val="DWG-CAB-I"/>
      <sheetName val="&lt;--"/>
      <sheetName val="철근집계표"/>
      <sheetName val="관정비교"/>
      <sheetName val="__"/>
      <sheetName val="깨기"/>
      <sheetName val="제일"/>
      <sheetName val="신호등일위대가"/>
      <sheetName val="참고자료등록"/>
      <sheetName val="하자보수보증자료"/>
      <sheetName val="JUCK֕_x0000_缀"/>
      <sheetName val="옹벽1"/>
      <sheetName val="비용"/>
      <sheetName val="WO"/>
      <sheetName val="터널(토공)"/>
      <sheetName val="찍기"/>
      <sheetName val="도급FORM"/>
      <sheetName val="을 2"/>
      <sheetName val="을 1"/>
      <sheetName val="IPS0823"/>
      <sheetName val="CAL(1)."/>
      <sheetName val="[YES.XLS][YES.XLS][YES.XLS]4/_x0000_䠀"/>
      <sheetName val="[YES.XLS][YES.XLS][YES.XLS]4쌇栅/"/>
      <sheetName val="기계경비산출"/>
      <sheetName val="1_x0005_"/>
      <sheetName val="중기비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LANGUAGE"/>
      <sheetName val="INS-SHEET"/>
      <sheetName val="1-최종안"/>
      <sheetName val="사업분석-분양가결정"/>
      <sheetName val="지중자재단가"/>
      <sheetName val="부하집계"/>
      <sheetName val="PROCESS"/>
      <sheetName val="포장면적산출"/>
      <sheetName val="포장수량집계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자재노임단가"/>
      <sheetName val="크레인5ton"/>
      <sheetName val="단가산출-2"/>
      <sheetName val="기초수량-1"/>
      <sheetName val="단가산출-1"/>
      <sheetName val="??????"/>
      <sheetName val="LKVL-CK-HT-GD1"/>
      <sheetName val="공사비집_x0005_"/>
      <sheetName val="bCord공정"/>
      <sheetName val="d수량"/>
      <sheetName val="e대가"/>
      <sheetName val="g단가"/>
      <sheetName val="h집계"/>
      <sheetName val="국내"/>
      <sheetName val="배수내역 (2)"/>
      <sheetName val="가공사"/>
      <sheetName val="6.2.1 지하차도 조도계산"/>
      <sheetName val="EVALUATE물량산출서"/>
      <sheetName val="스라브"/>
      <sheetName val="보온자재단가표"/>
      <sheetName val="집계표(건축전기)"/>
      <sheetName val="횡배수관설치현황"/>
      <sheetName val="94"/>
      <sheetName val="안전시설"/>
      <sheetName val="20-25"/>
      <sheetName val="설치자재"/>
      <sheetName val="단중"/>
      <sheetName val="관급원내역"/>
      <sheetName val="적용단가"/>
      <sheetName val="예산M2"/>
      <sheetName val="2.수량산출"/>
      <sheetName val="증감내역서"/>
      <sheetName val="IBL-C"/>
      <sheetName val="수출가격"/>
      <sheetName val="변경_x0005__x0006__x0004__x0004_"/>
      <sheetName val="_x0000__x0002__x0000__x0007__x0000__x0004__x0000__x0007__x0000_"/>
      <sheetName val="8. _x0005__x0000__x0000_"/>
      <sheetName val="MEMBER"/>
      <sheetName val="공사별 가중치0_x0000_ꀀâ_x0000__x0000_鬀ӊ㰞"/>
      <sheetName val="말뚝설계"/>
      <sheetName val="시공업체명부"/>
      <sheetName val="Direct (공사비대비)"/>
      <sheetName val="입력자료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설계흐름도"/>
      <sheetName val="명단"/>
      <sheetName val="배수및구조물공1"/>
      <sheetName val="앨범표지"/>
      <sheetName val="3차준공"/>
      <sheetName val="토적계산서"/>
      <sheetName val="steam table"/>
      <sheetName val="BM"/>
      <sheetName val="별표집계"/>
      <sheetName val="05.18"/>
      <sheetName val="5.28"/>
      <sheetName val="FLANGE"/>
      <sheetName val="dwn"/>
      <sheetName val="PIPE(A)"/>
      <sheetName val="[YES.XLS]4/_x0000_䠀"/>
      <sheetName val="[YES.XLS]4쌇栅/"/>
      <sheetName val="산업개발안내서"/>
      <sheetName val="옥내소화전계산서"/>
      <sheetName val="2.노무비명欐_x0016_歜_x0016_丵⽃"/>
      <sheetName val="2.노무비명烨$橂⽲_x0005__x0000_"/>
      <sheetName val="계화배수(3대)"/>
      <sheetName val="당초수문"/>
      <sheetName val="일"/>
      <sheetName val="한일양산"/>
      <sheetName val="Manual Valve List"/>
      <sheetName val="청주-교대(A1)"/>
      <sheetName val="pile bearing capa &amp; arrenge"/>
      <sheetName val="BEQ내역"/>
      <sheetName val="1000 DB구축 부표"/>
      <sheetName val="일위대가(4층원격)"/>
      <sheetName val="PILE"/>
      <sheetName val="ꠀ"/>
      <sheetName val="수목데이타"/>
      <sheetName val="단가순번"/>
      <sheetName val="일반전기"/>
      <sheetName val="관경별내역서"/>
      <sheetName val="신천3호용수로"/>
      <sheetName val="목록표"/>
      <sheetName val="전체공사"/>
      <sheetName val="5.전사투자계획종함안"/>
      <sheetName val="재료집계표"/>
      <sheetName val="반포2차"/>
      <sheetName val="설치공사비"/>
      <sheetName val="자재집계 &amp; 총괄표"/>
      <sheetName val="폐토수익화_"/>
      <sheetName val="국산화"/>
      <sheetName val="ARS"/>
      <sheetName val="도로구조공사비"/>
      <sheetName val="도로토공공사비"/>
      <sheetName val="여수토공사비"/>
      <sheetName val="(포장)BOQ-실적공사"/>
      <sheetName val="부대공사"/>
      <sheetName val="인부노임"/>
      <sheetName val="철거단가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1_범위"/>
      <sheetName val="2_편성"/>
      <sheetName val="6_GAS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7.수량산출"/>
      <sheetName val="6.수량계산"/>
      <sheetName val="무시"/>
      <sheetName val="電磁弁LIST"/>
      <sheetName val="PLG"/>
      <sheetName val="외자배분"/>
      <sheetName val="외자내역"/>
      <sheetName val="주요재료비(원본)"/>
      <sheetName val="REDUCER"/>
      <sheetName val="WE'T"/>
      <sheetName val="KSTAR-M"/>
      <sheetName val="조작대(1연)"/>
      <sheetName val="단목"/>
      <sheetName val="토목수량"/>
      <sheetName val="AHU-1"/>
      <sheetName val="급탕설비"/>
      <sheetName val="화장실배기팬"/>
      <sheetName val="마산월령동골조물량변경"/>
      <sheetName val="자금청구서 19년 3월 -응암2구역 롯데.xlsm"/>
      <sheetName val="DATA(광속)"/>
      <sheetName val="2공종별예산조서"/>
      <sheetName val="측량요율"/>
      <sheetName val="도봉2지구"/>
      <sheetName val="유리"/>
      <sheetName val="익산"/>
      <sheetName val="Parts"/>
      <sheetName val="Menu A"/>
      <sheetName val="감시제어"/>
      <sheetName val="목차임시"/>
      <sheetName val="선로의 %임피던스 "/>
      <sheetName val="전체-원가분리내역"/>
      <sheetName val="가격표"/>
      <sheetName val="건축외주"/>
      <sheetName val="시장성초안camera"/>
      <sheetName val="규격"/>
      <sheetName val="수종"/>
      <sheetName val="맨홀공 수량집계표"/>
      <sheetName val="점검_x0000__x0000_"/>
      <sheetName val="J直_x0000__x0000_"/>
      <sheetName val="재료비내역서"/>
      <sheetName val="평균물량산출서"/>
      <sheetName val="B"/>
      <sheetName val="010101"/>
      <sheetName val="수주추정"/>
      <sheetName val="대전21토목내역서"/>
      <sheetName val="TNC(1안)"/>
      <sheetName val="Nª_x0000_"/>
      <sheetName val="여주,이천(명세)"/>
      <sheetName val="N¬_x0000_"/>
      <sheetName val="음료실행"/>
      <sheetName val="하도급선정의뢰_x0000__x0000_螨_x0000__x0000__x0000_ۈ"/>
      <sheetName val="48전력선로일挔"/>
      <sheetName val="FWBS7000,8000"/>
      <sheetName val="ANALYSER"/>
      <sheetName val="ring wall thickness"/>
      <sheetName val="공정표(전체)"/>
      <sheetName val="시점부교대"/>
      <sheetName val="가설경비"/>
      <sheetName val="내역서(사업소)"/>
      <sheetName val="유역면적"/>
      <sheetName val="설정"/>
      <sheetName val="DS-최종"/>
      <sheetName val="설비공사"/>
      <sheetName val="산출근거#2-3"/>
      <sheetName val="전신환매도洸"/>
      <sheetName val="전신환매도永"/>
      <sheetName val="전신환매도欸"/>
      <sheetName val="손익차9월2"/>
      <sheetName val="N︀軕"/>
      <sheetName val="2004상반기"/>
      <sheetName val="조정율"/>
      <sheetName val="OVERALL CURVE"/>
      <sheetName val="Set"/>
      <sheetName val="간접비계산"/>
      <sheetName val="기성신청"/>
      <sheetName val="22전선(P)"/>
      <sheetName val="22전선(L)"/>
      <sheetName val="22전선(R)"/>
      <sheetName val="총괄원가  (2)"/>
      <sheetName val="변경공종별집계표"/>
      <sheetName val="변경공종별내역서"/>
      <sheetName val="변경공종별집계표(관급)"/>
      <sheetName val="변경공종별내역서(관급)"/>
      <sheetName val="전동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>
        <row r="22">
          <cell r="F22">
            <v>148</v>
          </cell>
        </row>
      </sheetData>
      <sheetData sheetId="12">
        <row r="22">
          <cell r="F22">
            <v>148</v>
          </cell>
        </row>
      </sheetData>
      <sheetData sheetId="13">
        <row r="22">
          <cell r="F22">
            <v>148</v>
          </cell>
        </row>
      </sheetData>
      <sheetData sheetId="14">
        <row r="22">
          <cell r="F22">
            <v>148</v>
          </cell>
        </row>
      </sheetData>
      <sheetData sheetId="15">
        <row r="22">
          <cell r="F22">
            <v>148</v>
          </cell>
        </row>
      </sheetData>
      <sheetData sheetId="16">
        <row r="22">
          <cell r="F22">
            <v>148</v>
          </cell>
        </row>
      </sheetData>
      <sheetData sheetId="17">
        <row r="22">
          <cell r="F22">
            <v>148</v>
          </cell>
        </row>
      </sheetData>
      <sheetData sheetId="18">
        <row r="22">
          <cell r="F22">
            <v>148</v>
          </cell>
        </row>
      </sheetData>
      <sheetData sheetId="19"/>
      <sheetData sheetId="20"/>
      <sheetData sheetId="21"/>
      <sheetData sheetId="22">
        <row r="22">
          <cell r="F22">
            <v>148</v>
          </cell>
        </row>
      </sheetData>
      <sheetData sheetId="23">
        <row r="22">
          <cell r="F22">
            <v>148</v>
          </cell>
        </row>
      </sheetData>
      <sheetData sheetId="24">
        <row r="22">
          <cell r="F22">
            <v>148</v>
          </cell>
        </row>
      </sheetData>
      <sheetData sheetId="25">
        <row r="22">
          <cell r="F22">
            <v>148</v>
          </cell>
        </row>
      </sheetData>
      <sheetData sheetId="26">
        <row r="22">
          <cell r="F22">
            <v>148</v>
          </cell>
        </row>
      </sheetData>
      <sheetData sheetId="27">
        <row r="22">
          <cell r="F22">
            <v>148</v>
          </cell>
        </row>
      </sheetData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/>
      <sheetData sheetId="1517"/>
      <sheetData sheetId="1518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/>
      <sheetData sheetId="2004"/>
      <sheetData sheetId="2005" refreshError="1"/>
      <sheetData sheetId="2006" refreshError="1"/>
      <sheetData sheetId="2007"/>
      <sheetData sheetId="2008"/>
      <sheetData sheetId="2009" refreshError="1"/>
      <sheetData sheetId="2010" refreshError="1"/>
      <sheetData sheetId="2011" refreshError="1"/>
      <sheetData sheetId="2012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/>
      <sheetData sheetId="2741"/>
      <sheetData sheetId="2742"/>
      <sheetData sheetId="2743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/>
      <sheetData sheetId="3805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/>
      <sheetData sheetId="4291" refreshError="1"/>
      <sheetData sheetId="4292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TOTAL)"/>
      <sheetName val="Sheet1"/>
      <sheetName val="Sheet2"/>
      <sheetName val="Sheet3"/>
      <sheetName val="한강운반비"/>
      <sheetName val="공사개요"/>
      <sheetName val="여과지동"/>
      <sheetName val="기초자료"/>
      <sheetName val="개요"/>
      <sheetName val="자재단가"/>
      <sheetName val="위치"/>
      <sheetName val="영업소일위"/>
      <sheetName val="총괄"/>
      <sheetName val="내역서적용"/>
      <sheetName val="데이타"/>
      <sheetName val="DATA"/>
      <sheetName val="Y-WORK"/>
      <sheetName val="신우"/>
      <sheetName val="감액총괄표"/>
      <sheetName val="일위대가서식"/>
      <sheetName val="#REF"/>
      <sheetName val="내역서"/>
      <sheetName val="본사인상전"/>
      <sheetName val="FM3(2~6공)"/>
      <sheetName val="잔토처리"/>
      <sheetName val="복구단가"/>
      <sheetName val="FB25JN"/>
      <sheetName val="96보완계획7.12"/>
      <sheetName val="EQ"/>
      <sheetName val="재1"/>
      <sheetName val="hvac(제어동)"/>
      <sheetName val="대치판정"/>
      <sheetName val="하조서"/>
      <sheetName val="목차"/>
      <sheetName val="보도단위수량"/>
      <sheetName val="20관리비율"/>
      <sheetName val="인건비"/>
      <sheetName val="일위대가"/>
      <sheetName val="인건-측정"/>
      <sheetName val="원가서"/>
      <sheetName val="단가"/>
      <sheetName val="WORK"/>
      <sheetName val="S0"/>
      <sheetName val="견적정보"/>
      <sheetName val="b_balju"/>
      <sheetName val="일위대가(1)"/>
      <sheetName val="위치조서"/>
      <sheetName val="난간벽단위"/>
      <sheetName val="ABUT수량-A1"/>
      <sheetName val="계수시트"/>
      <sheetName val="원가계산서"/>
      <sheetName val="1.우편집중내역서"/>
      <sheetName val="XL4Poppy"/>
      <sheetName val="LOPCALC"/>
      <sheetName val="조도계(공원)"/>
      <sheetName val="집계표"/>
      <sheetName val="안양동교 1안"/>
      <sheetName val="BID"/>
      <sheetName val="입찰안"/>
      <sheetName val="대로근거"/>
      <sheetName val="중로근거"/>
      <sheetName val="내역"/>
      <sheetName val="실행철강하도"/>
      <sheetName val="wall"/>
      <sheetName val="9GNG운반"/>
      <sheetName val="비교표"/>
      <sheetName val="금융비용"/>
      <sheetName val="횡단위수량"/>
      <sheetName val="횡위치조서"/>
      <sheetName val="횡배수관집계"/>
      <sheetName val="말뚝지지력산정"/>
      <sheetName val="깨기"/>
    </sheetNames>
    <definedNames>
      <definedName name="Macro10"/>
      <definedName name="Macro12"/>
      <definedName name="Macro13"/>
      <definedName name="Macro14"/>
      <definedName name="Macro6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일위대가1"/>
      <sheetName val="일위대가2"/>
      <sheetName val="감독차량비"/>
      <sheetName val="단가조사서"/>
      <sheetName val="노무단가 (할증제외)"/>
      <sheetName val="노무단가(15%할증) "/>
      <sheetName val="안영(지명표지판일위대가)"/>
      <sheetName val="공종별집계표"/>
      <sheetName val="외부산출서"/>
      <sheetName val="단가대비표"/>
      <sheetName val="노무비(참고)"/>
      <sheetName val="내역서"/>
      <sheetName val="환율"/>
      <sheetName val="1단계"/>
      <sheetName val="DATE"/>
      <sheetName val="일위대가"/>
      <sheetName val="일위대가목차"/>
      <sheetName val="진주방향"/>
      <sheetName val="교각1"/>
      <sheetName val="수량산출서"/>
      <sheetName val="개요"/>
      <sheetName val="FB25JN"/>
      <sheetName val="CAL."/>
      <sheetName val="SLAB"/>
      <sheetName val="건축내역"/>
      <sheetName val="일위목록"/>
      <sheetName val="입찰안"/>
      <sheetName val="hvac(제어동)"/>
      <sheetName val="ASEM내역"/>
      <sheetName val="Y-WORK"/>
      <sheetName val="원가"/>
      <sheetName val="FD"/>
      <sheetName val="LD"/>
      <sheetName val="Sheet1"/>
      <sheetName val="부하계산서"/>
      <sheetName val="2공구(안영)단가산출-1"/>
      <sheetName val="공사원가계산서"/>
      <sheetName val="DATA1"/>
      <sheetName val="대비"/>
      <sheetName val="교각계산"/>
      <sheetName val="신규일위대가"/>
      <sheetName val="데이타"/>
      <sheetName val="DATA"/>
      <sheetName val="정부노임단가"/>
      <sheetName val="노무비단가"/>
      <sheetName val="설계조건"/>
      <sheetName val="인건비"/>
      <sheetName val="#REF"/>
      <sheetName val="노임단가"/>
      <sheetName val="경비_원본"/>
      <sheetName val="ABUT수량-A1"/>
      <sheetName val="가시설단위수량"/>
      <sheetName val="안정계산"/>
      <sheetName val="단면검토"/>
      <sheetName val="불출요청"/>
      <sheetName val="1.우편집중내역서"/>
      <sheetName val="CAUDIT"/>
      <sheetName val="견적대비 견적서"/>
      <sheetName val="일위산출"/>
      <sheetName val="원가계산서"/>
      <sheetName val="집계표1"/>
      <sheetName val="위치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간선(수)"/>
      <sheetName val="전화,LAN(수)"/>
      <sheetName val="TV(수)"/>
      <sheetName val="방송1(수)"/>
      <sheetName val="방송2(수)"/>
      <sheetName val="공(통) "/>
      <sheetName val="내역서(통신)"/>
      <sheetName val="공종"/>
      <sheetName val="원가계산서"/>
      <sheetName val="갑지"/>
      <sheetName val="갑지(음향포함)"/>
      <sheetName val="목록"/>
      <sheetName val="통신일위"/>
      <sheetName val="DATA"/>
      <sheetName val="2.백수초내역(통신)"/>
      <sheetName val="FB25JN"/>
      <sheetName val="Y-WORK"/>
      <sheetName val="개요"/>
      <sheetName val="SLAB"/>
      <sheetName val="2002상반기노임기준"/>
      <sheetName val="계약내력"/>
      <sheetName val="수량산출서"/>
      <sheetName val="IMPEADENCE MAP 취수장"/>
      <sheetName val="일위대가"/>
      <sheetName val="48전력선로일위"/>
      <sheetName val="수량산출"/>
      <sheetName val="내역서"/>
      <sheetName val="LOPCALC"/>
      <sheetName val="백암비스타내역"/>
      <sheetName val="#REF"/>
    </sheetNames>
    <definedNames>
      <definedName name="Macro10"/>
      <definedName name="Macro9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IMPEADENCE MAP 취수장"/>
      <sheetName val="정부노임단가"/>
      <sheetName val="수량산출"/>
      <sheetName val="내역서"/>
      <sheetName val="재1"/>
      <sheetName val="REP-NG"/>
      <sheetName val="공사비 내역 (가)"/>
      <sheetName val="교통표지"/>
      <sheetName val="대비"/>
      <sheetName val="공통"/>
      <sheetName val="토공총괄표"/>
      <sheetName val="단가표 "/>
      <sheetName val="수량산출서"/>
      <sheetName val="Y-WORK"/>
      <sheetName val="BID"/>
      <sheetName val="데이타"/>
      <sheetName val="DATA"/>
      <sheetName val="차액보증"/>
      <sheetName val="경산"/>
      <sheetName val="기초공"/>
      <sheetName val="기둥(원형)"/>
      <sheetName val="변화치수"/>
      <sheetName val="총괄표"/>
      <sheetName val="일위대가"/>
      <sheetName val=" 견적서"/>
      <sheetName val="XL4Poppy"/>
      <sheetName val="단중표"/>
      <sheetName val="토목내역"/>
      <sheetName val="3BL공동구 수량"/>
      <sheetName val="실행예산"/>
      <sheetName val="9GNG운반"/>
      <sheetName val="Sheet1"/>
      <sheetName val="부대내역"/>
      <sheetName val="설계조건"/>
      <sheetName val="안정계산"/>
      <sheetName val="단면검토"/>
      <sheetName val="설직재-1"/>
      <sheetName val="N賃率-職"/>
      <sheetName val="1단계"/>
      <sheetName val="개소별수량산출"/>
      <sheetName val="토공계산서(부체도로)"/>
      <sheetName val="견적대비 견적서"/>
      <sheetName val="2.설계제원"/>
      <sheetName val="Macro(전선)"/>
      <sheetName val="가공비"/>
      <sheetName val="일위대가-1"/>
      <sheetName val="DANGA"/>
      <sheetName val="금액"/>
      <sheetName val="설계명세서"/>
      <sheetName val="생산현황"/>
      <sheetName val="전체현황"/>
      <sheetName val="일위대가서식"/>
      <sheetName val="신축수량"/>
      <sheetName val="Sheet3"/>
      <sheetName val="개요"/>
      <sheetName val="FAB별"/>
      <sheetName val="CTEMCOST"/>
      <sheetName val="wall"/>
      <sheetName val="직노"/>
      <sheetName val="공틀공사"/>
      <sheetName val="IMPEADENCE_MAP_취수장"/>
      <sheetName val="공사비_내역_(가)"/>
      <sheetName val="부하계산서"/>
      <sheetName val="FOB발"/>
      <sheetName val="일위대가표"/>
      <sheetName val="목차"/>
      <sheetName val="옹벽"/>
      <sheetName val="경비2내역"/>
      <sheetName val="1.설계조건"/>
      <sheetName val="20관리비율"/>
      <sheetName val="원가"/>
      <sheetName val="ABUT수량-A1"/>
      <sheetName val="설산1.나"/>
      <sheetName val="본사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DATA"/>
      <sheetName val="SLAB"/>
      <sheetName val="차액보증"/>
      <sheetName val="FACTOR"/>
      <sheetName val="부하(성남)"/>
      <sheetName val="CAL-AS"/>
      <sheetName val="데이타"/>
      <sheetName val="2F 회의실견적(5_14 일대)"/>
      <sheetName val="수량산출"/>
      <sheetName val="내역서"/>
      <sheetName val="인건비 "/>
      <sheetName val="수로단위수량"/>
      <sheetName val="1단계"/>
      <sheetName val="원가"/>
      <sheetName val="woo(mac)"/>
      <sheetName val="부하계산서"/>
      <sheetName val="Y-WORK"/>
      <sheetName val="수량산출서"/>
      <sheetName val="금액"/>
      <sheetName val="FB25JN"/>
      <sheetName val="정부노임단가"/>
      <sheetName val="20관리비율"/>
      <sheetName val="SORCE1"/>
      <sheetName val="가시설단위수량"/>
      <sheetName val="방송노임"/>
      <sheetName val="외자배분"/>
      <sheetName val="외자내역"/>
      <sheetName val="재1"/>
      <sheetName val="토목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(도서)"/>
      <sheetName val="ITEM"/>
      <sheetName val="조도계산서 _도서_"/>
      <sheetName val="부하계산서"/>
      <sheetName val="인건비"/>
      <sheetName val="#REF"/>
      <sheetName val="정부노임단가"/>
      <sheetName val="IMP(MAIN)"/>
      <sheetName val="IMP (REACTOR)"/>
      <sheetName val="MOTOR"/>
      <sheetName val="내역"/>
      <sheetName val="중기일위대가"/>
      <sheetName val="횡배위치"/>
      <sheetName val="견적시담(송포2공구)"/>
      <sheetName val="일위대가"/>
      <sheetName val="Y-WORK"/>
      <sheetName val="설계명세서"/>
      <sheetName val="건축내역"/>
      <sheetName val="현황산출서"/>
      <sheetName val="B"/>
      <sheetName val="차액보증"/>
      <sheetName val="Sheet1"/>
      <sheetName val="산#3-1"/>
      <sheetName val="일반공사"/>
      <sheetName val="실행예산"/>
      <sheetName val="부하(성남)"/>
      <sheetName val="출근부"/>
      <sheetName val="내역서"/>
      <sheetName val="WORK"/>
      <sheetName val="3BL공동구 수량"/>
      <sheetName val="단가산출집계"/>
      <sheetName val="SE-611"/>
      <sheetName val="여흥"/>
      <sheetName val="중기사용료"/>
      <sheetName val="내역1"/>
      <sheetName val="원가"/>
      <sheetName val="내역서 "/>
      <sheetName val="재료집계"/>
      <sheetName val="TABLE"/>
      <sheetName val="현장지지물물량"/>
      <sheetName val="ABUT수량-A1"/>
      <sheetName val="별표 "/>
      <sheetName val="DS-LOAD"/>
      <sheetName val="표지"/>
      <sheetName val="DATA(BAC)"/>
      <sheetName val="가시설(TYPE-A)"/>
      <sheetName val="1호맨홀가감수량"/>
      <sheetName val="1-1평균터파기고(1)"/>
      <sheetName val="1호맨홀수량산출"/>
      <sheetName val="을"/>
      <sheetName val="2F 회의실견적(5_14 일대)"/>
      <sheetName val="직노"/>
      <sheetName val="실행내역"/>
      <sheetName val="TYPE-B 평균H"/>
      <sheetName val="금액내역서"/>
      <sheetName val="Sheet4"/>
      <sheetName val="ilch"/>
      <sheetName val="견적서"/>
      <sheetName val="자재테이블"/>
      <sheetName val="단가"/>
      <sheetName val="시설물일위"/>
      <sheetName val="단위중량"/>
      <sheetName val="조인트"/>
      <sheetName val="Proposal"/>
      <sheetName val="BQ"/>
      <sheetName val="도급및 실행내역"/>
      <sheetName val="9GNG운반"/>
      <sheetName val="노임단가(0.3)"/>
      <sheetName val="노임단가"/>
      <sheetName val="단가표 (2)"/>
      <sheetName val="지급자재"/>
      <sheetName val="외자배분"/>
      <sheetName val="수량산출서"/>
      <sheetName val="K1자재(3차등)"/>
      <sheetName val="토사(PE)"/>
      <sheetName val="변화치수"/>
      <sheetName val="조건표"/>
      <sheetName val="CALCULATION"/>
      <sheetName val="General Data"/>
      <sheetName val="부대내역"/>
      <sheetName val="명세서"/>
      <sheetName val="토공총괄집계"/>
      <sheetName val="I.설계조건"/>
      <sheetName val="투자효율분석"/>
      <sheetName val="보집계표"/>
      <sheetName val="방송노임"/>
      <sheetName val="말뚝물량"/>
      <sheetName val="8.PILE  (돌출)"/>
      <sheetName val="교각계산"/>
      <sheetName val="토공"/>
      <sheetName val="집계표"/>
      <sheetName val="내력서"/>
      <sheetName val="Macro(전선)"/>
      <sheetName val="플랜트 설치"/>
      <sheetName val="타공종이기"/>
      <sheetName val="토목내역"/>
      <sheetName val="원형맨홀수량"/>
      <sheetName val="신공"/>
      <sheetName val="내역표지"/>
      <sheetName val="단가대비"/>
      <sheetName val="정렬"/>
      <sheetName val="자판실행"/>
      <sheetName val="spec1"/>
      <sheetName val="일위대가목차"/>
      <sheetName val="단가대비표"/>
      <sheetName val="DATA1"/>
      <sheetName val="기계내역"/>
      <sheetName val="D25"/>
      <sheetName val="D16"/>
      <sheetName val="D22"/>
      <sheetName val="도"/>
      <sheetName val="대비"/>
      <sheetName val="깨기"/>
      <sheetName val="단가조서"/>
      <sheetName val="착공계"/>
      <sheetName val="근생APT-신마감"/>
      <sheetName val="복지관_FIART"/>
      <sheetName val="근생APT-FIART"/>
      <sheetName val="근생-FIART"/>
      <sheetName val="경비_원본"/>
      <sheetName val="CTEMCOST"/>
      <sheetName val="壓降計算基本資料"/>
      <sheetName val="견적접수"/>
      <sheetName val="견적내역서"/>
      <sheetName val="공사원가계산서"/>
      <sheetName val="금액"/>
      <sheetName val="위치조서"/>
      <sheetName val="JOINT1"/>
      <sheetName val="Sheet3 (2)"/>
      <sheetName val="123"/>
      <sheetName val="cable"/>
      <sheetName val="안정검토"/>
      <sheetName val="소비자가"/>
      <sheetName val="콘크리트 블록 유형별 수량"/>
      <sheetName val="6PILE  (돌출)"/>
      <sheetName val="2002계약현황"/>
      <sheetName val="자재단가 산출근거"/>
      <sheetName val="노임"/>
      <sheetName val="Total"/>
      <sheetName val="U-TYPE(1)"/>
      <sheetName val="FOOTING단면력"/>
      <sheetName val="N賃率-職"/>
      <sheetName val="Sheet1 (2)"/>
      <sheetName val="계산중"/>
      <sheetName val=" 견적서"/>
      <sheetName val="가시설단위수량"/>
      <sheetName val="J형측구단위수량"/>
      <sheetName val="사각맨홀"/>
      <sheetName val="1단계"/>
      <sheetName val="계약내력"/>
      <sheetName val="조도계산서_(도서)"/>
      <sheetName val="경산"/>
      <sheetName val="년도별시공"/>
      <sheetName val="단가표 "/>
      <sheetName val="전기일위대가"/>
      <sheetName val="터파기및재료"/>
      <sheetName val="2.내역서"/>
      <sheetName val="c_balju"/>
      <sheetName val="하수실행"/>
      <sheetName val="추가및 공제(방파제)"/>
      <sheetName val="수문보고"/>
      <sheetName val="2002상반기노임기준"/>
      <sheetName val="INPUT"/>
      <sheetName val="환률"/>
      <sheetName val="조도계산서__도서_"/>
      <sheetName val="IMP_(REACTOR)"/>
      <sheetName val="3BL공동구_수량"/>
      <sheetName val="별표_"/>
      <sheetName val="2F_회의실견적(5_14_일대)"/>
      <sheetName val="General_Data"/>
      <sheetName val="TYPE-B_평균H"/>
      <sheetName val="erl-b"/>
      <sheetName val="입력DATA"/>
      <sheetName val="바닥판"/>
      <sheetName val="일위대가(계측기설치)"/>
      <sheetName val="수량산출"/>
      <sheetName val="부대tu"/>
      <sheetName val="횡배수관"/>
      <sheetName val="관급단가"/>
      <sheetName val="문산방향-교대(A2)"/>
      <sheetName val="목차"/>
      <sheetName val="일위대가목록"/>
      <sheetName val="D-3503"/>
      <sheetName val="공종별 집계"/>
      <sheetName val="단면가정"/>
      <sheetName val="가공비"/>
      <sheetName val="밸브설치"/>
      <sheetName val="원가계산서"/>
      <sheetName val="데이타"/>
      <sheetName val="DATA"/>
      <sheetName val="반중력식옹벽3.5"/>
      <sheetName val="설계조건"/>
      <sheetName val="안정계산"/>
      <sheetName val="단면검토"/>
      <sheetName val="CODE"/>
      <sheetName val="오산갈곳"/>
      <sheetName val="교각1"/>
      <sheetName val="토공,기초"/>
      <sheetName val="dike도수로"/>
      <sheetName val="수질정화시설"/>
      <sheetName val="내역서(총)"/>
      <sheetName val="POL6차-PIPING"/>
      <sheetName val="토공계산서(부체도로)"/>
      <sheetName val="수로단위수량"/>
      <sheetName val="자재집계표"/>
      <sheetName val="BJJIN"/>
      <sheetName val="화산경계"/>
      <sheetName val="재집"/>
      <sheetName val="직재"/>
      <sheetName val="공사개요"/>
      <sheetName val="터널조도"/>
      <sheetName val="DESIGN_CRETERIA"/>
      <sheetName val="장비집계"/>
      <sheetName val="기본"/>
      <sheetName val="단가표"/>
      <sheetName val="배수공"/>
      <sheetName val="암거"/>
      <sheetName val="포장공"/>
      <sheetName val="A-4"/>
      <sheetName val="여과지동"/>
      <sheetName val="기초자료"/>
      <sheetName val="바.한일양산"/>
      <sheetName val="장비"/>
      <sheetName val="노무"/>
      <sheetName val="설계"/>
      <sheetName val="인건-측정"/>
      <sheetName val="ATS단가"/>
      <sheetName val="연결임시"/>
      <sheetName val="Contents"/>
      <sheetName val="BM"/>
      <sheetName val="????? (??)"/>
      <sheetName val="작성방법"/>
      <sheetName val="2선재"/>
      <sheetName val="단중표"/>
      <sheetName val="Material"/>
      <sheetName val="연돌일위집계"/>
      <sheetName val="FACTOR"/>
      <sheetName val="단중"/>
      <sheetName val="CABLE DATA"/>
      <sheetName val="MEXICO-C"/>
      <sheetName val="총(철거)"/>
      <sheetName val="변경품셈총괄"/>
      <sheetName val="TIE-IN"/>
      <sheetName val="eq_data"/>
      <sheetName val="5지구단위"/>
      <sheetName val="우수관로집계"/>
      <sheetName val="평균높이산출근거"/>
      <sheetName val="횡배수관위치조서"/>
      <sheetName val="입찰안"/>
      <sheetName val="일위대가표"/>
      <sheetName val="Dae_Jiju"/>
      <sheetName val="Sikje_ingun"/>
      <sheetName val="TREE_D"/>
      <sheetName val="기성금내역서"/>
      <sheetName val="가설공사"/>
      <sheetName val="6.INTER CONNECTING"/>
      <sheetName val="i zone"/>
      <sheetName val="공정양식"/>
      <sheetName val="Base_Data"/>
      <sheetName val="POL설치공정"/>
      <sheetName val="원가계산"/>
      <sheetName val="98수문일위"/>
      <sheetName val="뚝토공"/>
      <sheetName val="관집계"/>
      <sheetName val="hvac(제어동)"/>
      <sheetName val="plan&amp;section of foundation"/>
      <sheetName val="design load"/>
      <sheetName val="working load at the btm ft."/>
      <sheetName val="stability check"/>
      <sheetName val="design criteria"/>
      <sheetName val="다이꾸"/>
      <sheetName val="wall"/>
      <sheetName val="입찰견적보고서"/>
      <sheetName val="적용기준"/>
      <sheetName val="danga"/>
      <sheetName val="단가 (2)"/>
      <sheetName val="자재단가"/>
      <sheetName val="LOPCALC"/>
      <sheetName val="조도계산서_(도서)1"/>
      <sheetName val="조도계산서__도서_1"/>
      <sheetName val="IMP_(REACTOR)1"/>
      <sheetName val="3BL공동구_수량1"/>
      <sheetName val="2F_회의실견적(5_14_일대)1"/>
      <sheetName val="별표_1"/>
      <sheetName val="내역서_"/>
      <sheetName val="도급및_실행내역"/>
      <sheetName val="TYPE-B_평균H1"/>
      <sheetName val="General_Data1"/>
      <sheetName val="I_설계조건"/>
      <sheetName val="플랜트_설치"/>
      <sheetName val="Sheet1_(2)"/>
      <sheetName val="노임단가(0_3)"/>
      <sheetName val="단가표_(2)"/>
      <sheetName val="단가표_"/>
      <sheetName val="8_PILE__(돌출)"/>
      <sheetName val="콘크리트_블록_유형별_수량"/>
      <sheetName val="6PILE__(돌출)"/>
      <sheetName val="_견적서"/>
      <sheetName val="자재단가_산출근거"/>
      <sheetName val="Sheet3_(2)"/>
      <sheetName val="2_내역서"/>
      <sheetName val="추가및_공제(방파제)"/>
      <sheetName val="공종별_집계"/>
      <sheetName val="조도계산서_(도서)2"/>
      <sheetName val="조도계산서__도서_2"/>
      <sheetName val="IMP_(REACTOR)2"/>
      <sheetName val="3BL공동구_수량2"/>
      <sheetName val="2F_회의실견적(5_14_일대)2"/>
      <sheetName val="별표_2"/>
      <sheetName val="내역서_1"/>
      <sheetName val="도급및_실행내역1"/>
      <sheetName val="TYPE-B_평균H2"/>
      <sheetName val="General_Data2"/>
      <sheetName val="I_설계조건1"/>
      <sheetName val="플랜트_설치1"/>
      <sheetName val="Sheet1_(2)1"/>
      <sheetName val="노임단가(0_3)1"/>
      <sheetName val="단가표_(2)1"/>
      <sheetName val="단가표_1"/>
      <sheetName val="8_PILE__(돌출)1"/>
      <sheetName val="콘크리트_블록_유형별_수량1"/>
      <sheetName val="6PILE__(돌출)1"/>
      <sheetName val="_견적서1"/>
      <sheetName val="자재단가_산출근거1"/>
      <sheetName val="Sheet3_(2)1"/>
      <sheetName val="2_내역서1"/>
      <sheetName val="추가및_공제(방파제)1"/>
      <sheetName val="공종별_집계1"/>
      <sheetName val="날개수량1_51"/>
      <sheetName val="표__지"/>
      <sheetName val="대가호표"/>
      <sheetName val="건축"/>
      <sheetName val="동원인원산출"/>
      <sheetName val="XL4Poppy"/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견적갑지"/>
      <sheetName val="입찰참가보고 (2)"/>
      <sheetName val="부대공II"/>
      <sheetName val="가설사무실"/>
      <sheetName val="조직도"/>
      <sheetName val="카메라"/>
      <sheetName val="000000"/>
      <sheetName val="조명율표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토목원가계산서"/>
      <sheetName val="토목원가"/>
      <sheetName val="집계장"/>
      <sheetName val="설계내역"/>
      <sheetName val="제외공종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단가비교표"/>
      <sheetName val="Chart1"/>
      <sheetName val="단위내역목록"/>
      <sheetName val="단위내역서"/>
      <sheetName val="총괄표"/>
      <sheetName val="원가(1)"/>
      <sheetName val="원가(2)"/>
      <sheetName val="공량산출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적쒩2002"/>
      <sheetName val="단위내엍목록"/>
      <sheetName val="설계내역서"/>
      <sheetName val="제어반공량"/>
      <sheetName val="가격조사"/>
      <sheetName val="제어반견적"/>
      <sheetName val="주요물량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P礔CKAGE"/>
      <sheetName val="운반비(전선륐)"/>
      <sheetName val="31.고"/>
      <sheetName val="일위대가서"/>
      <sheetName val="MCC,분전반"/>
      <sheetName val="PANEL"/>
      <sheetName val="신규단가-00.11.30"/>
      <sheetName val="001"/>
      <sheetName val="진주방향"/>
      <sheetName val="가시설수량"/>
      <sheetName val="단위수량"/>
      <sheetName val="---FAB#1업무일지---"/>
      <sheetName val="Sheet2"/>
      <sheetName val="Sheet3"/>
      <sheetName val="사용자정의"/>
      <sheetName val="제품표준규격"/>
      <sheetName val="관급자재"/>
      <sheetName val="맨홀수량집계"/>
      <sheetName val="3련 BOX"/>
      <sheetName val="원가계산서-계약"/>
      <sheetName val="계약내역서"/>
      <sheetName val="견적단가(조명제어)"/>
      <sheetName val="견적단가(등기구)"/>
      <sheetName val="견적단가(수배전반)"/>
      <sheetName val="CONCRETE"/>
      <sheetName val="남양시작동자105노65기1.3화1.2"/>
      <sheetName val="공사비집계"/>
      <sheetName val="공통비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경비"/>
      <sheetName val="날개벽"/>
      <sheetName val="코드"/>
      <sheetName val="BLOCK(1)"/>
      <sheetName val="투찰"/>
      <sheetName val="결과조달"/>
      <sheetName val="SG"/>
      <sheetName val="내역분기"/>
      <sheetName val="노원열병합  건축공사기성내역서"/>
      <sheetName val="공통가설"/>
      <sheetName val="전차선로 물량표"/>
      <sheetName val="TEL"/>
      <sheetName val="현금"/>
      <sheetName val="VXXXXX"/>
      <sheetName val="전도금청구서"/>
      <sheetName val="전도금청구서 (2)"/>
      <sheetName val="자금분계"/>
      <sheetName val="미지급"/>
      <sheetName val="직영노"/>
      <sheetName val="금전출납 "/>
      <sheetName val="현금출납부"/>
      <sheetName val="식대 "/>
      <sheetName val="장비사용료"/>
      <sheetName val="장비대"/>
      <sheetName val="유류대"/>
      <sheetName val="자재대"/>
      <sheetName val="기성고조서(폐기물) (2)"/>
      <sheetName val="기성고조서(순성토)"/>
      <sheetName val="기성고조서(배수)"/>
      <sheetName val="배수외주내역서"/>
      <sheetName val="Sheet3 (5)"/>
      <sheetName val="Sheet3 (6)"/>
      <sheetName val="sw1"/>
      <sheetName val="NOMUBI"/>
      <sheetName val="98지급계획"/>
      <sheetName val="설계예산내역서"/>
      <sheetName val="DATE"/>
      <sheetName val="구조물철거타공정이월"/>
      <sheetName val="집1"/>
      <sheetName val="토공(완충)"/>
      <sheetName val="L형옹벽(key)"/>
      <sheetName val="백호우계수"/>
      <sheetName val="11.자재단가"/>
      <sheetName val="관람석제출"/>
      <sheetName val="한강운반비"/>
      <sheetName val="기초공"/>
      <sheetName val="기둥(원형)"/>
      <sheetName val="단가조사서"/>
      <sheetName val="6호기"/>
      <sheetName val="판"/>
      <sheetName val="화재 탐지 설비"/>
      <sheetName val="토목주소"/>
      <sheetName val="프랜트면허"/>
      <sheetName val="BID"/>
      <sheetName val="NEWDRAW"/>
      <sheetName val="조경"/>
      <sheetName val="공통부대비"/>
      <sheetName val="보합"/>
      <sheetName val="손익분석"/>
      <sheetName val="총집계표"/>
      <sheetName val="총계"/>
      <sheetName val="준검 내역서"/>
      <sheetName val="노무비"/>
      <sheetName val="산거각호표"/>
      <sheetName val="7.1유효폭"/>
      <sheetName val="간선계산"/>
      <sheetName val="수목단가"/>
      <sheetName val="시설수량표"/>
      <sheetName val="식재수량표"/>
      <sheetName val="일위목록"/>
      <sheetName val="수량집계"/>
      <sheetName val="총괄집계표"/>
      <sheetName val="최초침전지집계표"/>
      <sheetName val="조건표 (2)"/>
      <sheetName val="SORCE1"/>
      <sheetName val="pipe-table"/>
      <sheetName val="DATA for Bill"/>
      <sheetName val="예산서"/>
      <sheetName val="단면 (2)"/>
      <sheetName val="상수도토공집계표"/>
      <sheetName val="날개수량1.5"/>
      <sheetName val="일위대가-1"/>
      <sheetName val="노무단가"/>
      <sheetName val="공사비명세서"/>
      <sheetName val="토공사"/>
      <sheetName val="건축(충일분)"/>
      <sheetName val="총중목"/>
      <sheetName val="1.설계조건"/>
      <sheetName val="법면"/>
      <sheetName val="부대공"/>
      <sheetName val="구조물공"/>
      <sheetName val="배수공1"/>
      <sheetName val="식재인부"/>
      <sheetName val="BEND LOSS"/>
      <sheetName val="플랫폼"/>
      <sheetName val="IMPEADENCE MAP 취수장"/>
      <sheetName val="설계외주"/>
      <sheetName val="조도계산서_(도서)3"/>
      <sheetName val="조도계산서__도서_3"/>
      <sheetName val="IMP_(REACTOR)3"/>
      <sheetName val="3BL공동구_수량3"/>
      <sheetName val="2F_회의실견적(5_14_일대)3"/>
      <sheetName val="별표_3"/>
      <sheetName val="내역서_2"/>
      <sheetName val="도급및_실행내역2"/>
      <sheetName val="TYPE-B_평균H3"/>
      <sheetName val="General_Data3"/>
      <sheetName val="I_설계조건2"/>
      <sheetName val="플랜트_설치2"/>
      <sheetName val="Sheet1_(2)2"/>
      <sheetName val="노임단가(0_3)2"/>
      <sheetName val="단가표_(2)2"/>
      <sheetName val="단가표_2"/>
      <sheetName val="8_PILE__(돌출)2"/>
      <sheetName val="콘크리트_블록_유형별_수량2"/>
      <sheetName val="6PILE__(돌출)2"/>
      <sheetName val="_견적서2"/>
      <sheetName val="자재단가_산출근거2"/>
      <sheetName val="Sheet3_(2)2"/>
      <sheetName val="2_내역서2"/>
      <sheetName val="추가및_공제(방파제)2"/>
      <sheetName val="공종별_집계2"/>
      <sheetName val="반중력식옹벽3_5"/>
      <sheetName val="바_한일양산"/>
      <sheetName val="plan&amp;section_of_foundation"/>
      <sheetName val="design_load"/>
      <sheetName val="working_load_at_the_btm_ft_"/>
      <sheetName val="stability_check"/>
      <sheetName val="design_criteria"/>
      <sheetName val="표지 (2)"/>
      <sheetName val="공내역"/>
      <sheetName val=""/>
      <sheetName val="1.설계기준"/>
      <sheetName val="산근"/>
      <sheetName val="구완터널옥외변_x0000_"/>
      <sheetName val="통합"/>
      <sheetName val="Legend"/>
      <sheetName val="FORM-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 refreshError="1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PCALC"/>
      <sheetName val="조도계산서 (도서)"/>
      <sheetName val="TABLE"/>
      <sheetName val="전차선로 물량표"/>
      <sheetName val="ITEM"/>
      <sheetName val="내역서"/>
      <sheetName val="#REF"/>
      <sheetName val="부하LOAD"/>
      <sheetName val="보안등"/>
      <sheetName val="정부노임단가"/>
      <sheetName val="노무비"/>
      <sheetName val="EQ"/>
      <sheetName val="96작생능"/>
      <sheetName val="IMPEADENCE MAP 취수장"/>
      <sheetName val="MEXICO-C"/>
      <sheetName val="일위대가(원본)"/>
      <sheetName val="DATA"/>
      <sheetName val="내역"/>
      <sheetName val="Macro(조도)"/>
      <sheetName val="참조"/>
      <sheetName val="INPUT"/>
      <sheetName val="횡배위치"/>
      <sheetName val="전기실및집수정"/>
      <sheetName val="기본일위"/>
      <sheetName val="공통(20-91)"/>
      <sheetName val="한강운반비"/>
      <sheetName val="노임"/>
      <sheetName val="자재"/>
      <sheetName val="일위산출"/>
      <sheetName val="98NS-N"/>
      <sheetName val="BID"/>
      <sheetName val="2F 회의실견적(5_14 일대)"/>
      <sheetName val="바닥판"/>
      <sheetName val="총괄"/>
      <sheetName val="노임단가"/>
      <sheetName val="일위대가"/>
      <sheetName val="POL6차-PIPING"/>
      <sheetName val="REPT-NG"/>
      <sheetName val="수량산출"/>
      <sheetName val="FB25JN"/>
      <sheetName val="Sheet1"/>
      <sheetName val="001"/>
      <sheetName val="내역1"/>
      <sheetName val="3련 BOX"/>
      <sheetName val="수질정화시설"/>
      <sheetName val="설계가"/>
      <sheetName val="단중표"/>
      <sheetName val="인건비"/>
      <sheetName val="ⴭⴭⴭⴭ"/>
      <sheetName val="MOTOR"/>
      <sheetName val="개요"/>
      <sheetName val="표지 (2)"/>
      <sheetName val="2000년1차"/>
      <sheetName val="발신정보"/>
      <sheetName val="card1"/>
      <sheetName val="실행철강하도"/>
      <sheetName val="간접"/>
      <sheetName val="48전력선로일위"/>
      <sheetName val="J형측구단위수량"/>
      <sheetName val="1호인버트수량"/>
      <sheetName val="갑지"/>
      <sheetName val="데이타"/>
      <sheetName val="일위대가(가설)"/>
      <sheetName val="Sheet2"/>
      <sheetName val="골재집계"/>
      <sheetName val="환율-LIBOR"/>
      <sheetName val="단가산출"/>
      <sheetName val="개소별수량산출"/>
      <sheetName val="인건-측정"/>
      <sheetName val="자재단가표"/>
      <sheetName val="Sheet17"/>
      <sheetName val="99 조정금액"/>
      <sheetName val="시운전연료"/>
      <sheetName val="ilch"/>
      <sheetName val="실행품의서"/>
      <sheetName val="뚝토공"/>
      <sheetName val="일위"/>
      <sheetName val="건축내역"/>
      <sheetName val="---FAB#1업무일지---"/>
      <sheetName val="LD"/>
      <sheetName val="N賃率-職"/>
      <sheetName val="토공A"/>
      <sheetName val="총집계표"/>
      <sheetName val="98수문일위"/>
      <sheetName val="을지"/>
      <sheetName val="일위대가표"/>
      <sheetName val="수량산출(LP-G)"/>
      <sheetName val="수량집계표1"/>
      <sheetName val="차액보증"/>
      <sheetName val="Sheet1 (2)"/>
      <sheetName val="2002계약현황"/>
      <sheetName val="플랫폼"/>
      <sheetName val="FOOTING단면력"/>
      <sheetName val="ABUT수량-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부하계산서"/>
      <sheetName val="UNIT-QT"/>
      <sheetName val="ITEM"/>
      <sheetName val="LOPCALC"/>
      <sheetName val="MOTOR"/>
      <sheetName val="JUCK"/>
      <sheetName val="합의경상"/>
      <sheetName val="내역서"/>
      <sheetName val="1.설계조건"/>
      <sheetName val="MEXICO-C"/>
      <sheetName val="FOOTING단면력"/>
      <sheetName val="장비내역서"/>
      <sheetName val="BID"/>
      <sheetName val="명세서"/>
      <sheetName val="부대내역"/>
      <sheetName val="외천교"/>
      <sheetName val="개요"/>
      <sheetName val="인건-측정"/>
      <sheetName val="노무비"/>
      <sheetName val="DATA"/>
      <sheetName val="봉양~조차장간고하개명(신설)"/>
      <sheetName val="ⴭⴭⴭⴭ"/>
      <sheetName val="Sheet2"/>
      <sheetName val="Total"/>
      <sheetName val="CONCRETE"/>
      <sheetName val="2공구수량"/>
      <sheetName val="WORK"/>
      <sheetName val="부하(반월)"/>
      <sheetName val="MACRO(MCC)"/>
      <sheetName val="전차선로 물량표"/>
      <sheetName val="중기일위대가"/>
      <sheetName val="노임단가"/>
      <sheetName val="정부노임단가"/>
      <sheetName val="일반공사"/>
      <sheetName val="송장"/>
      <sheetName val="COPING"/>
      <sheetName val="#REF"/>
      <sheetName val="부하LOAD"/>
      <sheetName val="전기"/>
      <sheetName val="가설건물"/>
      <sheetName val="INPUT"/>
      <sheetName val="청구내역(9807)"/>
      <sheetName val="업체별기성내역"/>
      <sheetName val="유동표(변경)"/>
      <sheetName val="노원열병합  건축공사기성내역서"/>
      <sheetName val="부하(성남)"/>
      <sheetName val="플랜트 설치"/>
      <sheetName val="DATE"/>
      <sheetName val="001"/>
      <sheetName val="토공A"/>
      <sheetName val="내역"/>
      <sheetName val="터널조도"/>
      <sheetName val="데이타"/>
      <sheetName val="수량산출서"/>
      <sheetName val="공통(20-91)"/>
      <sheetName val="변경실행(2차) "/>
      <sheetName val="배수공 주요자재 집계표"/>
      <sheetName val="wall"/>
      <sheetName val="수량산출"/>
      <sheetName val="을"/>
      <sheetName val="Sheet3"/>
      <sheetName val="바닥판"/>
      <sheetName val="품의서"/>
      <sheetName val="3BL공동구 수량"/>
      <sheetName val="MBR9"/>
      <sheetName val="간접비"/>
      <sheetName val="TRE TABLE"/>
      <sheetName val="포장공"/>
      <sheetName val="동력부하(도산)"/>
      <sheetName val="CA지입"/>
      <sheetName val="단가표 "/>
      <sheetName val="자재단가"/>
      <sheetName val="ilch"/>
      <sheetName val="BQ(실행)"/>
      <sheetName val="설계조건"/>
      <sheetName val="날개벽(TYPE3)"/>
      <sheetName val="공용시설내역"/>
      <sheetName val="쌍송교"/>
      <sheetName val="유동표"/>
      <sheetName val="기계경비일람"/>
      <sheetName val="비교표"/>
      <sheetName val="전력구구조물산근"/>
      <sheetName val="자재수량"/>
      <sheetName val="L-type"/>
      <sheetName val="일위대가"/>
      <sheetName val="도담구내 개소별 명세"/>
      <sheetName val="1공구(을)"/>
      <sheetName val="Macro(AT)"/>
      <sheetName val="EJ"/>
      <sheetName val="W-현원가"/>
      <sheetName val="Macro(차단기)"/>
      <sheetName val="Y-WORK"/>
      <sheetName val="Sheet4"/>
      <sheetName val="4)유동표"/>
      <sheetName val="I.설계조건"/>
      <sheetName val="노임"/>
      <sheetName val="일위대가목록"/>
      <sheetName val="Macro1"/>
      <sheetName val="Sheet17"/>
      <sheetName val="프랜트면허"/>
      <sheetName val="단가산출집계"/>
      <sheetName val="인건비"/>
      <sheetName val="5. 차단기 용량계산"/>
      <sheetName val="BLOCK(1)"/>
      <sheetName val="관리사무소"/>
      <sheetName val="Macro2"/>
      <sheetName val="다이꾸"/>
      <sheetName val="cost"/>
      <sheetName val="TABLE"/>
      <sheetName val="주식"/>
      <sheetName val="Sheet1 (2)"/>
      <sheetName val="조명율데이타"/>
      <sheetName val="DG-LAP6"/>
      <sheetName val="을부담운반비"/>
      <sheetName val="ABUT수량-A1"/>
      <sheetName val="2000년1차"/>
      <sheetName val="200"/>
      <sheetName val="건축내역"/>
      <sheetName val="FEXS"/>
      <sheetName val="기본일위"/>
      <sheetName val="접속도로1"/>
      <sheetName val="FB25JN"/>
      <sheetName val="대구실행"/>
      <sheetName val="bearing"/>
      <sheetName val="부하(도서)"/>
      <sheetName val="차액보증"/>
      <sheetName val="전력구구조물산근2구간"/>
      <sheetName val="c_balju"/>
      <sheetName val="현장지지물물량"/>
      <sheetName val="소운반"/>
      <sheetName val="BSD (2)"/>
      <sheetName val="토목내역"/>
      <sheetName val="입고장부 (4)"/>
      <sheetName val="XL4Poppy"/>
      <sheetName val="토목주소"/>
      <sheetName val="견적서"/>
      <sheetName val="7.1유효폭"/>
      <sheetName val="날개벽(시점좌측)"/>
      <sheetName val="현장관리비내역서"/>
      <sheetName val="날개벽수량표"/>
      <sheetName val="일위대가(계측기설치)"/>
      <sheetName val="A-4"/>
      <sheetName val="수질정화시설"/>
      <sheetName val="목차"/>
      <sheetName val="3련 BOX"/>
      <sheetName val="Cost bd-&quot;A&quot;"/>
      <sheetName val="Site Expenses"/>
      <sheetName val="수량"/>
      <sheetName val="참조"/>
      <sheetName val="Languages"/>
      <sheetName val="뚝토공"/>
      <sheetName val="96작생능"/>
      <sheetName val="LOAD-AY"/>
      <sheetName val="포장복구집계"/>
      <sheetName val="조명율표"/>
      <sheetName val="LEVEL0~4"/>
      <sheetName val="조도계산서 (도서)"/>
      <sheetName val="표지 (2)"/>
      <sheetName val="매크로"/>
      <sheetName val="외주가공"/>
      <sheetName val="기계실"/>
      <sheetName val="1-1"/>
      <sheetName val="일위대가목차"/>
      <sheetName val="E.P.T수량산출서"/>
      <sheetName val="U-TYPE(1)"/>
      <sheetName val="단가대비표"/>
      <sheetName val="집계표(육상)"/>
      <sheetName val="주형"/>
      <sheetName val="????"/>
      <sheetName val="당초"/>
      <sheetName val="Process"/>
      <sheetName val="기초공"/>
      <sheetName val="기둥(원형)"/>
      <sheetName val="COVER"/>
      <sheetName val="Sheet5"/>
      <sheetName val="견적정보"/>
      <sheetName val="명단원자료(이전)"/>
      <sheetName val="L_RPTA05_목록"/>
      <sheetName val="토공(완충)"/>
      <sheetName val="지진시"/>
      <sheetName val="부대공"/>
      <sheetName val="IMP(MAIN)"/>
      <sheetName val="IMP (REACTOR)"/>
      <sheetName val="J"/>
      <sheetName val="협조전"/>
      <sheetName val="입력DATA"/>
      <sheetName val="안정검토"/>
      <sheetName val="보차도경계석"/>
      <sheetName val="역T형"/>
      <sheetName val="PILE"/>
      <sheetName val="단면치수"/>
      <sheetName val="맨홀수량집계"/>
      <sheetName val="총괄표"/>
      <sheetName val="예산서"/>
      <sheetName val="일위산출"/>
      <sheetName val="한강운반비"/>
      <sheetName val="자재"/>
      <sheetName val="경비2내역"/>
      <sheetName val="LG제품"/>
      <sheetName val="전기설계변경"/>
      <sheetName val="K"/>
      <sheetName val="횡배수관집현황(2공구)"/>
      <sheetName val="전기일위대가"/>
      <sheetName val="골재집계"/>
      <sheetName val="배수관공"/>
      <sheetName val="우각부보강"/>
      <sheetName val="교각계산"/>
      <sheetName val="투찰"/>
      <sheetName val="토공"/>
      <sheetName val="설직재-1"/>
      <sheetName val="실행철강하도"/>
      <sheetName val="조견표"/>
      <sheetName val="BQ"/>
      <sheetName val="특별교실"/>
      <sheetName val="Dae_Jiju"/>
      <sheetName val="Sikje_ingun"/>
      <sheetName val="TREE_D"/>
      <sheetName val="조명률표"/>
      <sheetName val="설계자료"/>
      <sheetName val="전압강하계산"/>
      <sheetName val="2F 회의실견적(5_14 일대)"/>
      <sheetName val="말뚝물량"/>
      <sheetName val="굴착현장"/>
      <sheetName val="처리단락"/>
      <sheetName val="LD"/>
      <sheetName val="약전닥트"/>
      <sheetName val="건축부하"/>
      <sheetName val="일지-H"/>
      <sheetName val="FA설치명세"/>
      <sheetName val="김포IO"/>
      <sheetName val="가로등제어반 설치공사(수량)"/>
      <sheetName val="발신정보"/>
      <sheetName val="일위대가표"/>
      <sheetName val="SLAB"/>
      <sheetName val="工완성공사율"/>
      <sheetName val="C1ㅇ"/>
      <sheetName val="전기일위목록"/>
      <sheetName val="환률"/>
      <sheetName val="실행예산"/>
      <sheetName val="단위내역서"/>
      <sheetName val="소비자가"/>
      <sheetName val="타공종이기"/>
      <sheetName val="단"/>
      <sheetName val="설산1.나"/>
      <sheetName val="본사S"/>
      <sheetName val="경비"/>
      <sheetName val="토사(PE)"/>
      <sheetName val="현황산출서"/>
      <sheetName val="옹벽기초자료"/>
      <sheetName val="집수정단"/>
      <sheetName val="오산갈곳"/>
      <sheetName val="직원동원SCH"/>
      <sheetName val="BJJIN"/>
      <sheetName val="갑지"/>
      <sheetName val="조명율"/>
      <sheetName val="code"/>
      <sheetName val="TYPE-B 평균H"/>
      <sheetName val="실행품의서"/>
      <sheetName val="경상비"/>
      <sheetName val="RAHMEN"/>
      <sheetName val="TYPE1"/>
      <sheetName val="철근량"/>
      <sheetName val="1_설계조건"/>
      <sheetName val="전차선로_물량표"/>
      <sheetName val="노원열병합__건축공사기성내역서"/>
      <sheetName val="배수공_주요자재_집계표"/>
      <sheetName val="플랜트_설치"/>
      <sheetName val="3련_BOX"/>
      <sheetName val="I_설계조건"/>
      <sheetName val="변경실행(2차)_"/>
      <sheetName val="3BL공동구_수량"/>
      <sheetName val="와동25-3(변경)"/>
      <sheetName val="TYPE-A"/>
      <sheetName val="단중표"/>
      <sheetName val="목록"/>
      <sheetName val="단가"/>
      <sheetName val="시설물일위"/>
      <sheetName val="CHITIET VL-NC-TT -1p"/>
      <sheetName val="TDTKP1"/>
      <sheetName val="토공및부대2차"/>
      <sheetName val="원형맨홀수량"/>
      <sheetName val="장비집계"/>
      <sheetName val="갑지(추정)"/>
      <sheetName val="집행(2-1)"/>
      <sheetName val="공사비예산서(토목분)"/>
      <sheetName val="견"/>
      <sheetName val="월선수금"/>
      <sheetName val="일위목록"/>
      <sheetName val="요율"/>
      <sheetName val="사용자정의"/>
      <sheetName val="제품표준규격"/>
      <sheetName val="조명시설"/>
      <sheetName val="안정계산"/>
      <sheetName val="단면검토"/>
      <sheetName val="가도공"/>
      <sheetName val="단위수량"/>
      <sheetName val="22-2M단"/>
      <sheetName val="22-1소단"/>
      <sheetName val="호안공"/>
      <sheetName val="단위중량"/>
      <sheetName val="단가비교표"/>
      <sheetName val="품목납기"/>
      <sheetName val="공사비집계"/>
      <sheetName val="산거각호표"/>
      <sheetName val="전선 및 전선관"/>
      <sheetName val="물량산출_LP-1"/>
      <sheetName val="물량산출_LP-2"/>
      <sheetName val="물량산출_LP-3"/>
      <sheetName val="물량산출_LP-4"/>
      <sheetName val="정산입력"/>
      <sheetName val="TYPE-1"/>
      <sheetName val="비대칭계수"/>
      <sheetName val="전동기 SPEC"/>
      <sheetName val="주사무실종합"/>
      <sheetName val="단면가정"/>
      <sheetName val="가시설단위수량"/>
      <sheetName val="SORCE1"/>
      <sheetName val="공사기본자료"/>
      <sheetName val="CATV"/>
      <sheetName val="양식"/>
      <sheetName val="원형1호맨홀토공수량"/>
      <sheetName val="기계내역"/>
      <sheetName val="MAT"/>
      <sheetName val="L형측구단위수량"/>
      <sheetName val="L형측구연장조서"/>
      <sheetName val="도로경계블럭단위수량"/>
      <sheetName val="도로경계블럭단위토공"/>
      <sheetName val="6PILE  (돌출)"/>
      <sheetName val="물가시세"/>
      <sheetName val="일위대가(가설)"/>
      <sheetName val="입찰안"/>
      <sheetName val="원가"/>
      <sheetName val="LXLIST1"/>
      <sheetName val="내역서비교"/>
      <sheetName val="산출근거"/>
      <sheetName val="기성집계"/>
      <sheetName val="자료입력"/>
      <sheetName val="설계서(설치)"/>
      <sheetName val="공통부대비"/>
      <sheetName val="Main"/>
      <sheetName val="Picture"/>
      <sheetName val="회사99"/>
      <sheetName val="1"/>
      <sheetName val="표지판현황"/>
      <sheetName val="현금"/>
      <sheetName val="guard(mac)"/>
      <sheetName val="자재대"/>
      <sheetName val="적용단위길이"/>
      <sheetName val="준공조서"/>
      <sheetName val="공사준공계"/>
      <sheetName val="준공검사보고서"/>
      <sheetName val="OZ049E"/>
      <sheetName val="토공산출(주차장)"/>
      <sheetName val="현장관리"/>
      <sheetName val="공통가설"/>
      <sheetName val="매입"/>
      <sheetName val="공사개요"/>
      <sheetName val="토공산출 (아파트)"/>
      <sheetName val="운용방안"/>
      <sheetName val="입력"/>
      <sheetName val="EP0618"/>
      <sheetName val="내역(정지)"/>
      <sheetName val="내역(전체)"/>
      <sheetName val="SRC-B3U2"/>
      <sheetName val="공사비증감"/>
      <sheetName val="원데이타"/>
      <sheetName val="찍기"/>
      <sheetName val="TEL"/>
      <sheetName val="연습"/>
      <sheetName val="아산추가1220"/>
      <sheetName val="DA"/>
      <sheetName val="부대tu"/>
      <sheetName val="집계표"/>
      <sheetName val="교량명원본"/>
      <sheetName val="BOX제원원본"/>
      <sheetName val="철근정산"/>
      <sheetName val="날개벽"/>
      <sheetName val="역T형교대(말뚝기초)"/>
      <sheetName val="8. 내진해석"/>
      <sheetName val="문학간접"/>
      <sheetName val="간접"/>
      <sheetName val="변화치수"/>
      <sheetName val="일위대가(원본)"/>
      <sheetName val="기본DATA"/>
      <sheetName val="경영혁신본부"/>
      <sheetName val="BOJUNGGM"/>
      <sheetName val="통합"/>
      <sheetName val="96수출"/>
      <sheetName val="ROOF(ALKALI)"/>
      <sheetName val="6호기"/>
      <sheetName val="N賃率-職"/>
      <sheetName val="신규일위대가"/>
      <sheetName val="PROJECT COST ESTIMATE (cont)"/>
      <sheetName val="LEGEND"/>
      <sheetName val="대포2교접속"/>
      <sheetName val="#230,#235"/>
      <sheetName val="대비"/>
      <sheetName val="06_공정표"/>
      <sheetName val="4b Consolidated PL"/>
      <sheetName val="할증 "/>
      <sheetName val="지급자재"/>
      <sheetName val="환율"/>
      <sheetName val="전력"/>
      <sheetName val="일반맨홀수량집계(A-7 LINE)"/>
      <sheetName val="가시설수량"/>
      <sheetName val="Cost_bd-&quot;A&quot;"/>
      <sheetName val="TRE_TABLE"/>
      <sheetName val="type-F"/>
      <sheetName val="철거산출근거"/>
      <sheetName val="내역(2000년)"/>
      <sheetName val="출근부"/>
      <sheetName val="국공유지및사유지"/>
      <sheetName val="0"/>
      <sheetName val="1을"/>
      <sheetName val="SUM (INQNO."/>
      <sheetName val="99.6"/>
      <sheetName val="하중계산"/>
      <sheetName val="중기조종사 단위단가"/>
      <sheetName val="토공계산서(부체도로)"/>
      <sheetName val="계산근거"/>
      <sheetName val="음봉방향"/>
      <sheetName val="총계"/>
      <sheetName val="설계예산서"/>
      <sheetName val="예산내역서"/>
      <sheetName val="FD"/>
      <sheetName val="99관저"/>
      <sheetName val="환율-LIBOR"/>
      <sheetName val="횡배위치"/>
      <sheetName val="단가표"/>
      <sheetName val="내역_FILE"/>
      <sheetName val="견적시담(송포2공구)"/>
      <sheetName val="토목변경"/>
      <sheetName val="견적내역서"/>
      <sheetName val="견적접수"/>
      <sheetName val="5공철탑검토표"/>
      <sheetName val="4공철탑검토"/>
      <sheetName val="아파트 "/>
      <sheetName val="물량산출근거"/>
      <sheetName val="FACTOR"/>
      <sheetName val="---FAB#1업무일지---"/>
      <sheetName val="COMPRESSOR"/>
      <sheetName val="WIND-EQ"/>
      <sheetName val="card1"/>
      <sheetName val="POL6차-PIPING"/>
      <sheetName val="1_설계조건1"/>
      <sheetName val="잡비"/>
      <sheetName val="설계명세서"/>
      <sheetName val="내역1"/>
      <sheetName val="터파기및재료"/>
      <sheetName val="을지"/>
      <sheetName val="DATA(BAC)"/>
      <sheetName val="시설C"/>
      <sheetName val="PI"/>
      <sheetName val="nomi "/>
      <sheetName val="1차증가원가계산"/>
      <sheetName val="설계내역(2001)"/>
      <sheetName val="5.정산서"/>
      <sheetName val="변수2"/>
      <sheetName val="저항"/>
      <sheetName val="노무"/>
      <sheetName val="Oper Amount"/>
      <sheetName val="장비당단가 (1)"/>
      <sheetName val="약품공급2"/>
      <sheetName val="식재인부"/>
      <sheetName val="조직표"/>
      <sheetName val="참조M"/>
      <sheetName val="표지"/>
      <sheetName val="깨기"/>
      <sheetName val="선로정수계산"/>
      <sheetName val="관세,통관수수료,운반비"/>
      <sheetName val="SE-611"/>
      <sheetName val="예정(3)"/>
      <sheetName val="동원(3)"/>
      <sheetName val="현장"/>
      <sheetName val="SANBAISU"/>
      <sheetName val="SANTOGO"/>
      <sheetName val="3-1.CB"/>
      <sheetName val="MCC제원"/>
      <sheetName val="준검 내역서"/>
      <sheetName val="소업1교"/>
      <sheetName val="자료(통합)"/>
      <sheetName val="대상공사(조달청)"/>
      <sheetName val="NAI"/>
      <sheetName val="관람석제출"/>
      <sheetName val="견적"/>
      <sheetName val="L형옹벽측구"/>
      <sheetName val="MFAB"/>
      <sheetName val="MFRT"/>
      <sheetName val="MPKG"/>
      <sheetName val="MPRD"/>
      <sheetName val="인수공규격"/>
      <sheetName val="공사비"/>
      <sheetName val="빙축열"/>
      <sheetName val="전신환매도율"/>
      <sheetName val="STORAGE"/>
      <sheetName val="TYPE-U800"/>
      <sheetName val="구동"/>
      <sheetName val="구체"/>
      <sheetName val="Design Q'ty"/>
      <sheetName val="농로수량집계"/>
      <sheetName val="농로토공집계"/>
      <sheetName val="설계서(7)"/>
      <sheetName val="예산서(6)"/>
      <sheetName val="종배수관(신)"/>
      <sheetName val="안정검토(온1)"/>
      <sheetName val="TOTAL인원"/>
      <sheetName val="D-3503"/>
      <sheetName val="working load at the btm ft."/>
      <sheetName val="stability check"/>
      <sheetName val="design criteria"/>
      <sheetName val="design load"/>
      <sheetName val="세부내역서(전기)"/>
      <sheetName val="세부내역"/>
      <sheetName val="작성"/>
      <sheetName val="부표총괄"/>
      <sheetName val="견적업체"/>
      <sheetName val="AS복구"/>
      <sheetName val="중기터파기"/>
      <sheetName val="변수값"/>
      <sheetName val="중기상차"/>
      <sheetName val="분뇨"/>
      <sheetName val="GRDBS"/>
      <sheetName val="물가대비표"/>
      <sheetName val="단가조정표"/>
      <sheetName val="토공정보"/>
      <sheetName val="사진"/>
      <sheetName val="토목검측서"/>
      <sheetName val="인건비 "/>
      <sheetName val="Macro(전선)"/>
      <sheetName val="EQT-ESTN"/>
      <sheetName val="설계가"/>
      <sheetName val="t-h HA THE"/>
      <sheetName val="중기사용료"/>
      <sheetName val="BOX 본체"/>
      <sheetName val="순환펌프"/>
      <sheetName val="저수조"/>
      <sheetName val="급,배기팬"/>
      <sheetName val="급탕순환펌프"/>
      <sheetName val="설계내"/>
      <sheetName val="세금자료"/>
      <sheetName val="전기품산출"/>
      <sheetName val="VXXXXX"/>
      <sheetName val="공종별 집계"/>
      <sheetName val="02 SLAB"/>
      <sheetName val="05 BOX"/>
      <sheetName val="수안보-MBR1"/>
      <sheetName val="조도계산(가로등NEW)"/>
      <sheetName val="수문일1"/>
      <sheetName val="단면 (2)"/>
      <sheetName val="BR.1(원)"/>
      <sheetName val="건축내역서"/>
      <sheetName val="설비내역서"/>
      <sheetName val="전기내역서"/>
      <sheetName val="주형지지보"/>
      <sheetName val="Data&amp;Result"/>
      <sheetName val="현황CODE"/>
      <sheetName val="손익현황"/>
      <sheetName val="수량집계"/>
      <sheetName val="일위대가집계"/>
      <sheetName val="분석가정"/>
      <sheetName val="ATS단가"/>
      <sheetName val=" 내역"/>
      <sheetName val="참조(2)"/>
      <sheetName val="가설경비"/>
      <sheetName val="Sheet10"/>
      <sheetName val="개요입력"/>
      <sheetName val="수량기준"/>
      <sheetName val="실행내역서 "/>
      <sheetName val="원가계산서"/>
      <sheetName val="지표"/>
      <sheetName val="자재집계표"/>
      <sheetName val="수량명세서"/>
      <sheetName val="진주방향"/>
      <sheetName val="K1자재(3차등)"/>
      <sheetName val="PLAN_FEB97"/>
      <sheetName val="VA_code"/>
      <sheetName val="발생토"/>
      <sheetName val="tggwan(mac)"/>
      <sheetName val="산출내역서"/>
      <sheetName val="일위"/>
      <sheetName val="문산방향-교대(A2)"/>
      <sheetName val="화재 탐지 설비"/>
      <sheetName val="영업소실적"/>
      <sheetName val="중동공구"/>
      <sheetName val="수리계산(2021)"/>
      <sheetName val="간지"/>
      <sheetName val="철근단면적"/>
      <sheetName val="옥내아파트(전기)"/>
      <sheetName val="간접경상비"/>
      <sheetName val="품셈TABLE"/>
      <sheetName val="인원01"/>
      <sheetName val="집수정(600-700)"/>
      <sheetName val="교량하부공"/>
      <sheetName val="woo(mac)"/>
      <sheetName val="21301동"/>
      <sheetName val="____"/>
      <sheetName val="증감내역서"/>
      <sheetName val="배수공"/>
      <sheetName val="암거"/>
      <sheetName val="2.내역서"/>
      <sheetName val="6.교좌면보강"/>
      <sheetName val="수로집계"/>
      <sheetName val="방음벽 기초 일반수량"/>
      <sheetName val="G.R300경비"/>
      <sheetName val="단가조사표"/>
      <sheetName val="일반수량총괄"/>
      <sheetName val="단가산출"/>
      <sheetName val="노원열병합__건축공사기성내역서1"/>
      <sheetName val="전차선로_물량표1"/>
      <sheetName val="배수공_주요자재_집계표1"/>
      <sheetName val="Site_Expenses"/>
      <sheetName val="조도계산서_(도서)"/>
      <sheetName val="입고장부_(4)"/>
      <sheetName val="IMP_(REACTOR)"/>
      <sheetName val="7_1유효폭"/>
      <sheetName val="BSD_(2)"/>
      <sheetName val="5__차단기_용량계산"/>
      <sheetName val="도담구내_개소별_명세"/>
      <sheetName val="Sheet1_(2)"/>
      <sheetName val="가로등제어반_설치공사(수량)"/>
      <sheetName val="E_P_T수량산출서"/>
      <sheetName val="단가표_"/>
      <sheetName val="3-1_CB"/>
      <sheetName val="표지_(2)"/>
      <sheetName val="설산1_나"/>
      <sheetName val="2F_회의실견적(5_14_일대)"/>
      <sheetName val="CHITIET_VL-NC-TT_-1p"/>
      <sheetName val="2월가격표-ESG-1월"/>
      <sheetName val="SPEC"/>
      <sheetName val="정렬"/>
      <sheetName val="통신부문노무임"/>
      <sheetName val="5. 설계명세서"/>
      <sheetName val="SELTDATA"/>
      <sheetName val="직노"/>
      <sheetName val="b_balju_cho"/>
      <sheetName val="공사비총괄표"/>
      <sheetName val="횡배수관단위수량"/>
      <sheetName val="I一般比"/>
      <sheetName val="도급양식"/>
      <sheetName val="산근"/>
      <sheetName val="간접재료비산출표-27-30"/>
      <sheetName val="적정심사"/>
      <sheetName val="대치판정"/>
      <sheetName val="DATA1"/>
      <sheetName val="basic_info"/>
      <sheetName val="변경-C"/>
      <sheetName val="piping"/>
      <sheetName val="1공구수량"/>
      <sheetName val="CMTD"/>
      <sheetName val="Cover Sheet"/>
      <sheetName val="공사비 내역 (가)"/>
      <sheetName val="토목"/>
      <sheetName val="구리토평1전기"/>
      <sheetName val="Baby일위대가"/>
      <sheetName val="설계내역서"/>
      <sheetName val="9GNG운반"/>
      <sheetName val="Sheet16 (2)"/>
      <sheetName val="여흥"/>
      <sheetName val="BEQ내역"/>
      <sheetName val="2"/>
      <sheetName val="두앙"/>
      <sheetName val="공통비"/>
      <sheetName val="GTG TR PIT"/>
      <sheetName val="내역표지"/>
      <sheetName val="Macro(전동기)"/>
      <sheetName val="__Isyou_c_PJT_2000_R_6_____Fi_2"/>
      <sheetName val="2000.11월설계내역"/>
      <sheetName val="1호맨홀토공"/>
      <sheetName val="토공(우물통,기타) "/>
      <sheetName val="LINER수량"/>
      <sheetName val="LAB"/>
      <sheetName val="교각1"/>
      <sheetName val="기초코드"/>
      <sheetName val="9902"/>
      <sheetName val="관급자재"/>
      <sheetName val="__Isyou_c_PJT_2000_R_6_____Fi_3"/>
      <sheetName val="__Isyou_c_PJT_2000_R_6_____Fi_4"/>
      <sheetName val="전계가"/>
      <sheetName val="우수"/>
      <sheetName val="기성내역"/>
      <sheetName val="공문"/>
      <sheetName val="Proposal"/>
      <sheetName val="총공사집계"/>
      <sheetName val="원가계산"/>
      <sheetName val="대가집계(1)"/>
      <sheetName val="대가집계"/>
      <sheetName val="일위대가(1)"/>
      <sheetName val="집계(1)"/>
      <sheetName val="단가산출(1)"/>
      <sheetName val="중기"/>
      <sheetName val="물가"/>
      <sheetName val="대가표"/>
      <sheetName val="대가"/>
      <sheetName val="사토정산현황"/>
      <sheetName val="위치도"/>
      <sheetName val="사유서"/>
      <sheetName val="단가대비표(미첨부)"/>
      <sheetName val="토적표(길명리)"/>
      <sheetName val="사토(토사)"/>
      <sheetName val="사토(리핑)"/>
      <sheetName val="사토(발파)"/>
      <sheetName val="사토(발파) (2)"/>
      <sheetName val="중기비"/>
      <sheetName val="운반거리표"/>
      <sheetName val="자금총괄"/>
      <sheetName val="현장별청구"/>
      <sheetName val="자금집행집계표"/>
      <sheetName val="자재비"/>
      <sheetName val="장비비"/>
      <sheetName val="미불금청구내역(민)"/>
      <sheetName val="카메라"/>
      <sheetName val="카메라2"/>
      <sheetName val="1회"/>
      <sheetName val="1회분"/>
      <sheetName val="2회"/>
      <sheetName val="2회분"/>
      <sheetName val="3회"/>
      <sheetName val="3회분"/>
      <sheetName val="4회"/>
      <sheetName val="4회분"/>
      <sheetName val="5회"/>
      <sheetName val="5회분"/>
      <sheetName val="6회"/>
      <sheetName val="6회분"/>
      <sheetName val="회"/>
      <sheetName val="회분"/>
      <sheetName val="1~5회분"/>
      <sheetName val="현장별집행"/>
      <sheetName val="10월식대(직영)"/>
      <sheetName val="9월철근공"/>
      <sheetName val="10월철근공 "/>
      <sheetName val="9월목공 "/>
      <sheetName val="10월목공 "/>
      <sheetName val="10월식대"/>
      <sheetName val="11월식대"/>
      <sheetName val="식대(5회)"/>
      <sheetName val="자금총괄(민)"/>
      <sheetName val="현장별자금청구(10)"/>
      <sheetName val="현장별청구(민)"/>
      <sheetName val="자금청구집계표"/>
      <sheetName val="자금청구집계표(민)"/>
      <sheetName val="자금청구(민2)"/>
      <sheetName val="하도자기성고(갑)"/>
      <sheetName val="하도자기성고(을)"/>
      <sheetName val="기성청구서"/>
      <sheetName val="유류대"/>
      <sheetName val="중기가동"/>
      <sheetName val="미불금청구내역"/>
      <sheetName val="미불금(민)"/>
      <sheetName val="공사별 사정분석표-ㅌ"/>
      <sheetName val="자금청구내역"/>
      <sheetName val="자금청구서"/>
      <sheetName val="월기성검토서"/>
      <sheetName val="연결임시"/>
      <sheetName val="부대대비"/>
      <sheetName val="냉연집계"/>
      <sheetName val="2011년"/>
      <sheetName val="2.대외공문"/>
      <sheetName val="내역서(총)"/>
      <sheetName val="예산M12A"/>
      <sheetName val="BOQ건축"/>
      <sheetName val="코드표"/>
      <sheetName val="beam"/>
      <sheetName val="BOQ"/>
      <sheetName val="Project Brief"/>
      <sheetName val="APT내역"/>
      <sheetName val="감가상각"/>
      <sheetName val="98지급계획"/>
      <sheetName val="CI_GL Mapping"/>
      <sheetName val="3본사"/>
      <sheetName val="운영 비용(Infra)-원가"/>
      <sheetName val="금액집계"/>
      <sheetName val="점수계산1-2"/>
      <sheetName val="평형공사비"/>
      <sheetName val="EACT10"/>
      <sheetName val="9-1차이내역"/>
      <sheetName val="단가조사서"/>
      <sheetName val="NEWDRAW"/>
      <sheetName val="영업.일"/>
      <sheetName val="매부산출"/>
      <sheetName val="현관"/>
      <sheetName val="2000.05"/>
      <sheetName val="WORKSHOP"/>
      <sheetName val="차수"/>
      <sheetName val="동해title"/>
      <sheetName val="예산M2"/>
      <sheetName val="기성내역서표지"/>
      <sheetName val="예산변경사항"/>
      <sheetName val="분양금할인"/>
      <sheetName val="충주"/>
      <sheetName val="제출내역 (2)"/>
      <sheetName val="영업.일1"/>
      <sheetName val="hvac(제어동)"/>
      <sheetName val="coll#"/>
      <sheetName val="재집"/>
      <sheetName val="직재"/>
      <sheetName val="CC Down load 0716"/>
      <sheetName val="경상비내역"/>
      <sheetName val="총요약서"/>
      <sheetName val="저"/>
      <sheetName val="일반관리비"/>
      <sheetName val="A-8 PD(도로중앙)"/>
      <sheetName val="B"/>
      <sheetName val="송라터널총괄"/>
      <sheetName val="1월"/>
      <sheetName val="사토(발파)_(2)"/>
      <sheetName val="10월철근공_"/>
      <sheetName val="9월목공_"/>
      <sheetName val="10월목공_"/>
      <sheetName val="공사별_사정분석표-ㅌ"/>
      <sheetName val="2_대외공문"/>
      <sheetName val="Project_Brief"/>
      <sheetName val="CI_GL_Mapping"/>
      <sheetName val="운영_비용(Infra)-원가"/>
      <sheetName val="경산"/>
      <sheetName val="정공공사"/>
      <sheetName val="최초침전지집계표"/>
      <sheetName val="Macro1 (2)"/>
      <sheetName val="건축원가계산서"/>
      <sheetName val="중간부"/>
      <sheetName val="반포2차"/>
      <sheetName val="품셈기준"/>
      <sheetName val="102역사"/>
      <sheetName val="케이블DATA"/>
      <sheetName val="샘플표지"/>
      <sheetName val="단가산출1"/>
      <sheetName val="단가 및 재료비"/>
      <sheetName val="노무단가산출"/>
      <sheetName val="__Isyou_c_PJT_2000_R_6호선___Fi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 refreshError="1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 refreshError="1"/>
      <sheetData sheetId="679" refreshError="1"/>
      <sheetData sheetId="680" refreshError="1"/>
      <sheetData sheetId="681" refreshError="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"/>
      <sheetName val="작성기준"/>
      <sheetName val="간지"/>
      <sheetName val="Sheet1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Sheet2"/>
      <sheetName val="Sheet2 (2)"/>
      <sheetName val="Sheet1 (2)"/>
      <sheetName val="Sheet3"/>
      <sheetName val="BOOK2"/>
      <sheetName val="SG"/>
      <sheetName val="부하(성남)"/>
      <sheetName val="일위대가"/>
      <sheetName val="1.REVIEW"/>
      <sheetName val="#REF"/>
      <sheetName val="3차설계"/>
      <sheetName val="백룡교차로"/>
      <sheetName val="산정교차로"/>
      <sheetName val="신영교차로"/>
      <sheetName val="조경일람"/>
      <sheetName val="견적조건"/>
      <sheetName val="하수급견적대비"/>
      <sheetName val="2.대외공문"/>
      <sheetName val="부하계산서"/>
      <sheetName val="LOPCALC"/>
      <sheetName val="IMPEADENCE MAP 취수장"/>
      <sheetName val="지급자재"/>
      <sheetName val="일위"/>
      <sheetName val="EP0618"/>
      <sheetName val="신규일위대가"/>
      <sheetName val="일위(PN)"/>
      <sheetName val="제진기"/>
      <sheetName val="ABUT수량-A1"/>
      <sheetName val="현장유지관리비"/>
      <sheetName val="가도공"/>
      <sheetName val="내역서"/>
      <sheetName val="갑지"/>
      <sheetName val="동해title"/>
      <sheetName val="골재"/>
      <sheetName val="실행내역"/>
      <sheetName val="교대(A1-A2)"/>
      <sheetName val="기계경비(시간당)"/>
      <sheetName val="BID"/>
      <sheetName val="백호우계수"/>
      <sheetName val="tggwan(mac)"/>
      <sheetName val="FCM"/>
      <sheetName val="시점교대"/>
      <sheetName val="EQT-ESTN"/>
      <sheetName val="내역"/>
      <sheetName val="S0"/>
      <sheetName val="불출요청"/>
      <sheetName val="1NYS(당)"/>
      <sheetName val="적현로"/>
      <sheetName val="정부노임단가"/>
      <sheetName val="MOTOR"/>
      <sheetName val="준검 내역서"/>
      <sheetName val="공사비집계"/>
      <sheetName val="일위대가서식"/>
      <sheetName val="조도계산서 (도서)"/>
      <sheetName val="Sheet5"/>
      <sheetName val="bm(CIcable)"/>
      <sheetName val="부대내역"/>
      <sheetName val="입력값1"/>
      <sheetName val="부표총괄"/>
      <sheetName val="견적"/>
      <sheetName val="CAL"/>
      <sheetName val="우수공"/>
      <sheetName val="49단가"/>
      <sheetName val="단위중량"/>
      <sheetName val="총괄집계표"/>
      <sheetName val="(4-2)열관류값-2"/>
      <sheetName val="건축내역서"/>
      <sheetName val="집계표"/>
      <sheetName val="설비내역서"/>
      <sheetName val="전기내역서"/>
      <sheetName val="중기사용료"/>
      <sheetName val="다곡2교"/>
      <sheetName val="시설물일위"/>
      <sheetName val="설계"/>
      <sheetName val="부대공"/>
      <sheetName val="포장공"/>
      <sheetName val="토공"/>
      <sheetName val="현장설명"/>
      <sheetName val="4.2유효폭의 계산"/>
      <sheetName val="배수공 내역서 적용수량"/>
      <sheetName val="기존구조물철거집계계표"/>
      <sheetName val="입찰결과보고"/>
      <sheetName val="Macro1"/>
      <sheetName val="TARGET"/>
      <sheetName val="철거현황"/>
      <sheetName val="토목설계(배수지+관로)"/>
      <sheetName val="입찰안"/>
      <sheetName val="INDEX  LIST"/>
      <sheetName val="data"/>
      <sheetName val="input"/>
      <sheetName val="1.설계조건"/>
      <sheetName val="설계내역서"/>
      <sheetName val="BOQ"/>
      <sheetName val="교각계산"/>
      <sheetName val="Macro3"/>
      <sheetName val="입출재고현황 (2)"/>
      <sheetName val="조도계산"/>
      <sheetName val="1.설계기준"/>
      <sheetName val="시설일위"/>
      <sheetName val="동력부하(도산)"/>
      <sheetName val="s"/>
      <sheetName val="일위대가(가설)"/>
      <sheetName val="기초코드"/>
      <sheetName val="정렬"/>
      <sheetName val="평가데이터"/>
      <sheetName val="일위산출"/>
      <sheetName val="계약서(회사용)"/>
      <sheetName val="계약서(업체용)"/>
      <sheetName val="안전약정서"/>
      <sheetName val="계약용"/>
      <sheetName val="계약명세표"/>
      <sheetName val="C3"/>
      <sheetName val="갑지(추정)"/>
      <sheetName val="토사(PE)"/>
      <sheetName val="중기일위대가"/>
      <sheetName val="품셈총괄X"/>
      <sheetName val="노무비단가"/>
      <sheetName val="공통가설"/>
      <sheetName val="도시가스현황"/>
      <sheetName val="교대(A1)"/>
      <sheetName val="성서방향-교대(A2)"/>
      <sheetName val="총공사내역서"/>
      <sheetName val="입력부분"/>
      <sheetName val="색인구역"/>
      <sheetName val="수수료율표"/>
      <sheetName val="부안일위"/>
      <sheetName val="대전-교대(A1-A2)"/>
      <sheetName val="A"/>
      <sheetName val="Customer Databas"/>
      <sheetName val="총집계표"/>
      <sheetName val="식재가격"/>
      <sheetName val="식재총괄"/>
      <sheetName val="일위목록"/>
      <sheetName val="시추주상도"/>
      <sheetName val="2.단면가정"/>
      <sheetName val="접속슬라브"/>
      <sheetName val="투찰"/>
      <sheetName val="장비가동"/>
      <sheetName val="7+160암거변경"/>
      <sheetName val="배관(TDI ISBL)"/>
      <sheetName val="2경간"/>
      <sheetName val="인건비 "/>
      <sheetName val="ITEM"/>
      <sheetName val="STACK"/>
      <sheetName val="노임"/>
      <sheetName val="배관"/>
      <sheetName val="참조"/>
      <sheetName val="96배수"/>
      <sheetName val="2000전체분"/>
      <sheetName val="2000년1차"/>
      <sheetName val="수량산출"/>
      <sheetName val="1"/>
      <sheetName val="일반공사"/>
      <sheetName val="4.5 휨응력"/>
      <sheetName val="Total"/>
      <sheetName val="설비단가표"/>
      <sheetName val="대외공문 "/>
      <sheetName val="개선대책 양식"/>
      <sheetName val="개선사례양식"/>
      <sheetName val="major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현금경비중역"/>
      <sheetName val="●현황"/>
      <sheetName val="●목차"/>
      <sheetName val="자체실적1Q"/>
      <sheetName val="SYS검토(1A1)"/>
      <sheetName val="표지"/>
      <sheetName val="주행"/>
      <sheetName val="BB1"/>
      <sheetName val="R&amp;D"/>
      <sheetName val="표"/>
      <sheetName val="RD제품개발투자비(매가)"/>
      <sheetName val="소유주(원)"/>
      <sheetName val="인원01"/>
      <sheetName val="PTR台손익"/>
      <sheetName val="보고서"/>
      <sheetName val="전체현황"/>
      <sheetName val="94B"/>
      <sheetName val="투자-국내2"/>
      <sheetName val="존4"/>
      <sheetName val="DAT(목표)"/>
      <sheetName val="1.POSITIONING"/>
      <sheetName val="KD율"/>
      <sheetName val="1~3월 지시사항"/>
      <sheetName val="내수1.8GL"/>
      <sheetName val="full (2)"/>
      <sheetName val="11"/>
      <sheetName val="대외공문"/>
      <sheetName val="626TD"/>
      <sheetName val="소상 &quot;1&quot;"/>
      <sheetName val="협조전"/>
      <sheetName val="96수출"/>
      <sheetName val="p2-1"/>
      <sheetName val="BUS제원1"/>
      <sheetName val="신규DEP"/>
      <sheetName val="기안"/>
      <sheetName val="차수"/>
      <sheetName val="Sheet6 (3)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DBL LPG시험"/>
      <sheetName val="HCCE01"/>
      <sheetName val="so-021"/>
      <sheetName val="수출가격"/>
      <sheetName val="그패프"/>
      <sheetName val="경쟁실분"/>
      <sheetName val="구동"/>
      <sheetName val="95하U$가격"/>
      <sheetName val="회의록"/>
      <sheetName val="626TD(COLOR)"/>
      <sheetName val="승용"/>
      <sheetName val="Sheet4"/>
      <sheetName val="차종별"/>
      <sheetName val="ML"/>
      <sheetName val="HP1AMLIST"/>
      <sheetName val="계열사현황종합"/>
      <sheetName val="DATE"/>
      <sheetName val="일괄인쇄"/>
      <sheetName val="재료율"/>
      <sheetName val="CALENDAR"/>
      <sheetName val="예산계획"/>
      <sheetName val="간이연락"/>
      <sheetName val="B-III"/>
      <sheetName val="가격표"/>
      <sheetName val="report_20"/>
      <sheetName val="camera_30"/>
      <sheetName val="상용_mp"/>
      <sheetName val="#93"/>
      <sheetName val="10"/>
      <sheetName val="40"/>
      <sheetName val="50"/>
      <sheetName val="60"/>
      <sheetName val="70"/>
      <sheetName val="90"/>
      <sheetName val="camera_10"/>
      <sheetName val="과제"/>
      <sheetName val="출장거리"/>
      <sheetName val="2COMPO_TABLE"/>
      <sheetName val="전부인쇄"/>
      <sheetName val="Macro2"/>
      <sheetName val="기초"/>
      <sheetName val="2.´e¿U°ø¹R"/>
      <sheetName val="계정"/>
      <sheetName val="본문"/>
      <sheetName val="건가이자전체"/>
      <sheetName val="세목별"/>
      <sheetName val="GRACE"/>
      <sheetName val="상세(독일)"/>
      <sheetName val="LB Plan 97 neu 15531 Best "/>
      <sheetName val="MAST S"/>
      <sheetName val="산출근거"/>
      <sheetName val="요율"/>
      <sheetName val="전기일위목록"/>
      <sheetName val="단가산출"/>
      <sheetName val="전체철근집계"/>
      <sheetName val="버팀목"/>
      <sheetName val="조명율"/>
      <sheetName val="터파기및재료"/>
      <sheetName val="신우"/>
      <sheetName val="과천MAIN"/>
      <sheetName val="물가시세"/>
      <sheetName val="노임단가"/>
      <sheetName val="HVAC"/>
      <sheetName val="토목주소"/>
      <sheetName val="구조물공1"/>
      <sheetName val="배수및구조물공1"/>
      <sheetName val="자재단가"/>
      <sheetName val="화해(함평)"/>
      <sheetName val="화해(장성)"/>
      <sheetName val="토 적 표"/>
      <sheetName val="주형"/>
      <sheetName val="공사개요"/>
      <sheetName val="부대공사"/>
      <sheetName val="결재란"/>
      <sheetName val="전차선로 물량표"/>
      <sheetName val="견적서"/>
      <sheetName val="기둥(원형)"/>
      <sheetName val="99총공사내역서"/>
      <sheetName val="산#3-2-2"/>
      <sheetName val="5Strand-장기처짐PCI"/>
      <sheetName val="6.7.8.우물통"/>
      <sheetName val="Sheet1_(2)"/>
      <sheetName val="1_REVIEW"/>
      <sheetName val="Sheet2_(2)"/>
      <sheetName val="2_대외공문"/>
      <sheetName val="1_설계조건"/>
      <sheetName val="준검_내역서"/>
      <sheetName val="배수공_내역서_적용수량"/>
      <sheetName val="4_2유효폭의_계산"/>
      <sheetName val="토_적_표"/>
      <sheetName val="2_단면가정"/>
      <sheetName val="INDEX__LIST"/>
      <sheetName val="Customer_Databas"/>
      <sheetName val="배관(TDI_ISBL)"/>
      <sheetName val="입출재고현황_(2)"/>
      <sheetName val="4_5_휨응력"/>
      <sheetName val="6_7_8_우물통"/>
      <sheetName val="하도금액분계"/>
      <sheetName val="일위대가표"/>
      <sheetName val="工완성공사율"/>
      <sheetName val="토목품셈"/>
      <sheetName val="대치판정"/>
      <sheetName val="IW-LIST"/>
      <sheetName val="화재 탐지 설비"/>
      <sheetName val="공통(20-91)"/>
      <sheetName val="한강운반비"/>
      <sheetName val="자재"/>
      <sheetName val="총괄표"/>
      <sheetName val="간접"/>
      <sheetName val="적용(기계)"/>
      <sheetName val="제출내역 (2)"/>
      <sheetName val="공사비예비관리공감측설산출내역"/>
      <sheetName val="계약내역 (1)"/>
      <sheetName val="견적갑"/>
      <sheetName val="전선제원"/>
      <sheetName val="초기검토"/>
      <sheetName val="제2장력"/>
      <sheetName val="카테나리각"/>
      <sheetName val="174호 (A각)"/>
      <sheetName val="174호(D각)"/>
      <sheetName val="수량산출서 (2)"/>
      <sheetName val="재료1.11 (2)"/>
      <sheetName val="변경이유서"/>
      <sheetName val="비탈면 돌붙임(형식2)단가산출근거"/>
      <sheetName val="신규단가산출(2002m)"/>
      <sheetName val="지급자재명세서 (3)"/>
      <sheetName val="접"/>
      <sheetName val="단가산출서(SS)"/>
      <sheetName val="출입로"/>
      <sheetName val="증감내역"/>
      <sheetName val="현황 (3)"/>
      <sheetName val="공제량"/>
      <sheetName val="검토안"/>
      <sheetName val="공사비증감현황(A3)"/>
      <sheetName val="단가내부"/>
      <sheetName val="단가외부 "/>
      <sheetName val="보조기층현황"/>
      <sheetName val="PC2.9 4.142"/>
      <sheetName val="앵카 (33.5)"/>
      <sheetName val="변경사유서"/>
      <sheetName val="제잡비산출근거 (전체)"/>
      <sheetName val="발주제잡비산근(2)"/>
      <sheetName val="보강원심력철근콘크리트관"/>
      <sheetName val="원심력철근콘크리트관하차비"/>
      <sheetName val="목차"/>
      <sheetName val="여건사유"/>
      <sheetName val="세부내역서 "/>
      <sheetName val="2001설계예정9.17 (3)"/>
      <sheetName val="(방음벽반사형)"/>
      <sheetName val="6공구(당초)"/>
      <sheetName val="제잡비현황"/>
      <sheetName val="물가변동액(전체분)"/>
      <sheetName val="70%"/>
      <sheetName val="비목군분류내역"/>
      <sheetName val="수산출"/>
      <sheetName val="계"/>
      <sheetName val="이월"/>
      <sheetName val="배수자집계"/>
      <sheetName val="전체수량집계"/>
      <sheetName val="식재인부"/>
      <sheetName val="데이타"/>
      <sheetName val="1공구산출내역서"/>
      <sheetName val="1,2공구원가계산서"/>
      <sheetName val="2공구산출내역"/>
      <sheetName val="세골재  T2 변경 현황"/>
      <sheetName val="106C0300"/>
      <sheetName val="배수공"/>
      <sheetName val="구조물공"/>
      <sheetName val="방음벽집계"/>
      <sheetName val="공사내역"/>
      <sheetName val="깨기집계"/>
      <sheetName val="줄파기집"/>
      <sheetName val="전체설계서"/>
      <sheetName val="사진대지 (5)"/>
      <sheetName val="공사비증감"/>
      <sheetName val="results"/>
      <sheetName val="중기노임"/>
      <sheetName val="8.시공현황"/>
      <sheetName val="보고"/>
      <sheetName val="예산서"/>
      <sheetName val="집계표 "/>
      <sheetName val="지급자재명세서 (2)"/>
      <sheetName val="통신설계서"/>
      <sheetName val="최종내역"/>
      <sheetName val="변경수량집계"/>
      <sheetName val="철.콘 수량산출 (적용)"/>
      <sheetName val="가도공 수량 집계표"/>
      <sheetName val="가도차도부 수량산출"/>
      <sheetName val="가도길어깨현황1"/>
      <sheetName val="제잡비전체건축(2001)"/>
      <sheetName val="제잡비현황 (건축)"/>
      <sheetName val="5"/>
      <sheetName val="철거집계표(전체)"/>
      <sheetName val="철거집계표(토공)"/>
      <sheetName val="공사량현황"/>
      <sheetName val="지급자재명세서"/>
      <sheetName val="2002년설계서"/>
      <sheetName val="암거집계"/>
      <sheetName val="전체 (2)"/>
      <sheetName val="몰탈"/>
      <sheetName val="부곡교"/>
      <sheetName val="교대철근"/>
      <sheetName val="단가비교표"/>
      <sheetName val="제잡비('02)"/>
      <sheetName val="기타집계"/>
      <sheetName val="2.08"/>
      <sheetName val="단계처리참고"/>
      <sheetName val="C관집"/>
      <sheetName val="타이기"/>
      <sheetName val="변경집계장"/>
      <sheetName val="변경설계서"/>
      <sheetName val="3개분류내역"/>
      <sheetName val="2.10"/>
      <sheetName val="앞집계"/>
      <sheetName val="수량명세서"/>
      <sheetName val="수량집계표"/>
      <sheetName val="단계차선 16-8"/>
      <sheetName val="적용외집계장"/>
      <sheetName val="비목분류 "/>
      <sheetName val="비목별물가지수변동현황"/>
      <sheetName val="k치 "/>
      <sheetName val="BOOK7"/>
      <sheetName val="T2"/>
      <sheetName val="상부공"/>
      <sheetName val="주요자재"/>
      <sheetName val="교각수량"/>
      <sheetName val="측구수량집계"/>
      <sheetName val="배수이월"/>
      <sheetName val="유용유동"/>
      <sheetName val="타공정앞장"/>
      <sheetName val="공구리"/>
      <sheetName val="구미전체집계"/>
      <sheetName val="영업소집계"/>
      <sheetName val="가도집계"/>
      <sheetName val="건축비목분류"/>
      <sheetName val="비목별물가지수"/>
      <sheetName val="교량접속수"/>
      <sheetName val="전체(광21)"/>
      <sheetName val="신광상부"/>
      <sheetName val="타공정"/>
      <sheetName val="5.08차광망"/>
      <sheetName val="방음출입문"/>
      <sheetName val="5.14경계표주"/>
      <sheetName val="5.09가드휀스"/>
      <sheetName val="5.12비탈보호"/>
      <sheetName val="마감면집"/>
      <sheetName val="시추조사"/>
      <sheetName val="5.11방음벽수량집"/>
      <sheetName val="길어깨부"/>
      <sheetName val="5.13보도(구미천)"/>
      <sheetName val="가도공집계"/>
      <sheetName val="강가시설전체"/>
      <sheetName val="sheetpile"/>
      <sheetName val="5.23안전시설목"/>
      <sheetName val="5.26낙하물방지"/>
      <sheetName val="5.29철근"/>
      <sheetName val="5.30시멘트"/>
      <sheetName val="도색산출"/>
      <sheetName val="월드컵안전"/>
      <sheetName val="폐기물"/>
      <sheetName val="SHEARKEY검토 (2)"/>
      <sheetName val="bm내역서(B공구)"/>
      <sheetName val="변경내역"/>
      <sheetName val="신규단가(A)제작"/>
      <sheetName val="신규단가(B)물가정보"/>
      <sheetName val="견적갑&quot;A&quot;공구"/>
      <sheetName val="견적조건보고서&quot;A&quot;공구"/>
      <sheetName val="A비엠"/>
      <sheetName val="공율산출"/>
      <sheetName val="장안(01.05.30)(2)"/>
      <sheetName val="내쇼날 (01.05.30)"/>
      <sheetName val="장안(01.05.30)"/>
      <sheetName val="진성(01.05.30)"/>
      <sheetName val="3Week(4-3)(보안)"/>
      <sheetName val="전기공정표"/>
      <sheetName val="CABLE(MAIN)"/>
      <sheetName val="전선관수량산출표 (4)"/>
      <sheetName val="산출내역"/>
      <sheetName val="집계표 (2)"/>
      <sheetName val="수량명세서-구"/>
      <sheetName val="적용"/>
      <sheetName val="예정공정표-SK (2)"/>
      <sheetName val="평면도"/>
      <sheetName val="딱지"/>
      <sheetName val="공종자재집계 (2)"/>
      <sheetName val="재료집계표  (2)"/>
      <sheetName val="명림건설"/>
      <sheetName val="사업소보고"/>
      <sheetName val="사진대지"/>
      <sheetName val="사진대지 (2)"/>
      <sheetName val="설계변경 제출(10.5극동)"/>
      <sheetName val="쏠레땅쉬-1월"/>
      <sheetName val="설계변경 제출(4차이후미적용)"/>
      <sheetName val="감사지적"/>
      <sheetName val="방침사항5"/>
      <sheetName val="설계변경 제출(근거서류)-참고"/>
      <sheetName val="타공종이기수량집계"/>
      <sheetName val="Sheet6"/>
      <sheetName val="Sheet7"/>
      <sheetName val="Sheet8"/>
      <sheetName val="Sheet9"/>
      <sheetName val="Sheet10"/>
      <sheetName val="내역비교 (2)"/>
      <sheetName val="내역비교 (3)"/>
      <sheetName val="단가산출(적용20)단가적정성"/>
      <sheetName val="단가산출(적용25)단가적정성"/>
      <sheetName val="범양"/>
      <sheetName val="간접비분개"/>
      <sheetName val="전체실행예산(본사양식) (2)"/>
      <sheetName val="감독실현황"/>
      <sheetName val="2001.12"/>
      <sheetName val="장고개내역서"/>
      <sheetName val="SK+극동"/>
      <sheetName val="702"/>
      <sheetName val="직영시행공사비"/>
      <sheetName val="VXXXXX"/>
      <sheetName val="JUP2000"/>
      <sheetName val="laroux"/>
      <sheetName val="2000장비이동현황"/>
      <sheetName val="3-5.인원 수급 계획"/>
      <sheetName val="JUP2001"/>
      <sheetName val="그림"/>
      <sheetName val="2001매출현황"/>
      <sheetName val="2001기성현황"/>
      <sheetName val="2001JUP vs 기성"/>
      <sheetName val="2001년도TO비교"/>
      <sheetName val="쏠레땅쉬원가(02)"/>
      <sheetName val="내역서-sk"/>
      <sheetName val="증감내역서"/>
      <sheetName val="집계표(당초,변경) (2)"/>
      <sheetName val="7차공사4회기성(직공비)"/>
      <sheetName val="7차공사3회기성(직공비)"/>
      <sheetName val="E-01"/>
      <sheetName val="1.FLG SUMMARY (2)"/>
      <sheetName val="자재기성산출서"/>
      <sheetName val="원본 (2)"/>
      <sheetName val="#114 -22"/>
      <sheetName val="강서구기별"/>
      <sheetName val="인부산출"/>
      <sheetName val="8fc"/>
      <sheetName val="수공2"/>
      <sheetName val="직1호"/>
      <sheetName val="표지 (세)"/>
      <sheetName val="설계표"/>
      <sheetName val="원가계산"/>
      <sheetName val="총괄내역서"/>
      <sheetName val="마운딩산출"/>
      <sheetName val="소형고압면적"/>
      <sheetName val="지주목산출"/>
      <sheetName val="약품공급2"/>
      <sheetName val="97 사업추정(WEKI)"/>
      <sheetName val="새공통"/>
      <sheetName val="동결보온"/>
      <sheetName val="설계조건"/>
      <sheetName val="L형측구단위수량"/>
      <sheetName val="L형측구연장조서"/>
      <sheetName val="도로경계블럭단위수량"/>
      <sheetName val="도로경계블럭단위토공"/>
      <sheetName val="부하LOAD"/>
      <sheetName val="설계산출표지"/>
      <sheetName val="수량산출서"/>
      <sheetName val="식재일위"/>
      <sheetName val="공용시설내역"/>
      <sheetName val="4.장비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 refreshError="1"/>
      <sheetData sheetId="527"/>
      <sheetData sheetId="528" refreshError="1"/>
      <sheetData sheetId="529" refreshError="1"/>
      <sheetData sheetId="530" refreshError="1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골조"/>
      <sheetName val="토건(소가)"/>
      <sheetName val="Sheet1"/>
      <sheetName val="ITEM"/>
      <sheetName val="부하계산서"/>
      <sheetName val="공사개요"/>
      <sheetName val="횡배위치"/>
      <sheetName val="조도계산서 (도서)"/>
      <sheetName val="집계표"/>
      <sheetName val="Total"/>
      <sheetName val="ITB COST"/>
      <sheetName val="와동25-3(변경)"/>
      <sheetName val="BSD (2)"/>
      <sheetName val="MOTOR"/>
      <sheetName val="물량표"/>
      <sheetName val="정부노임단가"/>
      <sheetName val="갑지"/>
      <sheetName val="설계서"/>
      <sheetName val="전차선로 물량표"/>
      <sheetName val="#REF"/>
      <sheetName val="Cost bd-&quot;A&quot;"/>
      <sheetName val="실행견적"/>
      <sheetName val="당초"/>
      <sheetName val="L_RPTA05_목록"/>
      <sheetName val="FitOutConfCentre"/>
      <sheetName val="기준"/>
      <sheetName val="연돌일위집계"/>
      <sheetName val="전기공사"/>
      <sheetName val="상반기손익차2총괄"/>
      <sheetName val="9-1차이내역"/>
      <sheetName val="97 사업추정(WEKI)"/>
      <sheetName val="손익차9월2"/>
      <sheetName val="Sheet3"/>
      <sheetName val="주간기성"/>
      <sheetName val="주관사업"/>
      <sheetName val="세금자료"/>
      <sheetName val="을지"/>
      <sheetName val="사업부배부A"/>
      <sheetName val="영업소실적"/>
      <sheetName val="직원동원계획"/>
      <sheetName val="IT-BAT"/>
      <sheetName val="인원계획"/>
      <sheetName val="Food court "/>
      <sheetName val="요약배부"/>
      <sheetName val="수입"/>
      <sheetName val="MEXICO-C"/>
      <sheetName val="95삼성급(본사)"/>
      <sheetName val="무시"/>
      <sheetName val="eq_data"/>
      <sheetName val="A"/>
      <sheetName val="노원열병합  건축공사기성내역서"/>
      <sheetName val="h-013211-2"/>
      <sheetName val="회사99"/>
      <sheetName val="K"/>
      <sheetName val="차단기 BACK DATA"/>
      <sheetName val="BACK DATA"/>
      <sheetName val="TOEC"/>
      <sheetName val="1.Pre"/>
      <sheetName val="cable-data"/>
      <sheetName val="부하(성남)"/>
      <sheetName val="Macro(차단기)"/>
      <sheetName val="JUCK"/>
      <sheetName val="노임단가"/>
      <sheetName val="DATA"/>
      <sheetName val="c_balju"/>
      <sheetName val="내역"/>
      <sheetName val="BID"/>
      <sheetName val="적용단위길이"/>
      <sheetName val="종배수관(신)"/>
      <sheetName val="골조시행"/>
      <sheetName val="Pjny"/>
      <sheetName val="내역서"/>
      <sheetName val="6호기"/>
      <sheetName val="사원등록"/>
      <sheetName val="호봉 (2)"/>
      <sheetName val="001"/>
      <sheetName val="TOWER 12TON"/>
      <sheetName val="JIB CRANE,HOIST"/>
      <sheetName val="TOWER 10TON"/>
      <sheetName val="CONCRETE"/>
      <sheetName val="giathanh1"/>
      <sheetName val="대구실행"/>
      <sheetName val="말뚝물량"/>
      <sheetName val="쌍송교"/>
      <sheetName val="1.설계조건"/>
      <sheetName val="가설건물"/>
      <sheetName val="200"/>
      <sheetName val="경상비"/>
      <sheetName val="공사비집계"/>
      <sheetName val="구의33고"/>
      <sheetName val="COPING"/>
      <sheetName val="1-1"/>
      <sheetName val="일위대가"/>
      <sheetName val="FB25JN"/>
      <sheetName val="LOPCALC"/>
      <sheetName val="96수출"/>
      <sheetName val="설계기준"/>
      <sheetName val="내역1"/>
      <sheetName val="공예을"/>
      <sheetName val="예산M12A"/>
      <sheetName val="바닥판"/>
      <sheetName val="피벗테이블데이터분석"/>
      <sheetName val="날개벽수량표"/>
      <sheetName val="집수정단"/>
      <sheetName val="기성내역서표지"/>
      <sheetName val="TEL"/>
      <sheetName val="BSD_(2)"/>
      <sheetName val="Cost_bd-&quot;A&quot;"/>
      <sheetName val="TOWER_12TON"/>
      <sheetName val="JIB_CRANE,HOIST"/>
      <sheetName val="TOWER_10TON"/>
      <sheetName val="1_설계조건"/>
      <sheetName val="전차선로_물량표"/>
      <sheetName val="ITB_COST"/>
      <sheetName val="최초 bpm"/>
      <sheetName val="현장경상비"/>
      <sheetName val="물량표S"/>
      <sheetName val="표지 (2)"/>
      <sheetName val="품목납기"/>
      <sheetName val="표지"/>
      <sheetName val="SELTDATA"/>
      <sheetName val="간접"/>
      <sheetName val="Sheet8"/>
      <sheetName val="노무비"/>
      <sheetName val="현금"/>
      <sheetName val="중기사용료"/>
      <sheetName val="3.상시해석"/>
      <sheetName val="산근"/>
      <sheetName val="입찰안"/>
      <sheetName val="품셈TABLE"/>
      <sheetName val="Sheet2"/>
      <sheetName val="설계서(7)"/>
      <sheetName val="S0"/>
      <sheetName val="LGBOM1절_CheckList"/>
      <sheetName val="Macro2"/>
      <sheetName val="Macro1"/>
      <sheetName val="Site Expenses"/>
      <sheetName val="노임"/>
      <sheetName val="Sheet5"/>
      <sheetName val="cost"/>
      <sheetName val="MFAB"/>
      <sheetName val="MFRT"/>
      <sheetName val="MPKG"/>
      <sheetName val="MPRD"/>
      <sheetName val="일반공사"/>
      <sheetName val="설계내역서"/>
      <sheetName val="경비2내역"/>
      <sheetName val="동해title"/>
      <sheetName val="공사비산출내역"/>
      <sheetName val="3련 BOX"/>
      <sheetName val="간선"/>
      <sheetName val="BQ(실행)"/>
      <sheetName val="EJ"/>
      <sheetName val="2F 회의실견적(5_14 일대)"/>
      <sheetName val="견적조건"/>
      <sheetName val="L형옹벽측구"/>
      <sheetName val="WORK"/>
      <sheetName val="토공산출(주차장)"/>
      <sheetName val="건축내역"/>
      <sheetName val="집계(세부총괄)"/>
      <sheetName val="총투자비(총괄)"/>
      <sheetName val="차액보증"/>
      <sheetName val="간접비"/>
      <sheetName val="총괄"/>
      <sheetName val="설변물량"/>
      <sheetName val="장비당단가 (1)"/>
      <sheetName val="경산"/>
      <sheetName val="설계명세서"/>
      <sheetName val="데이타"/>
      <sheetName val="주식"/>
      <sheetName val="수량산출"/>
      <sheetName val="6.OUTPUT"/>
      <sheetName val="시험장S자로가로등공사"/>
      <sheetName val="산출내역서집계표"/>
      <sheetName val="투찰"/>
      <sheetName val="단면가정"/>
      <sheetName val="factor"/>
      <sheetName val="프랜트면허"/>
      <sheetName val="참고"/>
      <sheetName val="한강운반비"/>
      <sheetName val="자재"/>
      <sheetName val="공통(20-91)"/>
      <sheetName val="소상 &quot;1&quot;"/>
      <sheetName val="Sheet17"/>
      <sheetName val="1.설계기준"/>
      <sheetName val="OHU"/>
      <sheetName val="AH-1 "/>
      <sheetName val="보차도경계석"/>
      <sheetName val="자재수량"/>
      <sheetName val="보할공정"/>
      <sheetName val="Sheet4"/>
      <sheetName val="ABUT수량-A1"/>
      <sheetName val="건축"/>
      <sheetName val="제잡비"/>
      <sheetName val="총괄표"/>
      <sheetName val="단위중량"/>
      <sheetName val="인건비"/>
      <sheetName val="MACRO(AT)"/>
      <sheetName val="현관"/>
      <sheetName val="1공구산출내역서"/>
      <sheetName val="집계장(대목_실행)"/>
      <sheetName val="단중표"/>
      <sheetName val="순환펌프"/>
      <sheetName val="저수조"/>
      <sheetName val="급,배기팬"/>
      <sheetName val="급탕순환펌프"/>
      <sheetName val="건축(충일분)"/>
      <sheetName val="원가계산서"/>
      <sheetName val="제경비"/>
      <sheetName val="DANGA"/>
      <sheetName val="실행철강하도"/>
      <sheetName val="E.P.T수량산출서"/>
      <sheetName val="일위대가목차"/>
    </sheetNames>
    <definedNames>
      <definedName name="Macro1"/>
      <definedName name="Macro11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Sheet1"/>
      <sheetName val="내역서"/>
      <sheetName val="정산내역(정-참고용)"/>
      <sheetName val="단가표 (2)"/>
      <sheetName val="우수"/>
      <sheetName val="DATA"/>
      <sheetName val="과천MAIN"/>
      <sheetName val="#REF"/>
      <sheetName val="아수배전(1회)"/>
      <sheetName val="조도계산서"/>
      <sheetName val=""/>
      <sheetName val="화재 탐지 설비"/>
      <sheetName val="일위대가서식"/>
      <sheetName val="일위대가양식"/>
      <sheetName val="내역"/>
      <sheetName val="NA"/>
      <sheetName val="충주"/>
      <sheetName val="hvac(제어동)"/>
      <sheetName val="일위대가"/>
      <sheetName val="98지급계획"/>
      <sheetName val="Y-WORK"/>
      <sheetName val="기계내역"/>
      <sheetName val="Inst."/>
      <sheetName val="FB25JN"/>
      <sheetName val="부하계산서"/>
      <sheetName val="평형공사비"/>
      <sheetName val="원가계산서"/>
      <sheetName val="터널조도"/>
      <sheetName val="본사인상전"/>
      <sheetName val="LOPCALC"/>
      <sheetName val="wall"/>
      <sheetName val="노임"/>
      <sheetName val="산출2-동력"/>
      <sheetName val="산출3-전등"/>
      <sheetName val="산출4-조명제어"/>
      <sheetName val="산출5-전열"/>
      <sheetName val="산출7-유도등"/>
      <sheetName val="연습장소"/>
      <sheetName val="기준액"/>
      <sheetName val="단가조사서"/>
      <sheetName val="개요"/>
      <sheetName val="계산서(곡선부)"/>
      <sheetName val="포장재료집계표"/>
      <sheetName val="금액"/>
      <sheetName val="조도계산서 (도서)"/>
      <sheetName val="원가총괄"/>
      <sheetName val="일위대가-1"/>
      <sheetName val="969910( R)"/>
      <sheetName val="b_balju"/>
      <sheetName val="차집관로"/>
      <sheetName val="환율적용표"/>
      <sheetName val="예산서"/>
    </sheetNames>
    <definedNames>
      <definedName name="Module1.매크로4"/>
      <definedName name="Module1.매크로5"/>
      <definedName name="Module1.매크로6"/>
      <definedName name="Module1.매크로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내역"/>
      <sheetName val="99양배 (2)"/>
      <sheetName val="문화농문 (2)"/>
      <sheetName val="99양배"/>
      <sheetName val="문화농문"/>
      <sheetName val="사업수지예산서"/>
      <sheetName val="설계개요"/>
      <sheetName val="총괄"/>
      <sheetName val="FB25JN"/>
      <sheetName val="일위대가"/>
      <sheetName val="EP0618"/>
      <sheetName val="수로단위수량"/>
      <sheetName val="원가계산서"/>
      <sheetName val="NOMUBI"/>
      <sheetName val="sw1"/>
      <sheetName val="터널조도"/>
      <sheetName val="LOPCALC"/>
      <sheetName val="기계단가"/>
      <sheetName val="입찰안"/>
      <sheetName val="우수공,맨홀,집수정"/>
      <sheetName val="ABUT수량-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터널조도"/>
      <sheetName val="1766-1"/>
      <sheetName val="노임"/>
      <sheetName val="설비"/>
      <sheetName val="조도계산서 (도서)"/>
      <sheetName val="수량산출"/>
      <sheetName val="실행비교"/>
      <sheetName val="NOMUBI"/>
      <sheetName val="예정(3)"/>
      <sheetName val="동원(3)"/>
      <sheetName val="일보"/>
      <sheetName val="신우"/>
      <sheetName val="원가계산서"/>
      <sheetName val="Sheet1"/>
      <sheetName val="BQ(실행)"/>
      <sheetName val="내역서"/>
      <sheetName val="인건-측정"/>
      <sheetName val="DATE"/>
      <sheetName val="내역"/>
      <sheetName val="LOPCALC"/>
      <sheetName val="적용기준"/>
      <sheetName val="sw1"/>
      <sheetName val="ABUT수량-A1"/>
      <sheetName val="노무비"/>
      <sheetName val="부하계산서"/>
      <sheetName val="#REF"/>
      <sheetName val="PROCESS"/>
      <sheetName val="MOTOR3"/>
      <sheetName val="부하(성남)"/>
      <sheetName val="종배수관"/>
      <sheetName val="8-3기계경비"/>
      <sheetName val="-명량대첩 승전광장 조성 통신공사 2차분-12-07-03"/>
      <sheetName val="Macro(차단기)"/>
      <sheetName val="2F 회의실견적(5_14 일대)"/>
      <sheetName val="수질정화시설"/>
      <sheetName val="JUCK"/>
      <sheetName val="정부노임단가"/>
      <sheetName val="연결임시"/>
      <sheetName val="산근"/>
      <sheetName val="공사개요"/>
      <sheetName val="산#3-2-2"/>
      <sheetName val="가열로SW"/>
      <sheetName val="CALCULATION"/>
      <sheetName val="MOTOR"/>
      <sheetName val="실행철강하도"/>
      <sheetName val="인건비"/>
      <sheetName val="제안서"/>
      <sheetName val="NA"/>
      <sheetName val="FB25JN"/>
      <sheetName val="회로내역(승인)"/>
      <sheetName val="CABLE SIZE-3"/>
      <sheetName val="전신환매도율"/>
      <sheetName val="수안보-MBR1"/>
      <sheetName val="6PILE  (돌출)"/>
      <sheetName val="지주설치제원"/>
      <sheetName val="DATA"/>
      <sheetName val="대치판정"/>
      <sheetName val="신관(1)"/>
      <sheetName val="WIND"/>
      <sheetName val="J형측구단위수량"/>
      <sheetName val="단가조사서"/>
      <sheetName val="매입세율"/>
      <sheetName val="BID"/>
      <sheetName val="현금"/>
      <sheetName val="부속동"/>
      <sheetName val="배수내역 (2)"/>
      <sheetName val="하조서"/>
      <sheetName val="Cost bd-&quot;A&quot;"/>
      <sheetName val="접속도로1"/>
      <sheetName val="차액보증"/>
      <sheetName val="지급자재"/>
      <sheetName val="기본일위"/>
      <sheetName val="화재 탐지 설비"/>
      <sheetName val="NA1"/>
      <sheetName val="TOTAL"/>
      <sheetName val="전차선로 물량표"/>
      <sheetName val="내역(영일)"/>
      <sheetName val="PROJECT BRIEF(EX.NEW)"/>
      <sheetName val="허용전류 계산서"/>
      <sheetName val="당초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영장장비"/>
      <sheetName val="Sheet1"/>
      <sheetName val="Sheet2"/>
      <sheetName val="Sheet3"/>
      <sheetName val="과천MAIN"/>
      <sheetName val="부하계산서"/>
      <sheetName val="일위대가"/>
      <sheetName val="#REF"/>
      <sheetName val="내역"/>
      <sheetName val="터널조도"/>
      <sheetName val="LD"/>
      <sheetName val="수로단위수량"/>
      <sheetName val="일위대가(계측기설치)"/>
      <sheetName val="아파트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보행자로"/>
      <sheetName val="진입로"/>
      <sheetName val="체감식(합정로) "/>
      <sheetName val="DATA"/>
      <sheetName val="등가거리"/>
      <sheetName val="조명율표"/>
      <sheetName val="Sheet2"/>
      <sheetName val="체감식  (원본)"/>
      <sheetName val="진입로 (원본)"/>
      <sheetName val="과천MAIN"/>
      <sheetName val="터널조도"/>
      <sheetName val="ITEM"/>
      <sheetName val="전선"/>
      <sheetName val="일위대가(계측기설치)"/>
      <sheetName val="KMT물량"/>
      <sheetName val="포장복구집계"/>
      <sheetName val="COPING"/>
      <sheetName val="INPUT"/>
      <sheetName val="전기"/>
      <sheetName val="11.1 단면hwp"/>
      <sheetName val="11.자재단가"/>
      <sheetName val="정부노임단가"/>
      <sheetName val="기별(종합)"/>
      <sheetName val="설계조건"/>
      <sheetName val="조도계산서"/>
      <sheetName val="공사비예산서(토목분)"/>
      <sheetName val="손익분석"/>
      <sheetName val="공통가설"/>
      <sheetName val="SLAB&quot;1&quot;"/>
      <sheetName val="단가비교표"/>
      <sheetName val="교량전기"/>
      <sheetName val="내역"/>
      <sheetName val="INPUT(덕도방향-시점)"/>
      <sheetName val="Macro(전선)"/>
      <sheetName val="MOTOR"/>
      <sheetName val="공량산출서"/>
      <sheetName val="실행철강하도"/>
      <sheetName val="기본DATA"/>
      <sheetName val="제품"/>
      <sheetName val="노임"/>
      <sheetName val="견적"/>
      <sheetName val="전단면보수"/>
      <sheetName val="반단면보수"/>
      <sheetName val="콘크리트패칭"/>
      <sheetName val="아스.노면팻칭"/>
      <sheetName val="아스.노면절삭"/>
      <sheetName val="9GNG운반"/>
      <sheetName val="동원(3)"/>
      <sheetName val="예정(3)"/>
      <sheetName val="조건표"/>
      <sheetName val="11.우각부 보강"/>
      <sheetName val="DATE"/>
      <sheetName val="당초수량"/>
      <sheetName val="송라터널총괄"/>
      <sheetName val="교각계산"/>
      <sheetName val="CAT_5"/>
      <sheetName val="방송일위대가"/>
      <sheetName val="工완성공사율"/>
      <sheetName val="내역서"/>
      <sheetName val="CODE"/>
      <sheetName val="3.일반설비"/>
      <sheetName val="#REF"/>
      <sheetName val="간선계산"/>
      <sheetName val="직공비"/>
      <sheetName val="1-1"/>
      <sheetName val="북방3터널"/>
      <sheetName val="PART_DISCOUNT"/>
      <sheetName val="현장관리비"/>
      <sheetName val="말뚝물량"/>
      <sheetName val="표지"/>
      <sheetName val="대전노은1차_조적_집계표"/>
      <sheetName val="비용"/>
      <sheetName val="인건-측정"/>
      <sheetName val="예산서"/>
      <sheetName val="CABLE SIZE-3"/>
      <sheetName val="성남여성복지내역"/>
      <sheetName val="TEST1"/>
      <sheetName val="Sheet1 (2)"/>
      <sheetName val="단면 (2)"/>
      <sheetName val="guard(mac)"/>
      <sheetName val="입출재고현황 (2)"/>
      <sheetName val="Sheet1"/>
      <sheetName val="설계변경원가계산총괄표"/>
      <sheetName val="01"/>
      <sheetName val="JUCK"/>
      <sheetName val="자재단가비교표"/>
      <sheetName val="노임단가"/>
      <sheetName val="단가산출"/>
      <sheetName val="Macro(차단기)"/>
      <sheetName val="3련 BOX"/>
      <sheetName val="자판실행"/>
      <sheetName val="간접비내역-1"/>
      <sheetName val="표지 (2)"/>
      <sheetName val="LABTOTAL"/>
      <sheetName val="단면가정"/>
      <sheetName val="교각1"/>
      <sheetName val="순공사비산출내역"/>
      <sheetName val="일위대가표1"/>
      <sheetName val="단가산출서 "/>
      <sheetName val="Manual Valve List"/>
      <sheetName val="작성기준"/>
      <sheetName val="MAIN"/>
      <sheetName val="CIVIL"/>
      <sheetName val="단가"/>
      <sheetName val="Sheet5"/>
      <sheetName val="케이블및전선관규격표"/>
      <sheetName val="안정검토"/>
      <sheetName val="단면설계"/>
      <sheetName val="ABUT수량-A1"/>
      <sheetName val="기계내역"/>
      <sheetName val="사용성검토"/>
      <sheetName val="3CHBDC"/>
      <sheetName val="CTDG"/>
      <sheetName val="THVT"/>
      <sheetName val="차도조도계산"/>
      <sheetName val=" 견적서"/>
      <sheetName val="사급자재"/>
      <sheetName val="플랜트 설치"/>
      <sheetName val="부하계산서"/>
      <sheetName val="단가 및 재료비"/>
      <sheetName val="중기사용료산출근거"/>
      <sheetName val="원가계산서"/>
      <sheetName val="BID"/>
      <sheetName val="산출근거"/>
      <sheetName val="식생블럭단위수량"/>
      <sheetName val="입찰안"/>
      <sheetName val="역T형"/>
      <sheetName val="일위대가시트"/>
      <sheetName val="전차선로 물량표"/>
      <sheetName val="단가표"/>
      <sheetName val="TB-내역서"/>
      <sheetName val="설 계"/>
      <sheetName val="기둥(하중)"/>
      <sheetName val="부표총괄"/>
      <sheetName val="__MAIN"/>
      <sheetName val="sum1 (2)"/>
      <sheetName val="2000년1차"/>
      <sheetName val="품셈1-17"/>
      <sheetName val="Sheet3"/>
      <sheetName val="재료집계"/>
      <sheetName val="FORM-0"/>
      <sheetName val="적용률"/>
      <sheetName val="선로정수계산"/>
      <sheetName val="001"/>
      <sheetName val="단면치수"/>
      <sheetName val="중기일위대가"/>
      <sheetName val="眞비상(진주)"/>
      <sheetName val="EACT10"/>
      <sheetName val="조명시설"/>
      <sheetName val="일반전기"/>
      <sheetName val="점수계산1-2"/>
      <sheetName val="ACDIM6D"/>
      <sheetName val="1.설계조건"/>
      <sheetName val="진주방향"/>
      <sheetName val="공사개요"/>
      <sheetName val="WORK"/>
      <sheetName val="PARAMETER"/>
      <sheetName val="LEGEND"/>
      <sheetName val="옹벽기초자료"/>
      <sheetName val="현황산출서"/>
      <sheetName val="갑지1"/>
      <sheetName val="GAEYO"/>
      <sheetName val="원가입력"/>
      <sheetName val="SILICATE"/>
      <sheetName val="1월"/>
      <sheetName val="날개벽(시점좌측)"/>
      <sheetName val="수안보-MBR1"/>
      <sheetName val="단가조사서"/>
      <sheetName val="건축내역"/>
      <sheetName val="(포장)BOQ-실적공사"/>
      <sheetName val="입력DATA"/>
      <sheetName val="건축집계"/>
      <sheetName val="원가계산(총괄)"/>
      <sheetName val="단위수량"/>
      <sheetName val="현황"/>
      <sheetName val="4)유동표"/>
      <sheetName val="수원역(전체분)설계서"/>
      <sheetName val="공정코드"/>
      <sheetName val="대로근거"/>
      <sheetName val="중로근거"/>
      <sheetName val="MAT"/>
      <sheetName val="백암비스타내역"/>
      <sheetName val="내촌육교방음벽수량집계표"/>
      <sheetName val="설계"/>
      <sheetName val="가점"/>
      <sheetName val="index"/>
      <sheetName val="etc"/>
      <sheetName val="노무비"/>
      <sheetName val="집수정"/>
      <sheetName val="개요"/>
      <sheetName val="투찰"/>
      <sheetName val="삼성전기"/>
      <sheetName val="PS-2A구조물방수"/>
      <sheetName val="제수"/>
      <sheetName val="공기"/>
      <sheetName val="bearing"/>
      <sheetName val="증감대비"/>
      <sheetName val="Total"/>
      <sheetName val="gvl"/>
      <sheetName val="BQ(실행)"/>
      <sheetName val="일위대가(목록)"/>
      <sheetName val="재료비"/>
      <sheetName val="COST"/>
      <sheetName val="인건비"/>
      <sheetName val="DAN"/>
      <sheetName val="토목내역서"/>
      <sheetName val="MCC제원"/>
      <sheetName val="70%"/>
      <sheetName val="양산물금"/>
      <sheetName val="시추주상도"/>
      <sheetName val="설비"/>
      <sheetName val="연부97-1"/>
      <sheetName val="조도계산서 (도서)"/>
      <sheetName val="견적990322"/>
      <sheetName val="수량산출"/>
      <sheetName val="1"/>
      <sheetName val="동관마찰손실표"/>
      <sheetName val="실행비교"/>
      <sheetName val="일반공사"/>
      <sheetName val="단가대비"/>
      <sheetName val="Data&amp;Result"/>
      <sheetName val="일위대가목차"/>
      <sheetName val="부속동"/>
      <sheetName val="일위대가집계표"/>
      <sheetName val="품셈기준"/>
      <sheetName val="말뚝설계"/>
      <sheetName val="물가자료"/>
      <sheetName val="부하(성남)"/>
      <sheetName val="현황CODE"/>
      <sheetName val="손익현황"/>
      <sheetName val="FOOTING단면력"/>
      <sheetName val="간접비"/>
      <sheetName val="원가"/>
      <sheetName val="품목"/>
      <sheetName val="NOMUBI"/>
      <sheetName val="sw1"/>
      <sheetName val="배수공"/>
      <sheetName val="일위대가목록"/>
      <sheetName val="노무비 근거"/>
      <sheetName val="일위대가"/>
      <sheetName val="내역서(1)"/>
      <sheetName val="소요자재"/>
      <sheetName val="설계명세서(종합)"/>
      <sheetName val="노무산출서"/>
      <sheetName val="홈통받이수량"/>
      <sheetName val="주방환기"/>
      <sheetName val="RE9604"/>
      <sheetName val="시멘트"/>
      <sheetName val="예산M11A"/>
      <sheetName val="BASIC (2)"/>
      <sheetName val="General Data"/>
      <sheetName val="유기공정"/>
      <sheetName val="가시설흙막이"/>
      <sheetName val="Dae_Jiju"/>
      <sheetName val="Sikje_ingun"/>
      <sheetName val="TREE_D"/>
      <sheetName val="내역표지"/>
      <sheetName val="I一般比"/>
      <sheetName val="하중계산"/>
      <sheetName val="LIST"/>
      <sheetName val="소상 &quot;1&quot;"/>
      <sheetName val="광로3 - 48m"/>
      <sheetName val="배수장공사비"/>
      <sheetName val="가공비"/>
      <sheetName val="우각부보강"/>
      <sheetName val="품목납기"/>
      <sheetName val="원형1호맨홀토공수량"/>
      <sheetName val="관기성공.내"/>
      <sheetName val="횡배수관토공수량"/>
      <sheetName val="하중"/>
      <sheetName val="회로내역(승인)"/>
      <sheetName val="우석문틀"/>
      <sheetName val="산업"/>
      <sheetName val="조경일람"/>
      <sheetName val="통합"/>
      <sheetName val="취수탑"/>
      <sheetName val="청산공사"/>
      <sheetName val="copy"/>
      <sheetName val="서식"/>
      <sheetName val="단가조서"/>
      <sheetName val="자압"/>
      <sheetName val="1.취수장"/>
      <sheetName val="기본 상수"/>
      <sheetName val="집행(2-1)"/>
      <sheetName val="4 &amp; 10-inch, CO2 Combo &amp; Sweep"/>
      <sheetName val="매원개착터널총괄"/>
      <sheetName val="신내택지내역서"/>
      <sheetName val="CATCH BASIN"/>
      <sheetName val="Cost bd-&quot;A&quot;"/>
      <sheetName val="POOM_MOTO"/>
      <sheetName val="POOM_MOTO2"/>
      <sheetName val="Sheet7"/>
      <sheetName val="타공종이기"/>
      <sheetName val="견적시담(송포2공구)"/>
      <sheetName val="실행내역서 "/>
      <sheetName val="경비"/>
      <sheetName val="DANGA"/>
      <sheetName val="공사비 내역"/>
      <sheetName val="ilch"/>
      <sheetName val="기둥"/>
      <sheetName val="저판(버림100)"/>
      <sheetName val="L_RPTB02_01"/>
      <sheetName val="신규(07년01월)"/>
      <sheetName val="A-4"/>
      <sheetName val="열린교실"/>
      <sheetName val="BSD (2)"/>
      <sheetName val="포장직선구간"/>
      <sheetName val="98수문일위"/>
      <sheetName val="명세서"/>
      <sheetName val="현장관리비집계표"/>
      <sheetName val="Y-WORK"/>
      <sheetName val="예가표"/>
      <sheetName val="결재판"/>
      <sheetName val="표준건축비"/>
      <sheetName val="CLAUSE"/>
      <sheetName val="계산근거"/>
      <sheetName val="금액내역서"/>
      <sheetName val="봉양~조차장간고하개명(신설)"/>
      <sheetName val="6PILE  (돌출)"/>
      <sheetName val="배수장공사비명세서"/>
      <sheetName val="실행자재"/>
      <sheetName val="남양시작동자105노65기1.3화1.2"/>
      <sheetName val="관람석제출"/>
      <sheetName val="기초단가"/>
      <sheetName val="토공산출(주차장)"/>
      <sheetName val="수습"/>
      <sheetName val="배선DATA"/>
      <sheetName val="기둥(원형)"/>
      <sheetName val="당초"/>
      <sheetName val="깨기"/>
      <sheetName val="공사비집계"/>
      <sheetName val="산1"/>
      <sheetName val="구의33고"/>
      <sheetName val="Inputs"/>
      <sheetName val="Cost Inputs"/>
      <sheetName val="케이블"/>
      <sheetName val="매입세율"/>
      <sheetName val="출근부"/>
      <sheetName val="장비부하"/>
      <sheetName val="대전월평내역"/>
      <sheetName val="보할공정"/>
      <sheetName val="C1ㅇ"/>
      <sheetName val="기준"/>
      <sheetName val="Sheet4"/>
      <sheetName val="기본"/>
      <sheetName val="품셈TABLE"/>
      <sheetName val="도급예산내역서총괄표"/>
      <sheetName val="PW3"/>
      <sheetName val="PW4"/>
      <sheetName val="SC1"/>
      <sheetName val="PE"/>
      <sheetName val="PM"/>
      <sheetName val="TR"/>
      <sheetName val="내역(을)"/>
      <sheetName val="데이타"/>
      <sheetName val="주형"/>
      <sheetName val="간지"/>
      <sheetName val="직노"/>
      <sheetName val="실행내역"/>
      <sheetName val="AS복구"/>
      <sheetName val="중기터파기"/>
      <sheetName val="변수값"/>
      <sheetName val="중기상차"/>
      <sheetName val="현장관리비 산출내역"/>
      <sheetName val="일위대가 "/>
      <sheetName val="약품공급2"/>
      <sheetName val="부대내역"/>
      <sheetName val="토공"/>
      <sheetName val="CPM챠트"/>
      <sheetName val="Sat tron"/>
      <sheetName val="일위(철거)"/>
      <sheetName val="스포회원매출"/>
      <sheetName val="지급자재"/>
      <sheetName val="PROCESS"/>
      <sheetName val="프랜트면허"/>
      <sheetName val="Option"/>
      <sheetName val="금액"/>
      <sheetName val="IMPEADENCE MAP 취수장"/>
      <sheetName val="1공구 건정토건 토공"/>
      <sheetName val="내역총괄"/>
      <sheetName val="내역총괄2"/>
      <sheetName val="내역총괄3"/>
      <sheetName val="기초공"/>
      <sheetName val="Summary Sheets"/>
      <sheetName val="세부추진"/>
      <sheetName val="상용보강"/>
      <sheetName val="설치공사2"/>
      <sheetName val="보차도경계석"/>
      <sheetName val="YANG"/>
      <sheetName val="PROJECT BRIEF(EX.NEW)"/>
      <sheetName val="민감도분석"/>
      <sheetName val="ROI"/>
      <sheetName val="LS re sales"/>
      <sheetName val="MixBed"/>
      <sheetName val="CondPol"/>
      <sheetName val="Menu"/>
      <sheetName val="AILC004"/>
      <sheetName val="각종양식"/>
      <sheetName val="견적기준"/>
      <sheetName val="UNIT"/>
      <sheetName val="PIPE"/>
      <sheetName val="FLANGE"/>
      <sheetName val="VALVE"/>
      <sheetName val="일대목차"/>
      <sheetName val="Breakdown"/>
      <sheetName val="UnitRate"/>
      <sheetName val="토목"/>
      <sheetName val="견적조건"/>
      <sheetName val="표면정지 집계"/>
      <sheetName val="PET MAT집계"/>
      <sheetName val="estm_mech"/>
      <sheetName val="5.모델링"/>
      <sheetName val="工관리비율"/>
      <sheetName val="입력1"/>
      <sheetName val="COA-17"/>
      <sheetName val="C-18"/>
      <sheetName val="콤보박스와 리스트박스의 연결"/>
      <sheetName val="건축원가"/>
      <sheetName val="Tables"/>
      <sheetName val="2000년하반기"/>
      <sheetName val="계화배수"/>
      <sheetName val="산근"/>
      <sheetName val="본사일보"/>
      <sheetName val="종합기별"/>
      <sheetName val="노무비명세서"/>
      <sheetName val="소요자재명세서"/>
      <sheetName val="을"/>
      <sheetName val="장척총괄"/>
      <sheetName val="수로교총재료집계"/>
      <sheetName val="횡배위치"/>
      <sheetName val="맨홀수량집계"/>
      <sheetName val="3BL공동구 수량"/>
      <sheetName val="단위중량"/>
      <sheetName val="CALCULATION"/>
      <sheetName val="추원 상가(1)"/>
      <sheetName val="뚝토공"/>
      <sheetName val="산5-7"/>
      <sheetName val="인건비 "/>
      <sheetName val="일위"/>
      <sheetName val="목차"/>
      <sheetName val="물량산출 (전력간선,전열)"/>
      <sheetName val="물량산출 (전등)"/>
      <sheetName val="토공A"/>
      <sheetName val="날개벽수량표"/>
      <sheetName val="물가시세"/>
      <sheetName val="산출근거1"/>
      <sheetName val="단가및재료비"/>
      <sheetName val="부대공Ⅱ"/>
      <sheetName val="미드수량"/>
      <sheetName val="154TW"/>
      <sheetName val="1SPAN"/>
      <sheetName val="_15_0"/>
      <sheetName val="Assump"/>
      <sheetName val="교통처리우회도로"/>
      <sheetName val="배수공 주요자재 집계표"/>
      <sheetName val="소비자가"/>
      <sheetName val="장문교(대전)"/>
      <sheetName val="갑지"/>
      <sheetName val="L형 옹벽"/>
      <sheetName val="공문"/>
      <sheetName val="품셈(기초)"/>
      <sheetName val="체감식(합정로)_"/>
      <sheetName val="체감식__(원본)"/>
      <sheetName val="진입로_(원본)"/>
      <sheetName val="11_우각부_보강"/>
      <sheetName val="11_1_단면hwp"/>
      <sheetName val="아스_노면팻칭"/>
      <sheetName val="아스_노면절삭"/>
      <sheetName val="CABLE_SIZE-3"/>
      <sheetName val="체감식(합정로)_1"/>
      <sheetName val="체감식__(원본)1"/>
      <sheetName val="진입로_(원본)1"/>
      <sheetName val="11_우각부_보강1"/>
      <sheetName val="11_1_단면hwp1"/>
      <sheetName val="아스_노면팻칭1"/>
      <sheetName val="아스_노면절삭1"/>
      <sheetName val="CABLE_SIZE-31"/>
      <sheetName val="SPEC"/>
      <sheetName val="단중표"/>
      <sheetName val="기계경비(시간당)"/>
      <sheetName val="램머"/>
      <sheetName val="현금"/>
      <sheetName val="CF"/>
      <sheetName val="SG"/>
      <sheetName val="산출내역서집계표"/>
      <sheetName val="96정변2"/>
      <sheetName val="설계명세서"/>
      <sheetName val="기초자료입력"/>
      <sheetName val="기준자료"/>
      <sheetName val="변품8-37"/>
      <sheetName val="철거산출근거"/>
      <sheetName val="EQUIP-H"/>
      <sheetName val="전계가"/>
      <sheetName val="Hours.CodeST"/>
      <sheetName val="Eq. Mobilization"/>
      <sheetName val="2.4.1 여수토수량산출"/>
      <sheetName val="장비"/>
      <sheetName val="TYPE-A"/>
      <sheetName val="와동25-3(변경)"/>
      <sheetName val="부재치수입력"/>
      <sheetName val="LP-S"/>
      <sheetName val="별표 "/>
      <sheetName val="요율"/>
      <sheetName val="견적서"/>
      <sheetName val="전장품(관리용)"/>
      <sheetName val="Imp-Data"/>
      <sheetName val="견적대비"/>
      <sheetName val="MATRLDATA"/>
      <sheetName val="Pier 3"/>
      <sheetName val="교통대책내역"/>
      <sheetName val="tggwan(mac)"/>
      <sheetName val="기술자료 (광화문)"/>
      <sheetName val="데이터"/>
      <sheetName val="초기화면"/>
      <sheetName val="부재리스트"/>
      <sheetName val="주식"/>
      <sheetName val="1을"/>
      <sheetName val="원가총괄"/>
      <sheetName val="SIHEUNG"/>
      <sheetName val="2.가정단면"/>
      <sheetName val="경비_원본"/>
      <sheetName val="지중자재단가"/>
      <sheetName val="MANUFACTORY"/>
      <sheetName val="변경총괄지(1)"/>
      <sheetName val="6.콘덴서"/>
      <sheetName val="일위대가표"/>
      <sheetName val="노임 단가"/>
      <sheetName val="재료"/>
      <sheetName val="품산출서"/>
      <sheetName val="5.산출내역서"/>
      <sheetName val="공종구간"/>
      <sheetName val="6동"/>
      <sheetName val="내역변"/>
      <sheetName val="6.1.3단가산출서(노임단가)_신호무선전송"/>
      <sheetName val="기계경비"/>
      <sheetName val="인건비(환율)"/>
      <sheetName val="단락전류-A"/>
      <sheetName val="LOPCALC"/>
      <sheetName val="본관토공 및 포장공 산출조서"/>
      <sheetName val="기준액"/>
      <sheetName val="ⴭⴭⴭⴭⴭ"/>
      <sheetName val="수목데이타 "/>
      <sheetName val="국공유지및사유지"/>
      <sheetName val="현대물량"/>
      <sheetName val="1차증가원가계산"/>
      <sheetName val="갑지(추정)"/>
      <sheetName val="분전함신설"/>
      <sheetName val="접지1종"/>
      <sheetName val="#3_일위대가목록"/>
      <sheetName val="허용전류-IEC"/>
      <sheetName val="토목주소"/>
      <sheetName val="COVER"/>
      <sheetName val="PBS"/>
      <sheetName val="부안일위"/>
      <sheetName val="환율적용표"/>
      <sheetName val="49단"/>
      <sheetName val="22단"/>
      <sheetName val="부서현황"/>
      <sheetName val="#3E1_GCR"/>
      <sheetName val="OD5000"/>
      <sheetName val="c_balju"/>
      <sheetName val="견적업체"/>
      <sheetName val="바.한일양산"/>
      <sheetName val="일위(PN)"/>
      <sheetName val="카렌스센터계량기설치공사"/>
      <sheetName val="정공공사"/>
      <sheetName val="2.대외공문"/>
      <sheetName val="대공종"/>
      <sheetName val="계정"/>
      <sheetName val="남양시작동010313100%"/>
      <sheetName val="조명율"/>
      <sheetName val="조건"/>
      <sheetName val="총괄표"/>
      <sheetName val="항목등록"/>
      <sheetName val="협조전"/>
      <sheetName val="부대대비"/>
      <sheetName val="TEL"/>
      <sheetName val="냉연집계"/>
      <sheetName val="98지급계획"/>
      <sheetName val="내역(정지)"/>
      <sheetName val="남양구조시험동"/>
      <sheetName val="COPING-1"/>
      <sheetName val="역T형교대-2수량"/>
      <sheetName val="안정계산"/>
      <sheetName val="단면검토"/>
      <sheetName val="자료입력"/>
      <sheetName val="도장수량(하1)"/>
      <sheetName val="포장공"/>
      <sheetName val="건축"/>
      <sheetName val="매출"/>
      <sheetName val="Input Page"/>
      <sheetName val="매입부가세율(동림)"/>
      <sheetName val="수량3"/>
      <sheetName val="No-&gt;Code"/>
      <sheetName val="TB_내역서"/>
      <sheetName val="도급예산내역서봉투"/>
      <sheetName val="공사원가계산서"/>
      <sheetName val="설계산출기초"/>
      <sheetName val="을부담운반비"/>
      <sheetName val="운반비산출"/>
      <sheetName val="설계산출표지"/>
      <sheetName val="factor"/>
      <sheetName val="6월실적"/>
      <sheetName val="XL4Poppy"/>
      <sheetName val="집계표"/>
      <sheetName val="Piping(Methanol)"/>
      <sheetName val="piping"/>
      <sheetName val="9-1차이내역"/>
      <sheetName val="L-type"/>
      <sheetName val="데리네이타현황"/>
      <sheetName val="삼보지질"/>
      <sheetName val="투찰판"/>
      <sheetName val="COPING설계"/>
      <sheetName val="FORM_0"/>
      <sheetName val="무담보1"/>
      <sheetName val="정산입력"/>
      <sheetName val="참고"/>
      <sheetName val="사다리"/>
      <sheetName val="CONCRETE"/>
      <sheetName val="투찰(하수)"/>
      <sheetName val="가설건물"/>
      <sheetName val="-15.0"/>
      <sheetName val="unit 4"/>
      <sheetName val="잡비"/>
      <sheetName val="참조"/>
      <sheetName val="CABLE"/>
      <sheetName val="특별교실"/>
      <sheetName val="공통부대비"/>
      <sheetName val="반중력식옹벽"/>
      <sheetName val="단면_(2)"/>
      <sheetName val="Sheet1_(2)"/>
      <sheetName val="입출재고현황_(2)"/>
      <sheetName val="11_자재단가"/>
      <sheetName val="노임,재료비"/>
      <sheetName val="200"/>
      <sheetName val="project management"/>
      <sheetName val="판매시설"/>
      <sheetName val="LG제품"/>
      <sheetName val="SUMMARY"/>
      <sheetName val="PAINT"/>
      <sheetName val="기초분물량표"/>
      <sheetName val="단위집계표"/>
      <sheetName val="CAB_OD"/>
      <sheetName val="원내역서 그대로"/>
      <sheetName val="D-3109"/>
      <sheetName val="말뚝지지력산정"/>
      <sheetName val="2.단면가정"/>
      <sheetName val="표지판단위"/>
      <sheetName val="전체도급"/>
      <sheetName val="TOT"/>
      <sheetName val="식재인부"/>
      <sheetName val="단면확대공"/>
      <sheetName val="H-BEAM(S2,3)"/>
      <sheetName val="단부정착장치"/>
      <sheetName val="배수관공"/>
      <sheetName val="차액보증"/>
      <sheetName val="단가산출서"/>
      <sheetName val="가로등일위대가"/>
      <sheetName val="중기(목록)"/>
      <sheetName val="ITEMLIST990101"/>
      <sheetName val="사통"/>
      <sheetName val="예산서(전기설비)"/>
      <sheetName val="98연계표"/>
      <sheetName val="Macro(전동기)"/>
      <sheetName val="R0PS5"/>
      <sheetName val="대전-교대(A1-A2)"/>
      <sheetName val="수량산출내역1115"/>
      <sheetName val="견"/>
      <sheetName val="터파기및재료"/>
      <sheetName val="신당동집계표"/>
      <sheetName val="통계연보"/>
      <sheetName val="부대공사비"/>
      <sheetName val="철근단면적"/>
      <sheetName val="전기일위대가"/>
      <sheetName val="토목내역"/>
      <sheetName val="F-Assump"/>
      <sheetName val="운영및유지보수"/>
      <sheetName val="T6-6(2)"/>
      <sheetName val="건설노임"/>
      <sheetName val="MFAB"/>
      <sheetName val="MFRT"/>
      <sheetName val="MPKG"/>
      <sheetName val="MPRD"/>
      <sheetName val="제안서"/>
      <sheetName val="행정표준(1)"/>
      <sheetName val="행정표준(2)"/>
      <sheetName val="CPM챠트 "/>
      <sheetName val="KHRCPB_99"/>
      <sheetName val="Supplier Code"/>
      <sheetName val="DESIGN"/>
      <sheetName val="Front"/>
      <sheetName val="3련_BOX"/>
      <sheetName val="설_계"/>
      <sheetName val="전차선로_물량표"/>
      <sheetName val="3_일반설비"/>
      <sheetName val="_견적서"/>
      <sheetName val="단가_및_재료비"/>
      <sheetName val="플랜트_설치"/>
      <sheetName val="1_설계조건"/>
      <sheetName val="sum1_(2)"/>
      <sheetName val="단가산출서_"/>
      <sheetName val="CATCH_BASIN"/>
      <sheetName val="Cost_bd-&quot;A&quot;"/>
      <sheetName val="한강운반비"/>
      <sheetName val="버스운행안내"/>
      <sheetName val="예방접종계획"/>
      <sheetName val="근태계획서"/>
      <sheetName val="말뚝기초"/>
      <sheetName val="신길1동"/>
      <sheetName val="날개벽"/>
      <sheetName val="원가계산서구조조정"/>
      <sheetName val="CABLE (2)"/>
      <sheetName val="Assumption"/>
      <sheetName val="철콘공사"/>
      <sheetName val="본사인상전"/>
      <sheetName val="찍기"/>
      <sheetName val="피벗테이블데이터분석"/>
      <sheetName val="평균높이산출근거"/>
      <sheetName val="횡배수관위치조서"/>
      <sheetName val="자재집계"/>
      <sheetName val="AS포장복구 "/>
      <sheetName val="1TL종점(1)"/>
      <sheetName val="HANDHOLE(2)"/>
      <sheetName val="MECH HW GRP"/>
      <sheetName val="BSD_(2)"/>
      <sheetName val="표지_(2)"/>
      <sheetName val="공사비_내역"/>
      <sheetName val="맨홀수량산출"/>
      <sheetName val="가감수량"/>
      <sheetName val="결과조달"/>
      <sheetName val="기본일위"/>
      <sheetName val="2000.11월설계내역"/>
      <sheetName val="제출내역 (2)"/>
      <sheetName val="부하LOAD"/>
      <sheetName val="명파하수처리장소방"/>
      <sheetName val="명파하수처리장접지"/>
      <sheetName val="960318-1"/>
      <sheetName val="설계예산서"/>
      <sheetName val="예산내역서"/>
      <sheetName val="예정공정표"/>
      <sheetName val="총계"/>
      <sheetName val="실행예산"/>
      <sheetName val="견적사양비교표"/>
      <sheetName val="ENG_prog"/>
      <sheetName val="1차변경내역"/>
      <sheetName val="RCMinput"/>
      <sheetName val="50"/>
      <sheetName val="처리단락"/>
      <sheetName val="부산4"/>
      <sheetName val="단면상수 및 주빔설계"/>
      <sheetName val="부대토목"/>
      <sheetName val="일위대가(가설)"/>
      <sheetName val="2.단가산출서(총괄)"/>
      <sheetName val="5.일위대가"/>
      <sheetName val="수문일1"/>
      <sheetName val="향후예상"/>
      <sheetName val="1.설계기준"/>
      <sheetName val="Baby일위대가"/>
      <sheetName val="적용인원(지우지말것)"/>
      <sheetName val="영업2"/>
      <sheetName val="영업3"/>
      <sheetName val="B부대공"/>
      <sheetName val="LinerWt"/>
      <sheetName val="토공정보"/>
      <sheetName val="맨홀토공산출"/>
      <sheetName val="VXXXXX"/>
      <sheetName val="설비공사"/>
      <sheetName val="9.자재단가"/>
      <sheetName val="7.산출집계"/>
      <sheetName val="3.단가산출서"/>
      <sheetName val="4.일위산출"/>
      <sheetName val="수량집계(CATV)"/>
      <sheetName val="수량집계(CCTV)"/>
      <sheetName val="수량집계(방송설비)"/>
      <sheetName val="수량집계(전기시계)"/>
      <sheetName val="수량집계(출입통제)"/>
      <sheetName val="수량집계(통합배선)"/>
      <sheetName val="자재단가"/>
      <sheetName val="Carepaq"/>
      <sheetName val="OPT"/>
      <sheetName val="SV"/>
      <sheetName val="Macro(AT)"/>
      <sheetName val="공사내역"/>
      <sheetName val="산근(목록)"/>
      <sheetName val="ABUT수량_A1"/>
      <sheetName val="수입"/>
      <sheetName val="wall"/>
      <sheetName val="Macro1"/>
      <sheetName val="TOTAL_BOQ"/>
      <sheetName val="전기공사 산출집계"/>
      <sheetName val="전기공사 산출"/>
      <sheetName val="30신설일위대가"/>
      <sheetName val="30집계표"/>
      <sheetName val="설계명세"/>
      <sheetName val="수량명세서"/>
      <sheetName val="빌딩 안내"/>
      <sheetName val="단가산출2"/>
      <sheetName val="슬래브(유곡)"/>
      <sheetName val="OPT7"/>
      <sheetName val="물량산출근거"/>
      <sheetName val="인사자료총집계"/>
      <sheetName val="인테리어내역"/>
      <sheetName val="투찰추정"/>
      <sheetName val="설계내역서"/>
      <sheetName val="물가대비표"/>
      <sheetName val="00000000"/>
      <sheetName val="10000000"/>
      <sheetName val="가로등"/>
      <sheetName val="관급"/>
      <sheetName val="자압1"/>
      <sheetName val="표지-1"/>
      <sheetName val="표지-2"/>
      <sheetName val="조 도"/>
      <sheetName val="단위세대(아파트)"/>
      <sheetName val="단위세대"/>
      <sheetName val="아파트"/>
      <sheetName val="부하"/>
      <sheetName val="MCC"/>
      <sheetName val="입상전력간선"/>
      <sheetName val="변압기용량계산서"/>
      <sheetName val="기기용량"/>
      <sheetName val="축전지용량"/>
      <sheetName val="밧데리및정류기"/>
      <sheetName val="발전기용량계산서"/>
      <sheetName val="UPS 계산서"/>
      <sheetName val="TRAY 계산"/>
      <sheetName val="전압강하"/>
      <sheetName val="승강기계산서"/>
      <sheetName val="조명밀도(갑)"/>
      <sheetName val="조명밀도(을)"/>
      <sheetName val="LED조명 (갑)"/>
      <sheetName val="LED조명(을)"/>
      <sheetName val="전화회선"/>
      <sheetName val="방송 AMP"/>
      <sheetName val="MOTER"/>
      <sheetName val="WIRE"/>
      <sheetName val="MCCB(차단기)"/>
      <sheetName val="0000000"/>
      <sheetName val="토 적 표"/>
      <sheetName val="20관리비율"/>
      <sheetName val="1련,2련"/>
      <sheetName val="감가상각"/>
      <sheetName val="설계서(설치)"/>
      <sheetName val="FAB별"/>
      <sheetName val="매입세"/>
      <sheetName val="SP-B1"/>
      <sheetName val="집수정단"/>
      <sheetName val="명파하수처리장통신"/>
      <sheetName val="Final"/>
      <sheetName val="예비품"/>
      <sheetName val="1안내역"/>
      <sheetName val="h-013211-2"/>
      <sheetName val="G.R300경비"/>
      <sheetName val="P-산#1-1(WOWA1)"/>
      <sheetName val="중량산출"/>
      <sheetName val="횡배수공토공집계"/>
      <sheetName val="WS"/>
      <sheetName val="전체집계"/>
      <sheetName val="실행"/>
      <sheetName val="가도공"/>
      <sheetName val="암거공"/>
      <sheetName val="적용(기계)"/>
      <sheetName val="TNHCHINH"/>
      <sheetName val="TONG HOP VL-NC TT"/>
      <sheetName val="CHITIET VL-NC-TT -1p"/>
      <sheetName val="TDTKP1"/>
      <sheetName val="KPVC-BD "/>
      <sheetName val="전선 및 전선관"/>
      <sheetName val="대비"/>
      <sheetName val="조내역"/>
      <sheetName val="화산경계"/>
      <sheetName val="설계명세서(선로)"/>
      <sheetName val="JUCKEYK"/>
      <sheetName val="KSHAHU-6"/>
      <sheetName val="노임이"/>
      <sheetName val="음료실행"/>
      <sheetName val="PS실 추가 공사"/>
      <sheetName val="공예을"/>
      <sheetName val="할증 "/>
      <sheetName val="절단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일위대가1"/>
      <sheetName val="일위대가2"/>
      <sheetName val="감독차량비"/>
      <sheetName val="단가조사서"/>
      <sheetName val="노무단가 (할증제외)"/>
      <sheetName val="노무단가(15%할증) "/>
      <sheetName val="안영(지명표지판일위대가)"/>
      <sheetName val="공종별집계표"/>
      <sheetName val="외부산출서"/>
      <sheetName val="단가대비표"/>
      <sheetName val="노무비(참고)"/>
      <sheetName val="노임단가"/>
      <sheetName val="내역서"/>
      <sheetName val="원가계산서"/>
      <sheetName val="위치조서"/>
      <sheetName val="수로단위수량"/>
      <sheetName val="Macro1"/>
      <sheetName val="통신내역서"/>
      <sheetName val="실행철강하도"/>
      <sheetName val="2공구(안영)단가산출-1"/>
      <sheetName val="Sheet1"/>
      <sheetName val="집계표1"/>
      <sheetName val="터널조도"/>
      <sheetName val="2000년1차"/>
      <sheetName val="2000전체분"/>
      <sheetName val="ITEM"/>
      <sheetName val="MOTOR"/>
      <sheetName val="입출재고현황 (2)"/>
      <sheetName val="DATA"/>
      <sheetName val="을"/>
      <sheetName val="과천MAIN"/>
      <sheetName val="입상내역"/>
      <sheetName val="주형"/>
      <sheetName val="빌딩 안내"/>
      <sheetName val="일위목록"/>
      <sheetName val="품셈총괄표"/>
      <sheetName val="969910( R)"/>
      <sheetName val="개요"/>
      <sheetName val="비용적자료"/>
      <sheetName val="rate"/>
      <sheetName val="Macro(차단기)"/>
      <sheetName val="ABUT수량-A1"/>
      <sheetName val="현장지지물물량"/>
      <sheetName val="기본단가표"/>
      <sheetName val="13LPMCC"/>
      <sheetName val="기준가"/>
      <sheetName val="정리부09"/>
      <sheetName val="화재 탐지 설비"/>
      <sheetName val="내역"/>
      <sheetName val="개략"/>
      <sheetName val="BID"/>
      <sheetName val="세원견적서"/>
      <sheetName val="I一般比"/>
      <sheetName val="토목품셈"/>
      <sheetName val="우수"/>
      <sheetName val="기기점검대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FB25JN"/>
      <sheetName val="SN-PF25T"/>
      <sheetName val="FB25CN"/>
      <sheetName val="GF25JN"/>
      <sheetName val="GF25JCN"/>
      <sheetName val="GC25JN"/>
      <sheetName val="GC50JN"/>
      <sheetName val="UF25GP"/>
      <sheetName val="UF25HP"/>
      <sheetName val="UF25TP"/>
      <sheetName val="UF50GP"/>
      <sheetName val="PL25GP"/>
      <sheetName val="PL50GP"/>
      <sheetName val="PF25GP"/>
      <sheetName val="PF50GP"/>
      <sheetName val="DP2T"/>
      <sheetName val="DM1T"/>
      <sheetName val="BS"/>
      <sheetName val="SB"/>
      <sheetName val="AF(벽체)"/>
      <sheetName val="AF(천정)"/>
      <sheetName val="고무안전리브"/>
      <sheetName val="라왕몰딩"/>
      <sheetName val="라왕걸레받이"/>
      <sheetName val="유공ST'L RIB"/>
      <sheetName val="코펜하겐리브"/>
      <sheetName val="방음문(편개)"/>
      <sheetName val="방음문(양개)"/>
      <sheetName val="방음시창1M2 이하"/>
      <sheetName val="방음시창1M2 이상"/>
      <sheetName val="방음시창KSW1P"/>
      <sheetName val="방음시창KSW2P"/>
      <sheetName val="방음시창KSW3P"/>
      <sheetName val="벽체방진기"/>
      <sheetName val="벽돌지지기"/>
      <sheetName val="벽지지브라켓트"/>
      <sheetName val="흡음루바"/>
      <sheetName val="ACCESS FL."/>
      <sheetName val="ACCESS FL. (2)"/>
      <sheetName val="TECTUM"/>
      <sheetName val="TEC+FAB마감"/>
      <sheetName val="GC50JN (2)"/>
      <sheetName val="FB25JCN  (2)"/>
      <sheetName val="Sheet1"/>
      <sheetName val="수로단위수량"/>
      <sheetName val="일위대가양식"/>
      <sheetName val="과천MAIN"/>
      <sheetName val="SLAB"/>
      <sheetName val="입찰결과보고"/>
      <sheetName val="입출재고현황 (2)"/>
      <sheetName val="DATA"/>
      <sheetName val="인건-측정"/>
      <sheetName val="내역"/>
      <sheetName val="위치조서"/>
      <sheetName val="SG"/>
      <sheetName val="자재중량"/>
      <sheetName val="일위대가서식"/>
      <sheetName val="기계설비"/>
      <sheetName val="LOPCALC"/>
      <sheetName val="하수급견적대비"/>
      <sheetName val="2000전체분"/>
      <sheetName val="2000년1차"/>
      <sheetName val="실행철강하도"/>
      <sheetName val="원가계산서"/>
      <sheetName val="개요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입찰결과보고"/>
      <sheetName val="포기각서"/>
      <sheetName val="대외공문"/>
      <sheetName val="도급표준계약서"/>
      <sheetName val="하도급계약서"/>
      <sheetName val="Sheet5"/>
      <sheetName val="FB25JN"/>
      <sheetName val="일위대가양식"/>
      <sheetName val="위치조서"/>
      <sheetName val="DATA"/>
      <sheetName val="개요"/>
    </sheetNames>
    <sheetDataSet>
      <sheetData sheetId="0"/>
      <sheetData sheetId="1">
        <row r="3">
          <cell r="D3" t="str">
            <v>황룡지구 배수개선사업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수산정"/>
      <sheetName val="기타산정"/>
      <sheetName val="조정산출표"/>
      <sheetName val="적용비대상"/>
      <sheetName val="적용건축"/>
      <sheetName val="지수건축"/>
      <sheetName val="건축목록"/>
      <sheetName val="설비목록"/>
      <sheetName val="기계경비991"/>
      <sheetName val="입찰결과보고"/>
      <sheetName val="FB25JN"/>
      <sheetName val="위치조서"/>
      <sheetName val="Sheet1"/>
      <sheetName val="일위대가양식"/>
      <sheetName val="주소"/>
      <sheetName val="적용토목"/>
      <sheetName val="외주비"/>
      <sheetName val="J형측구단위수량"/>
      <sheetName val="DATA"/>
      <sheetName val="차액보증"/>
      <sheetName val="철거산출근거"/>
      <sheetName val="A LINE"/>
      <sheetName val="원가"/>
      <sheetName val="일위(설)"/>
      <sheetName val="내역서"/>
      <sheetName val="경산"/>
      <sheetName val="인상효1"/>
      <sheetName val="총집계표"/>
      <sheetName val="ABUT수량-A1"/>
      <sheetName val="일용노임단가"/>
      <sheetName val="Y-WORK"/>
      <sheetName val="단가조사"/>
      <sheetName val="Baby일위대가"/>
      <sheetName val="아파트건축"/>
      <sheetName val="데리네이타현황"/>
      <sheetName val="견적서1"/>
      <sheetName val="설계명세서"/>
      <sheetName val="예산명세서"/>
      <sheetName val="자료입력"/>
      <sheetName val="저"/>
      <sheetName val="물가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음창"/>
      <sheetName val="방음창-3P"/>
      <sheetName val="ST'L방음문"/>
      <sheetName val="SUS방음문"/>
      <sheetName val="레쟈방음문"/>
      <sheetName val="FB25JCN "/>
      <sheetName val="FB25JN"/>
      <sheetName val="UF25JN"/>
      <sheetName val="FB25CN"/>
      <sheetName val="DP2T"/>
      <sheetName val="DP4T"/>
      <sheetName val="ACCESS FL."/>
      <sheetName val="ACCESS FL(2)"/>
      <sheetName val="FB25CN-1"/>
      <sheetName val="입찰결과보고"/>
      <sheetName val="일위대가양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원가"/>
      <sheetName val="건축"/>
      <sheetName val="비교건축"/>
      <sheetName val="전기"/>
      <sheetName val="조경원가"/>
      <sheetName val="비교조경"/>
      <sheetName val="기존"/>
      <sheetName val="전기소방"/>
      <sheetName val="설계원가계산서"/>
      <sheetName val="통신"/>
      <sheetName val="총괄"/>
      <sheetName val="내역서"/>
      <sheetName val="철거산출근거"/>
      <sheetName val="경산"/>
      <sheetName val="정식보고원가"/>
      <sheetName val="DATA"/>
      <sheetName val="입찰결과보고"/>
      <sheetName val="적용건축"/>
      <sheetName val="단가표 (2)"/>
      <sheetName val="외주비"/>
      <sheetName val="일위대가서식"/>
      <sheetName val="J형측구단위수량"/>
      <sheetName val="백암비스타내역"/>
      <sheetName val="front"/>
      <sheetName val="서식"/>
      <sheetName val="재료표"/>
      <sheetName val="관급단가"/>
      <sheetName val="FB25JN"/>
      <sheetName val="가도공"/>
      <sheetName val="입찰안"/>
      <sheetName val="한강운반비"/>
      <sheetName val="기계설비"/>
      <sheetName val="개소별수량산출"/>
      <sheetName val="설계명세서"/>
      <sheetName val="예산명세서"/>
      <sheetName val="자료입력"/>
      <sheetName val="N賃率-職"/>
      <sheetName val="내역"/>
      <sheetName val="일위목록"/>
      <sheetName val="직노"/>
      <sheetName val="2001년일위대가"/>
      <sheetName val="대치판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"/>
      <sheetName val="갑지"/>
      <sheetName val="공사원가계산서"/>
      <sheetName val="총내역서"/>
      <sheetName val="내역서"/>
      <sheetName val="일위대가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DATA"/>
      <sheetName val="데이타"/>
      <sheetName val="조명율표"/>
      <sheetName val="2000.11월설계내역"/>
      <sheetName val="준검 내역서"/>
      <sheetName val="1.수,변전설비 (1차작업)"/>
      <sheetName val="2.옥외전력(침매함-수정-1차작업)"/>
      <sheetName val="3.옥외전력(사장교-수정-1차작업)"/>
      <sheetName val="4.인입선교체공사"/>
      <sheetName val="노임"/>
      <sheetName val="Sheet1"/>
      <sheetName val="기둥(원형)"/>
      <sheetName val="예정(3)"/>
      <sheetName val="동원(3)"/>
      <sheetName val="기성내역"/>
      <sheetName val="원가계산서 "/>
      <sheetName val="Sheet3"/>
      <sheetName val="MOTOR"/>
      <sheetName val="실행간접비용"/>
      <sheetName val="중기일위대가"/>
      <sheetName val="총 원가계산"/>
      <sheetName val="#REF"/>
      <sheetName val="laroux"/>
      <sheetName val="일위,한전"/>
      <sheetName val="원가계산서"/>
      <sheetName val="단가조사서"/>
      <sheetName val="1. 가로등 설치공사(2공구)"/>
      <sheetName val="내역서 (2)"/>
      <sheetName val="전체"/>
      <sheetName val="CODE"/>
      <sheetName val="실행철강하도"/>
      <sheetName val="노임단가"/>
      <sheetName val="수목단가"/>
      <sheetName val="시설수량표"/>
      <sheetName val="식재수량표"/>
      <sheetName val="자재단가"/>
      <sheetName val="을"/>
      <sheetName val="2공구산출내역"/>
      <sheetName val="터파기및재료"/>
      <sheetName val="강교(Sub)"/>
      <sheetName val="부대내역"/>
      <sheetName val="2000,9월 일위"/>
      <sheetName val="일위목록"/>
      <sheetName val="일위대가표"/>
      <sheetName val="가로등"/>
      <sheetName val="J형측구단위수량"/>
      <sheetName val="°©Áö"/>
      <sheetName val="°ø»ç¿ø°¡°è»ê¼­"/>
      <sheetName val="ÃÑ³»¿ª¼­"/>
      <sheetName val="³»¿ª¼­"/>
      <sheetName val="ÀÏÀ§´ë°¡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2.대외공문"/>
      <sheetName val="9GNG운반"/>
      <sheetName val="일위대가(가설)"/>
      <sheetName val="인건-측정"/>
      <sheetName val="산출7-본선2"/>
      <sheetName val="산출7-본선3"/>
      <sheetName val="Y-WORK"/>
      <sheetName val="수량산출"/>
      <sheetName val="MACRO(MCC)"/>
      <sheetName val="현황CODE"/>
      <sheetName val="손익현황"/>
      <sheetName val="48수량"/>
      <sheetName val="49일위"/>
      <sheetName val="22일위"/>
      <sheetName val="갈현동"/>
      <sheetName val="단락전류-A"/>
      <sheetName val="수량산출서"/>
      <sheetName val="터널조도"/>
      <sheetName val="단가비교표"/>
      <sheetName val="안정검토(온1)"/>
      <sheetName val="중간부"/>
      <sheetName val="배수내역"/>
      <sheetName val="설계내역서"/>
      <sheetName val="평교-내역"/>
      <sheetName val="조도계산서1"/>
      <sheetName val="기초자료"/>
      <sheetName val="샘플표지"/>
      <sheetName val="49수량"/>
      <sheetName val="건축내역서"/>
      <sheetName val="설비내역서"/>
      <sheetName val="전기내역서"/>
      <sheetName val="집계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단가"/>
      <sheetName val="공구원가계산"/>
      <sheetName val="토사(PE)"/>
      <sheetName val="공사개요"/>
      <sheetName val="표지 (2)"/>
      <sheetName val="건축-물가변동"/>
      <sheetName val="표지"/>
      <sheetName val="목차"/>
      <sheetName val="1. 공사개요"/>
      <sheetName val="2. 현장기구조직표"/>
      <sheetName val="3. 공사진행[터,토,구]"/>
      <sheetName val="4. 투자대비"/>
      <sheetName val="5. 실행대비"/>
      <sheetName val="6. 금월분 투자대비"/>
      <sheetName val="2002년도 사업계획서"/>
      <sheetName val="결재란"/>
      <sheetName val="1,2공구원가계산서"/>
      <sheetName val="1공구산출내역서"/>
      <sheetName val="실행내역"/>
      <sheetName val="정부노임단가"/>
      <sheetName val="현장관리비"/>
      <sheetName val="말뚝지지력산정"/>
      <sheetName val="JUCKEYK"/>
      <sheetName val="산업개발안내서"/>
      <sheetName val="타공종이기"/>
      <sheetName val="약품공급2"/>
      <sheetName val="IT-BAT"/>
      <sheetName val="소야공정계획표"/>
      <sheetName val="매립"/>
      <sheetName val="JUCK"/>
      <sheetName val="금액"/>
      <sheetName val="현장관리비 산출내역"/>
      <sheetName val="106C0300"/>
      <sheetName val="기흥하도용"/>
      <sheetName val="견적대비표"/>
      <sheetName val="집수정(600-700)"/>
      <sheetName val="요율"/>
      <sheetName val="노임(1차)"/>
      <sheetName val="DT"/>
      <sheetName val="롤러"/>
      <sheetName val="BH"/>
      <sheetName val="펌프차타설"/>
      <sheetName val="약품설비"/>
      <sheetName val="계좌번호"/>
      <sheetName val="공사현황 "/>
      <sheetName val="투입현황"/>
      <sheetName val="중,재,유청구"/>
      <sheetName val="직영"/>
      <sheetName val="투입현황 (LG)"/>
      <sheetName val="중기가동"/>
      <sheetName val="외주기성(이재남)"/>
      <sheetName val="사토운반"/>
      <sheetName val="외주모작투입"/>
      <sheetName val="외주공제현황"/>
      <sheetName val="용역 (2)"/>
      <sheetName val="목공"/>
      <sheetName val="철근"/>
      <sheetName val="이상헌"/>
      <sheetName val="경유사용내역  "/>
      <sheetName val="휘발유사용내역   (2)"/>
      <sheetName val="관로분포도"/>
      <sheetName val="2000년1차"/>
      <sheetName val="AS복구"/>
      <sheetName val="중기터파기"/>
      <sheetName val="변수값"/>
      <sheetName val="중기상차"/>
      <sheetName val="참조-(1)"/>
      <sheetName val="단가조사"/>
      <sheetName val="접속도로"/>
      <sheetName val="공내역"/>
      <sheetName val="설명"/>
      <sheetName val="주형"/>
      <sheetName val="내역"/>
      <sheetName val="Sheet2"/>
      <sheetName val="견적단가"/>
      <sheetName val="POL6차-PIPING"/>
      <sheetName val="2000.11¿ù¼³°è³»¿ª"/>
      <sheetName val="ÁØ°Ë ³»¿ª¼­"/>
      <sheetName val="BQ"/>
      <sheetName val="신표지1"/>
      <sheetName val="설계조건"/>
      <sheetName val="단가산출"/>
      <sheetName val="부안일위"/>
      <sheetName val="b_balju_cho"/>
      <sheetName val="설계명세서"/>
      <sheetName val="기초자료입력"/>
      <sheetName val="2000전체분"/>
      <sheetName val="일반토공견적"/>
      <sheetName val="금광1터널"/>
      <sheetName val="CM 1"/>
      <sheetName val="STBOX"/>
      <sheetName val="링크해지용"/>
      <sheetName val="일위집계표"/>
      <sheetName val="단가일람"/>
      <sheetName val="조경일람"/>
      <sheetName val="외주"/>
      <sheetName val="비목군분류일위"/>
      <sheetName val="2000_11월설계내역"/>
      <sheetName val="준검_내역서"/>
      <sheetName val="1_수,변전설비_(1차작업)"/>
      <sheetName val="2_옥외전력(침매함-수정-1차작업)"/>
      <sheetName val="3_옥외전력(사장교-수정-1차작업)"/>
      <sheetName val="4_인입선교체공사"/>
      <sheetName val="1__가로등_설치공사(2공구)"/>
      <sheetName val="내역서_(2)"/>
      <sheetName val="2000,9월_일위"/>
      <sheetName val="기본단가표"/>
      <sheetName val="단가산출서"/>
      <sheetName val="접속도로1"/>
      <sheetName val="식재인부"/>
      <sheetName val="FA설치명세"/>
      <sheetName val="6호기"/>
      <sheetName val="1안"/>
      <sheetName val="설계서(7)"/>
      <sheetName val="관급"/>
      <sheetName val="CC16-내역서"/>
      <sheetName val="Customer Databas"/>
      <sheetName val="직노"/>
      <sheetName val="주소록"/>
      <sheetName val="방지책개소별명세"/>
      <sheetName val="신우"/>
      <sheetName val="ABUT수량-A1"/>
      <sheetName val="I一般比"/>
      <sheetName val="산출내역서"/>
      <sheetName val="동해title"/>
      <sheetName val="인부신상자료"/>
      <sheetName val="가감수량"/>
      <sheetName val="맨홀수량산출"/>
      <sheetName val="woo(mac)"/>
      <sheetName val="본체"/>
      <sheetName val="날개벽"/>
      <sheetName val="암거단위"/>
      <sheetName val="원가계산"/>
      <sheetName val="SG"/>
      <sheetName val="자동제어"/>
      <sheetName val="MAT_N048"/>
      <sheetName val="에너지동"/>
      <sheetName val="산출2-기기동력"/>
      <sheetName val="단가 및 재료비"/>
      <sheetName val="웅진교-S2"/>
      <sheetName val="200"/>
      <sheetName val="전기"/>
      <sheetName val="H-PILE수량집계"/>
      <sheetName val="노무비"/>
      <sheetName val="입찰안"/>
      <sheetName val="입고"/>
      <sheetName val="결재갑지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단가표"/>
      <sheetName val="DATE"/>
      <sheetName val="변경도급"/>
      <sheetName val="하부철근수량"/>
      <sheetName val="제출내역 (2)"/>
      <sheetName val="설계"/>
      <sheetName val="일위대가(건축)"/>
      <sheetName val="내역서 제출"/>
      <sheetName val="토공(1)"/>
      <sheetName val="일용직"/>
      <sheetName val="일반공사"/>
      <sheetName val="ITEM"/>
      <sheetName val="정공공사"/>
      <sheetName val="주안3차A-A"/>
      <sheetName val="단면가정"/>
      <sheetName val="원가"/>
      <sheetName val="VXXXXXX"/>
      <sheetName val="실내기 사양 (부경대)"/>
      <sheetName val="경상비"/>
      <sheetName val="1SPAN"/>
      <sheetName val="산근"/>
      <sheetName val="일위대가목차"/>
      <sheetName val="견적율"/>
      <sheetName val="인건비"/>
      <sheetName val="B부대공"/>
      <sheetName val="공사비"/>
      <sheetName val="횡 연장"/>
      <sheetName val="코드"/>
      <sheetName val="내역갑지"/>
      <sheetName val="1.설계조건"/>
      <sheetName val="Sheet5"/>
      <sheetName val="재료집계"/>
      <sheetName val="위치조서"/>
      <sheetName val="검수1"/>
      <sheetName val="공기1"/>
      <sheetName val="승무1"/>
      <sheetName val="쓰레기1"/>
      <sheetName val="운전1"/>
      <sheetName val="전삭고1"/>
      <sheetName val="정문1"/>
      <sheetName val="중앙1"/>
      <sheetName val="차륜1"/>
      <sheetName val="차체1"/>
      <sheetName val="폐수1"/>
      <sheetName val="환경1"/>
      <sheetName val="환경정비1"/>
      <sheetName val="예산명세서"/>
      <sheetName val="자료입력"/>
      <sheetName val="G.R300경비"/>
      <sheetName val="가감수량(2호)"/>
      <sheetName val="맨홀수량산출(2호)"/>
      <sheetName val="입력"/>
      <sheetName val="전선 및 전선관"/>
      <sheetName val="간접비계산"/>
      <sheetName val="산출내역서집계표"/>
      <sheetName val="기술자료 (연수)"/>
      <sheetName val="설비"/>
      <sheetName val="기준액"/>
      <sheetName val="수량산출(수평맹암거)"/>
      <sheetName val="내역서01"/>
      <sheetName val="보건노"/>
      <sheetName val="직원인원"/>
      <sheetName val="4)유동표"/>
      <sheetName val="재료비"/>
      <sheetName val="Module1"/>
      <sheetName val="자재일위(경)"/>
      <sheetName val="유치원내역"/>
      <sheetName val="Macro2"/>
      <sheetName val="Macro1"/>
      <sheetName val="DANGA"/>
      <sheetName val="별표 "/>
      <sheetName val="노임이"/>
      <sheetName val="여과지동"/>
      <sheetName val="입찰"/>
      <sheetName val="현경"/>
      <sheetName val="신규보류입력"/>
      <sheetName val="이름정의"/>
      <sheetName val="8.석축단위(H=1.5M)"/>
      <sheetName val="관급자재대"/>
      <sheetName val="중기사용료"/>
      <sheetName val="BID"/>
      <sheetName val="역T형교대(말뚝기초)"/>
      <sheetName val="공통가설"/>
      <sheetName val="적용률"/>
      <sheetName val="부하계산서"/>
      <sheetName val="M_F"/>
      <sheetName val="Graph (LGEN)"/>
      <sheetName val="out_prog"/>
      <sheetName val="선적schedule (2)"/>
      <sheetName val="산#3-1"/>
      <sheetName val="산#3-2"/>
      <sheetName val="산#3-2-2"/>
      <sheetName val="RFP002"/>
      <sheetName val="건축일위"/>
      <sheetName val="그라우팅일위"/>
      <sheetName val="Proposal"/>
      <sheetName val="일위대가(1)"/>
      <sheetName val="대림경상68억"/>
      <sheetName val="COPING"/>
      <sheetName val="차액보증"/>
      <sheetName val="건축내역"/>
      <sheetName val="DAN"/>
      <sheetName val="백호우계수"/>
      <sheetName val="초기화면"/>
      <sheetName val="관급자재"/>
      <sheetName val="교량전기"/>
      <sheetName val="단"/>
      <sheetName val="인사자료총집계"/>
      <sheetName val="실행예산"/>
      <sheetName val="공사비집계"/>
      <sheetName val="Front"/>
      <sheetName val="wall"/>
      <sheetName val="Sheet13"/>
      <sheetName val="Sheet14"/>
      <sheetName val="전기자료"/>
      <sheetName val="한강운반비"/>
      <sheetName val="의왕내역"/>
      <sheetName val="7단가"/>
      <sheetName val="BEND LOSS"/>
      <sheetName val="ilch"/>
      <sheetName val="기계경비일람"/>
      <sheetName val="BEND_LOSS"/>
      <sheetName val="설직재-1"/>
      <sheetName val="단가(1)"/>
      <sheetName val="EJ"/>
      <sheetName val="변압기 및 발전기 용량"/>
      <sheetName val="기자재대비표"/>
      <sheetName val="연습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Sheet1 (2)"/>
      <sheetName val="자단"/>
      <sheetName val="건              축"/>
      <sheetName val="단가대비표"/>
      <sheetName val="실행내역 "/>
      <sheetName val="guard(mac)"/>
      <sheetName val="MYUN(MAC)"/>
      <sheetName val="tggwan(mac)"/>
      <sheetName val="suk(mac)"/>
      <sheetName val="1월"/>
      <sheetName val="단가산출서(기계)"/>
      <sheetName val="덕소내역"/>
      <sheetName val="전기혼잡제경비(45)"/>
      <sheetName val="구체"/>
      <sheetName val="좌측날개벽"/>
      <sheetName val="우측날개벽"/>
      <sheetName val="자탐"/>
      <sheetName val="3.바닥판설계"/>
      <sheetName val="단위가격"/>
      <sheetName val="시중노임(공사)"/>
      <sheetName val="사급자재"/>
      <sheetName val="일반수량총괄"/>
      <sheetName val="TEL"/>
      <sheetName val="Macro(차단기)"/>
      <sheetName val="담장산출"/>
      <sheetName val="FB25JN"/>
      <sheetName val="직재"/>
      <sheetName val="재집"/>
      <sheetName val="내역서1"/>
      <sheetName val="Total"/>
      <sheetName val="과세표준율-2"/>
      <sheetName val="면적분양가"/>
      <sheetName val="분양면적(1123)"/>
      <sheetName val="출력소스"/>
      <sheetName val="유림골조"/>
      <sheetName val="갑지(추정)"/>
      <sheetName val="간접비"/>
      <sheetName val="문학간접"/>
      <sheetName val="간접"/>
      <sheetName val="C3"/>
      <sheetName val="빌딩 안내"/>
      <sheetName val="N賃率-職"/>
      <sheetName val="자료"/>
      <sheetName val="간선"/>
      <sheetName val="전압"/>
      <sheetName val="조도"/>
      <sheetName val="동력"/>
      <sheetName val="연부97-1"/>
      <sheetName val="tong du toan"/>
      <sheetName val="실행(표지,갑,을)"/>
      <sheetName val="계수시트"/>
      <sheetName val="지급자재"/>
      <sheetName val="날개벽수량표"/>
      <sheetName val="D&amp;P특기사항"/>
      <sheetName val="예비품"/>
      <sheetName val="토공집계표"/>
      <sheetName val="접지수량"/>
      <sheetName val="P-산#1-1(WOWA1)"/>
      <sheetName val="조경"/>
      <sheetName val="간선계산"/>
      <sheetName val="말고개터널조명전압강하"/>
      <sheetName val="총괄"/>
      <sheetName val="학생내역"/>
      <sheetName val="21301동"/>
      <sheetName val="건축공정"/>
      <sheetName val="방진공정"/>
      <sheetName val="조경공정"/>
      <sheetName val="수량산출(음암)"/>
      <sheetName val="돌담교 상부수량"/>
      <sheetName val="Ekog10"/>
      <sheetName val="AHU집계"/>
      <sheetName val="공조기휀"/>
      <sheetName val="공조기"/>
      <sheetName val="A"/>
      <sheetName val="원형1호맨홀토공수량"/>
      <sheetName val="2003상반기노임기준"/>
      <sheetName val="투찰"/>
      <sheetName val="당초"/>
      <sheetName val="토공,철콘"/>
      <sheetName val="공문"/>
      <sheetName val="98수문일위"/>
      <sheetName val="2_대외공문"/>
      <sheetName val="총_원가계산"/>
      <sheetName val="현장지지물물량"/>
      <sheetName val="S.중기사용료"/>
      <sheetName val="입력란"/>
      <sheetName val="97노임단가"/>
      <sheetName val="통신단가조사"/>
      <sheetName val="금액내역서"/>
      <sheetName val="대치판정"/>
      <sheetName val="산출(전주P7)"/>
      <sheetName val="1차증가원가계산"/>
      <sheetName val="몰탈재료산출"/>
      <sheetName val="평가내역"/>
      <sheetName val="설비공사"/>
      <sheetName val="영업.일1"/>
      <sheetName val="설계서(본관)"/>
      <sheetName val="3차설계"/>
      <sheetName val="가공비"/>
      <sheetName val="품셈집계표"/>
      <sheetName val="자재조사표(참고용)"/>
      <sheetName val="일반부표집계표"/>
      <sheetName val="PW3"/>
      <sheetName val="PW4"/>
      <sheetName val="SC1"/>
      <sheetName val="PM"/>
      <sheetName val="TR"/>
      <sheetName val="1"/>
      <sheetName val="설계내역"/>
      <sheetName val="(A)내역서"/>
      <sheetName val="정보매체A동"/>
      <sheetName val="982월원안"/>
      <sheetName val="1.수인터널"/>
      <sheetName val="nys"/>
      <sheetName val="001"/>
      <sheetName val="갑지1"/>
      <sheetName val="을지"/>
      <sheetName val="품셈총괄표"/>
      <sheetName val="(14)전기품셈정산"/>
      <sheetName val="(12)전기경비"/>
      <sheetName val="예산총괄"/>
      <sheetName val="설계예산서(2_소천우회토목)"/>
      <sheetName val="토공"/>
      <sheetName val="Sheet1 (3)"/>
      <sheetName val="969910( R)"/>
      <sheetName val="관람석제출"/>
      <sheetName val="남양시작동010313100%"/>
      <sheetName val="기기리스트"/>
      <sheetName val="견적의뢰서"/>
      <sheetName val="일위대가(목록)"/>
      <sheetName val="내역(포장)"/>
      <sheetName val="5호광장_(만점)"/>
      <sheetName val="인천국제_(만점)_(2)"/>
      <sheetName val="LOPCALC"/>
      <sheetName val="주현(해보)"/>
      <sheetName val="주현(영광)"/>
      <sheetName val="철거산출근거"/>
      <sheetName val="김남권내역9"/>
      <sheetName val="전차선로 물량표"/>
      <sheetName val="loading"/>
      <sheetName val="설계산출표지"/>
      <sheetName val="우각부보강"/>
      <sheetName val="MAT"/>
      <sheetName val="각형맨홀"/>
      <sheetName val="3.골재원검토의견서 갑지"/>
      <sheetName val="일위대가목록"/>
      <sheetName val="견"/>
      <sheetName val="철콘견적"/>
      <sheetName val="과천MAIN"/>
      <sheetName val="Piping(Methanol)"/>
      <sheetName val="hvac(제어동)"/>
      <sheetName val="교각1"/>
      <sheetName val="TDI ISBL"/>
      <sheetName val="TIE-INS"/>
      <sheetName val="48일위"/>
      <sheetName val="22수량"/>
      <sheetName val="특별교실"/>
      <sheetName val="화재 탐지 설비"/>
      <sheetName val="실행분석표"/>
      <sheetName val="조명시설"/>
      <sheetName val="설계예산서"/>
      <sheetName val="일반수량"/>
      <sheetName val="신규품셈목차"/>
      <sheetName val="시중노임단가"/>
      <sheetName val="Chart1"/>
      <sheetName val="단위내역목록"/>
      <sheetName val="단위내역서"/>
      <sheetName val="총괄표"/>
      <sheetName val="원가(1)"/>
      <sheetName val="원가(2)"/>
      <sheetName val="공량산출서"/>
      <sheetName val="간지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설계서"/>
      <sheetName val="CABLE SIZE-3"/>
      <sheetName val="Sheet6"/>
      <sheetName val="손익분석"/>
      <sheetName val="b_balju"/>
      <sheetName val="골조시행"/>
      <sheetName val="주경기-오배수"/>
      <sheetName val="ÀÏÀ§,ÇÑÀü"/>
      <sheetName val="¿ø°¡°è»ê¼­"/>
      <sheetName val="´Ü°¡Á¶»ç¼­"/>
      <sheetName val="1. °¡·Îµî ¼³Ä¡°ø»ç(2°ø±¸)"/>
      <sheetName val="³»¿ª¼­ (2)"/>
      <sheetName val="Ã¶°Å»êÃâ±Ù°Å"/>
      <sheetName val="Àü±â"/>
      <sheetName val="2F 회의실견적(5_14 일대)"/>
      <sheetName val="NNV"/>
      <sheetName val="내역(입찰)"/>
      <sheetName val="관기성공.내"/>
      <sheetName val="우수"/>
      <sheetName val="내역서을지"/>
      <sheetName val="설명서"/>
      <sheetName val="예정공정표"/>
      <sheetName val="입출재고현황 (2)"/>
      <sheetName val="플랜트 설치"/>
      <sheetName val="ⴭⴭⴭⴭ"/>
      <sheetName val="2006기계경비산출표"/>
      <sheetName val="교각계산"/>
      <sheetName val="참조"/>
      <sheetName val="참조 (2)"/>
      <sheetName val="실행"/>
      <sheetName val="FORM-0"/>
      <sheetName val="SHL"/>
      <sheetName val="내역표지"/>
      <sheetName val="설계기준"/>
      <sheetName val="내역1"/>
      <sheetName val="청주(철골발주의뢰서)"/>
      <sheetName val="48일위(기존)"/>
      <sheetName val="기계경비"/>
      <sheetName val="상수도토공집계표"/>
      <sheetName val="제경비"/>
      <sheetName val="공통"/>
      <sheetName val="반중력식옹벽3.5"/>
      <sheetName val="감액총괄표"/>
      <sheetName val="2-1. 경관조명 내역총괄표"/>
      <sheetName val="DB"/>
      <sheetName val="수로교총재료집계"/>
      <sheetName val="전력"/>
      <sheetName val="단위세대물량"/>
      <sheetName val="도급"/>
      <sheetName val="세부내역"/>
      <sheetName val="U-TYPE(1)"/>
      <sheetName val="노임,재료비"/>
      <sheetName val="Macro(전선)"/>
      <sheetName val="공통단가"/>
      <sheetName val="운반비"/>
      <sheetName val="2000양배"/>
      <sheetName val="일위_한전"/>
      <sheetName val="일위_파일"/>
      <sheetName val="_REF"/>
      <sheetName val="단위단가"/>
      <sheetName val="건축"/>
      <sheetName val="제잡비"/>
      <sheetName val="횡배수관집현황(2공구)"/>
      <sheetName val="설 계"/>
      <sheetName val="수문일1"/>
      <sheetName val="품셈TABLE"/>
      <sheetName val="소방내역서"/>
      <sheetName val="일(4)"/>
      <sheetName val="1단계"/>
      <sheetName val="부대공Ⅱ"/>
      <sheetName val="Upgrades pricing"/>
      <sheetName val="조건"/>
      <sheetName val="PART_DISCOUNT"/>
      <sheetName val="3.공통공사대비"/>
      <sheetName val="99노임기준"/>
      <sheetName val="차수"/>
      <sheetName val="환경기계공정표 (3)"/>
      <sheetName val="직급인원"/>
      <sheetName val="가시설단위수량"/>
      <sheetName val="SORCE1"/>
      <sheetName val="단위수량"/>
      <sheetName val="1.일위대가"/>
      <sheetName val="중기손료"/>
      <sheetName val="금융비용"/>
      <sheetName val="가시설(TYPE-A)"/>
      <sheetName val="1호맨홀가감수량"/>
      <sheetName val="1-1평균터파기고(1)"/>
      <sheetName val="1호맨홀수량산출"/>
      <sheetName val="공사비 증감 내역서"/>
      <sheetName val="토목"/>
      <sheetName val="증감대비"/>
      <sheetName val="하수급견적대비"/>
      <sheetName val="시장성초안camera"/>
      <sheetName val="신규단가산출"/>
      <sheetName val="9811"/>
      <sheetName val="남양주댠가표"/>
      <sheetName val="코드표"/>
      <sheetName val="제안서입력"/>
      <sheetName val="견적서"/>
      <sheetName val="대비표"/>
      <sheetName val="입찰결과보고"/>
      <sheetName val="맨홀물량"/>
      <sheetName val="구조물철거타공정이월"/>
      <sheetName val="상 부"/>
      <sheetName val="발전기"/>
      <sheetName val="GEN"/>
      <sheetName val="Sheet9"/>
      <sheetName val="원가계산서-총괄"/>
      <sheetName val="FAX표지 (2)"/>
      <sheetName val="공종별집계표"/>
      <sheetName val="연습장소"/>
      <sheetName val="장비집계"/>
      <sheetName val="기계경비산출"/>
      <sheetName val="경비"/>
      <sheetName val="3BL공동구 수량"/>
      <sheetName val="1.설계기준"/>
      <sheetName val="2호맨홀공제수량"/>
      <sheetName val="WORK"/>
      <sheetName val="단가표 "/>
      <sheetName val="PL"/>
      <sheetName val="TEMP1"/>
      <sheetName val="TEMP2"/>
      <sheetName val="6PILE  (돌출)"/>
      <sheetName val="주요량(96)"/>
      <sheetName val="소요자재"/>
      <sheetName val="노무산출서"/>
      <sheetName val="신내택지내역서"/>
      <sheetName val="기준비용"/>
      <sheetName val="공사비증감"/>
      <sheetName val="도수로집계"/>
      <sheetName val="2.조명기구철거(일괄철거분)"/>
      <sheetName val="내역서 (평창)"/>
      <sheetName val="지수"/>
      <sheetName val="날개벽(시점좌측)"/>
      <sheetName val="자재단가_사급"/>
      <sheetName val="중기적산목록"/>
      <sheetName val="노무비 근거"/>
      <sheetName val="소방"/>
      <sheetName val="내역서(기계)"/>
      <sheetName val="일위대가(출입)"/>
      <sheetName val="양식"/>
      <sheetName val="인원계획"/>
      <sheetName val="시운전연료비"/>
      <sheetName val="폐공처리 산출근거"/>
      <sheetName val="STORAGE"/>
      <sheetName val="일위"/>
      <sheetName val="숫자"/>
      <sheetName val="착공계"/>
      <sheetName val="현장대리인계"/>
      <sheetName val="위임장"/>
      <sheetName val="안전관리지정계"/>
      <sheetName val="기술요원계"/>
      <sheetName val="안전관리계획서"/>
      <sheetName val="안전관리계획안"/>
      <sheetName val="안전관리 각서"/>
      <sheetName val="안전교육계획"/>
      <sheetName val="재직증명서"/>
      <sheetName val="경력증명서"/>
      <sheetName val="5)유통부문월별매출 "/>
      <sheetName val="전기일위대가"/>
      <sheetName val="공사수행방안"/>
      <sheetName val="Project Brief"/>
      <sheetName val="Baby일위대가"/>
      <sheetName val="배수공"/>
      <sheetName val="예산변경사항"/>
      <sheetName val="기본DATA"/>
      <sheetName val="Sheet4"/>
      <sheetName val="TC표지"/>
      <sheetName val="잡철물"/>
      <sheetName val="날개벽(TYPE1)"/>
      <sheetName val="건강보험료"/>
      <sheetName val="고용보험료"/>
      <sheetName val="시중노임"/>
      <sheetName val="품목별 지수"/>
      <sheetName val="연금보험료"/>
      <sheetName val="퇴직공제부금비"/>
      <sheetName val="3_바닥판설계"/>
      <sheetName val="2000_11¿ù¼³°è³»¿ª"/>
      <sheetName val="ÁØ°Ë_³»¿ª¼­"/>
      <sheetName val="1__공사개요"/>
      <sheetName val="2__현장기구조직표"/>
      <sheetName val="3__공사진행[터,토,구]"/>
      <sheetName val="4__투자대비"/>
      <sheetName val="5__실행대비"/>
      <sheetName val="6__금월분_투자대비"/>
      <sheetName val="2002년도_사업계획서"/>
      <sheetName val="원가계산서_"/>
      <sheetName val="표지_(2)"/>
      <sheetName val="2-1__경관조명_내역총괄표"/>
      <sheetName val="품목별_지수"/>
      <sheetName val="T6-6(2)"/>
      <sheetName val="산출목록표"/>
      <sheetName val="단가보완"/>
      <sheetName val="도장수량(하1)"/>
      <sheetName val="단중표"/>
      <sheetName val="EP0618"/>
      <sheetName val="포장복구집계"/>
      <sheetName val="CTEMCOST"/>
      <sheetName val="TRE TABLE"/>
      <sheetName val="C1ㅇ"/>
      <sheetName val="원가집계"/>
      <sheetName val="대리점주소록(0208)"/>
      <sheetName val="기타(2)"/>
      <sheetName val="준공정산"/>
      <sheetName val="골재집계"/>
      <sheetName val="견적조건"/>
      <sheetName val="일반전기"/>
      <sheetName val="소방일위 "/>
      <sheetName val="101502"/>
      <sheetName val="5정거장"/>
      <sheetName val="1-3길내기"/>
      <sheetName val="1,2,3,4,5단위수량"/>
      <sheetName val="G-IL"/>
      <sheetName val="BU"/>
      <sheetName val="IL"/>
      <sheetName val="EQ-R1"/>
      <sheetName val="부속동"/>
      <sheetName val="토목변경"/>
      <sheetName val="단가조사-2"/>
      <sheetName val="97년 추정"/>
      <sheetName val="원가서"/>
      <sheetName val="신규 수주분(사용자 정의)"/>
      <sheetName val="연결임시"/>
      <sheetName val="금리계산"/>
      <sheetName val="XXXXXX"/>
      <sheetName val="감가상각"/>
      <sheetName val="현장별"/>
      <sheetName val="추가예산"/>
      <sheetName val="시화점실행"/>
      <sheetName val="적격심사표"/>
      <sheetName val="원형맨홀수량"/>
      <sheetName val="INPUT(덕도방향-시점)"/>
      <sheetName val="원도급"/>
      <sheetName val="하도급"/>
      <sheetName val="조건표"/>
      <sheetName val="유입량"/>
      <sheetName val="을 2"/>
      <sheetName val="을 1"/>
      <sheetName val="부표총괄"/>
      <sheetName val="1.취수장"/>
      <sheetName val="수량산출(계측)"/>
      <sheetName val="근로자자료입력"/>
      <sheetName val="3CHBDC"/>
      <sheetName val="개산공사비"/>
      <sheetName val="4.2유효폭의 계산"/>
      <sheetName val="시점교대"/>
      <sheetName val="산수배수"/>
      <sheetName val="STEEL BOX 단면설계(SEC.8)"/>
      <sheetName val="사업계획1안"/>
      <sheetName val="포장공"/>
      <sheetName val="토공유동표(전체.당초)"/>
      <sheetName val="I.설계조건"/>
      <sheetName val="합계"/>
      <sheetName val="2"/>
      <sheetName val="TYPE-A"/>
      <sheetName val="이월"/>
      <sheetName val="중기조종사 단위단가"/>
      <sheetName val="수량명세서"/>
      <sheetName val="첨부1"/>
      <sheetName val="운반공"/>
      <sheetName val="DATE2001"/>
      <sheetName val="평가데이터"/>
      <sheetName val="무담보1"/>
      <sheetName val="주관사업"/>
      <sheetName val="DATA 입력란"/>
      <sheetName val="계약내역서"/>
      <sheetName val="중기명"/>
      <sheetName val="주민번호"/>
      <sheetName val="1유리"/>
      <sheetName val="투찰내역"/>
      <sheetName val="음료실행"/>
      <sheetName val="송라터널총괄"/>
      <sheetName val="일위(시설)"/>
      <sheetName val="분석투자 내역(광명)"/>
      <sheetName val="모래기초 (2)"/>
      <sheetName val="7월11일"/>
      <sheetName val="TEST1"/>
      <sheetName val="토목품셈"/>
      <sheetName val="ETC"/>
      <sheetName val="총괄내역서"/>
      <sheetName val="직공비"/>
      <sheetName val="물가자료"/>
      <sheetName val="PROJECT BRIEF(EX.NEW)"/>
      <sheetName val="K-16 (실행)"/>
      <sheetName val="BSD (2)"/>
      <sheetName val="PL단가산정"/>
      <sheetName val="그림"/>
      <sheetName val="그림2"/>
      <sheetName val="건축명"/>
      <sheetName val="기계명"/>
      <sheetName val="전기명"/>
      <sheetName val="토목명"/>
      <sheetName val="발주설계서(당초)"/>
      <sheetName val="예산결제란"/>
      <sheetName val="9509"/>
      <sheetName val="기안"/>
      <sheetName val="공통(20-91)"/>
      <sheetName val="경산"/>
      <sheetName val="마산방향철근집계"/>
      <sheetName val="진주방향"/>
      <sheetName val="마산방향"/>
      <sheetName val="aa"/>
      <sheetName val="공사내역서(을)실행"/>
      <sheetName val="COST"/>
      <sheetName val="적용토목"/>
      <sheetName val="JA8-4"/>
      <sheetName val="광혁기성"/>
      <sheetName val="냉천부속동"/>
      <sheetName val="CIVIL"/>
      <sheetName val="2-나.물가조사서"/>
      <sheetName val="LANGUAGE"/>
      <sheetName val="조도계산서 (도서)"/>
      <sheetName val="효성CB 1P기초"/>
      <sheetName val="3.하중산정4.지지력"/>
      <sheetName val="Y_WORK"/>
      <sheetName val="건축공사"/>
      <sheetName val="02상노임"/>
      <sheetName val="단  가  대  비  표"/>
      <sheetName val="일  위  대  가  목  록"/>
      <sheetName val="수량집계"/>
      <sheetName val="SLAB&quot;1&quot;"/>
      <sheetName val="건설성적"/>
      <sheetName val="대비"/>
      <sheetName val="조정금액결과표 (차수별)"/>
      <sheetName val="__MAIN"/>
      <sheetName val="밸브설치"/>
      <sheetName val="데리네이타현황"/>
      <sheetName val="주빔의 설계"/>
      <sheetName val="바닥판"/>
      <sheetName val="선로정수계산"/>
      <sheetName val="NAI"/>
      <sheetName val="일위대가-1"/>
      <sheetName val="공사비집계표"/>
      <sheetName val="수안보-MBR1"/>
      <sheetName val="건축집계"/>
      <sheetName val="NOMUBI"/>
      <sheetName val="sw1"/>
      <sheetName val="가설건물"/>
      <sheetName val="1.부체도로가로등설비 산출"/>
      <sheetName val="spec"/>
      <sheetName val="program"/>
      <sheetName val="studbolt no."/>
      <sheetName val="studbolt size"/>
      <sheetName val="item sort no"/>
      <sheetName val="자재단가비교표"/>
      <sheetName val="송정-증포간  계약내역서"/>
      <sheetName val="표면정지 집계"/>
      <sheetName val="PET MAT집계"/>
      <sheetName val="납부서"/>
      <sheetName val="초류종자살포"/>
      <sheetName val="년도별노임표"/>
      <sheetName val="중기목록표"/>
      <sheetName val="단가(보완)"/>
      <sheetName val="대가 (보완)"/>
      <sheetName val="기결의"/>
      <sheetName val="공사비산출내역"/>
      <sheetName val="기초단가"/>
      <sheetName val="시추주상도"/>
      <sheetName val="수목표준대가"/>
      <sheetName val="시행결의을지(1)"/>
      <sheetName val="식재가격"/>
      <sheetName val="식재총괄"/>
      <sheetName val="급여(현지화)"/>
      <sheetName val="관계주식"/>
      <sheetName val="1.적격점수"/>
      <sheetName val="가공송전산출서"/>
      <sheetName val="중기사용료산출근거"/>
      <sheetName val="단가산출2"/>
      <sheetName val="정화조방수미장"/>
      <sheetName val="토공1차"/>
      <sheetName val="우석문틀"/>
      <sheetName val="포장집계"/>
      <sheetName val="포장연장"/>
      <sheetName val="대극장-하부단가"/>
      <sheetName val="소포내역 (2)"/>
      <sheetName val="연령현황"/>
      <sheetName val="fursys"/>
      <sheetName val="결과조달"/>
      <sheetName val="DATA-UPS"/>
      <sheetName val="설계가"/>
      <sheetName val="PAINT"/>
      <sheetName val="종합기별"/>
      <sheetName val="노무비명세서"/>
      <sheetName val="소요자재명세서"/>
      <sheetName val="인건비 "/>
      <sheetName val="동력부하(도산)"/>
      <sheetName val="내역서(기성청구)"/>
      <sheetName val="날개벽(TYPE2)"/>
      <sheetName val="잡비"/>
      <sheetName val="DATA1"/>
      <sheetName val="Calc V1.2"/>
      <sheetName val="Calc V1.2 (2)"/>
      <sheetName val="BASIC (2)"/>
      <sheetName val="11.자재단가"/>
      <sheetName val="경비2내역"/>
      <sheetName val="경비대가"/>
      <sheetName val="경비산출"/>
      <sheetName val="이설집계"/>
      <sheetName val="전송망집계"/>
      <sheetName val="단가산출1"/>
      <sheetName val="3-2.동원인원"/>
      <sheetName val="견적"/>
      <sheetName val="8.PILE  (돌출)"/>
      <sheetName val="AS포장복구 "/>
      <sheetName val="기초입력 DATA"/>
      <sheetName val="copy"/>
      <sheetName val="별표집계"/>
      <sheetName val="충주"/>
      <sheetName val="개요"/>
      <sheetName val="분전함신설"/>
      <sheetName val="접지1종"/>
      <sheetName val="전문품의"/>
      <sheetName val="단면설계"/>
      <sheetName val="안정검토"/>
      <sheetName val="BLR-S"/>
      <sheetName val="TOTAL-T"/>
      <sheetName val="01"/>
      <sheetName val="cable_type"/>
      <sheetName val="000000"/>
      <sheetName val="경"/>
      <sheetName val="버스운행안내"/>
      <sheetName val="예방접종계획"/>
      <sheetName val="근태계획서"/>
      <sheetName val="사통"/>
      <sheetName val="분양가격표"/>
      <sheetName val="가도공"/>
      <sheetName val="신청서"/>
      <sheetName val="울산시산표"/>
      <sheetName val="CABdata"/>
      <sheetName val="단가비교"/>
      <sheetName val="당진1,2호기전선관설치및접지4차공사내역서-을지"/>
      <sheetName val="3.사용전검사(1000KW이상)(본동-수정)"/>
      <sheetName val="금액집계"/>
      <sheetName val="10월요금선로출력"/>
      <sheetName val="열원설비"/>
      <sheetName val="가설공사비"/>
      <sheetName val="도로구조공사비"/>
      <sheetName val="도로토공공사비"/>
      <sheetName val="여수토공사비"/>
      <sheetName val="조명일위"/>
      <sheetName val="E.P.T수량산출서"/>
      <sheetName val="국산화"/>
      <sheetName val="변경집계표"/>
      <sheetName val="PRESSURE GAUGE"/>
      <sheetName val="BQ(실행)"/>
      <sheetName val="일반문틀 설치"/>
      <sheetName val="샌딩 에폭시 도장"/>
      <sheetName val="스텐문틀설치"/>
      <sheetName val="CAT_5"/>
      <sheetName val="MACRO(전선관)"/>
      <sheetName val="통합내역"/>
      <sheetName val="노임,자재"/>
      <sheetName val="INPUT"/>
      <sheetName val="감시제어"/>
      <sheetName val="목차임시"/>
      <sheetName val="견적대비"/>
      <sheetName val="데이타입력"/>
      <sheetName val="에너지요금"/>
      <sheetName val="보일러입력"/>
      <sheetName val="ESCO입력"/>
      <sheetName val="종합"/>
      <sheetName val="최초입력"/>
      <sheetName val="사업개요(일반전력(갑)용"/>
      <sheetName val="사업개요(일반전력(을)用)"/>
      <sheetName val="사업개요(심야전력(갑)용"/>
      <sheetName val="자금환수표"/>
      <sheetName val="자금운용계획(8%)"/>
      <sheetName val="자금운용계획(11%)"/>
      <sheetName val="참조자료"/>
      <sheetName val="지원제도"/>
      <sheetName val="교회일정표"/>
      <sheetName val="교회빙축설계"/>
      <sheetName val="빙축열설계서"/>
      <sheetName val="운전전략"/>
      <sheetName val="왕복동"/>
      <sheetName val="터보"/>
      <sheetName val="장비가격"/>
      <sheetName val="ESCO제안"/>
      <sheetName val="중온수"/>
      <sheetName val="이중효용"/>
      <sheetName val="냉온수"/>
      <sheetName val="빙축열"/>
      <sheetName val="경제성검토"/>
      <sheetName val="2방식비교"/>
      <sheetName val="3방식비교"/>
      <sheetName val="한전지원금"/>
      <sheetName val="3.자재비(총괄)"/>
      <sheetName val="노임단가 (2)"/>
      <sheetName val="공사비예산서(토목분)"/>
      <sheetName val="J"/>
      <sheetName val="설계카드"/>
      <sheetName val="인입관수량총괄"/>
      <sheetName val="3련 BOX"/>
      <sheetName val="ASALTOTA"/>
      <sheetName val="거래처등록"/>
      <sheetName val="참고자료"/>
      <sheetName val="기본일위"/>
      <sheetName val="내역서2안"/>
      <sheetName val="패널"/>
      <sheetName val="집계"/>
      <sheetName val="노임단가명세표"/>
      <sheetName val="고유코드_설계"/>
      <sheetName val="전체_1설계"/>
      <sheetName val="사용자단가"/>
      <sheetName val="사용자일위"/>
      <sheetName val="자  재"/>
      <sheetName val="건축외주"/>
      <sheetName val="이토변실(A3-LINE)"/>
      <sheetName val="순공사비"/>
      <sheetName val="물집"/>
      <sheetName val="각종양식"/>
      <sheetName val="산근(목록)"/>
      <sheetName val="이형관중량"/>
      <sheetName val="자재일람"/>
      <sheetName val="8.현장관리비"/>
      <sheetName val="7.안전관리비"/>
      <sheetName val="토목주소"/>
      <sheetName val="PAD TR보호대기초"/>
      <sheetName val="가로등기초"/>
      <sheetName val="HANDHOLE(2)"/>
      <sheetName val="재료집계표"/>
      <sheetName val="노임단가(9월)"/>
      <sheetName val="bm(CIcable)"/>
      <sheetName val="일반부표"/>
      <sheetName val="sort"/>
      <sheetName val="국내"/>
      <sheetName val="시운전연료"/>
      <sheetName val="APT"/>
      <sheetName val=" 내역"/>
      <sheetName val="제경비율"/>
      <sheetName val="견적서(대외) (2)"/>
      <sheetName val="기계경비(시간당)"/>
      <sheetName val="램머"/>
      <sheetName val="980731"/>
      <sheetName val="케이블류 OLD"/>
      <sheetName val="일위대가(계측기설치)"/>
      <sheetName val="총괄서"/>
      <sheetName val="제-노임"/>
      <sheetName val="제직재"/>
      <sheetName val="내역서단가산출용"/>
      <sheetName val="자재비"/>
      <sheetName val="EQT-ESTN"/>
      <sheetName val="건축개요"/>
      <sheetName val="입력DATA"/>
      <sheetName val="용산1(해보)"/>
      <sheetName val="물가시세"/>
      <sheetName val="기계"/>
      <sheetName val="LD"/>
      <sheetName val="13LPMCC"/>
      <sheetName val="공통비"/>
      <sheetName val="통합"/>
      <sheetName val="사  업  비  수  지  예  산  서"/>
      <sheetName val="공사진행"/>
      <sheetName val="Requirement(Work Crew)"/>
      <sheetName val="(4-2)열관류값-2"/>
      <sheetName val="계산"/>
      <sheetName val="재정비직인"/>
      <sheetName val="재정비내역"/>
      <sheetName val="지적고시내역"/>
      <sheetName val="각뿔대계산"/>
      <sheetName val="__Hjpark_c_My_Documents_esco__2"/>
      <sheetName val="인제내역"/>
      <sheetName val="매원개착터널총괄"/>
      <sheetName val="9-1차이내역"/>
      <sheetName val="부품"/>
      <sheetName val="1.동력공사"/>
      <sheetName val="부하LOAD"/>
      <sheetName val="교각토공"/>
      <sheetName val="B3.PERSONEL-Ucret"/>
      <sheetName val="역T형옹벽(3.0)"/>
      <sheetName val="빌딩刀_x0010__x0000_"/>
      <sheetName val="2000_11월설계내역1"/>
      <sheetName val="준검_내역서1"/>
      <sheetName val="1_수,변전설비_(1차작업)1"/>
      <sheetName val="2_옥외전력(침매함-수정-1차작업)1"/>
      <sheetName val="3_옥외전력(사장교-수정-1차작업)1"/>
      <sheetName val="4_인입선교체공사1"/>
      <sheetName val="1__가로등_설치공사(2공구)1"/>
      <sheetName val="내역서_(2)1"/>
      <sheetName val="2000,9월_일위1"/>
      <sheetName val="총_원가계산1"/>
      <sheetName val="2_대외공문1"/>
      <sheetName val="현장관리비_산출내역"/>
      <sheetName val="3_골재원검토의견서_갑지"/>
      <sheetName val="공사현황_"/>
      <sheetName val="투입현황_(LG)"/>
      <sheetName val="용역_(2)"/>
      <sheetName val="경유사용내역__"/>
      <sheetName val="수로BOX"/>
      <sheetName val="토공총괄표"/>
      <sheetName val="배수공1"/>
      <sheetName val="조도계산(1)"/>
      <sheetName val="지구단위계획"/>
      <sheetName val="현금흐름"/>
      <sheetName val="친환경주택"/>
      <sheetName val="base"/>
      <sheetName val="계획금액"/>
      <sheetName val="분석대장"/>
      <sheetName val="수량산출(1)"/>
      <sheetName val="기본(98)"/>
      <sheetName val="본댐설계"/>
      <sheetName val="정거장"/>
      <sheetName val="길내기"/>
      <sheetName val="점수계산1-2"/>
      <sheetName val="교통대책내역"/>
      <sheetName val="품의서"/>
      <sheetName val="99년원가"/>
      <sheetName val="소화실적"/>
      <sheetName val="SOURCE"/>
      <sheetName val="빙장비사양"/>
      <sheetName val="장비사양"/>
      <sheetName val="HVAC"/>
      <sheetName val="DESIGN_CRETERIA"/>
      <sheetName val="O실보"/>
      <sheetName val="우수공"/>
      <sheetName val="기별(종합)"/>
      <sheetName val="공사기본내용입력"/>
      <sheetName val="설계산출기초"/>
      <sheetName val="도급예산내역서봉투"/>
      <sheetName val="도급예산내역서총괄표"/>
      <sheetName val="을부담운반비"/>
      <sheetName val="운반비산출"/>
      <sheetName val="CON기초"/>
      <sheetName val="암거"/>
      <sheetName val="손익차총괄2"/>
      <sheetName val="보온 회사분"/>
      <sheetName val="cal"/>
      <sheetName val="경비_원본"/>
      <sheetName val="S0"/>
      <sheetName val="관계주식명세"/>
      <sheetName val="직접비"/>
      <sheetName val="주요항목별"/>
      <sheetName val="45,46"/>
      <sheetName val="주식"/>
      <sheetName val="대구실행"/>
      <sheetName val="근고 블록 유형별 수량"/>
      <sheetName val="가로등내역서"/>
      <sheetName val="49단"/>
      <sheetName val="22단"/>
      <sheetName val="22수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일목"/>
      <sheetName val="대대터널 설계서"/>
      <sheetName val="설계변경내역 98"/>
      <sheetName val="토공A"/>
      <sheetName val="예산갑지"/>
      <sheetName val="보도육교"/>
      <sheetName val="생태육교"/>
      <sheetName val="INPUTDATA"/>
      <sheetName val="48단"/>
      <sheetName val="가격조사"/>
      <sheetName val="휘발유사용내역___(2)"/>
      <sheetName val="TDI_ISBL"/>
      <sheetName val="Graph_(LGEN)"/>
      <sheetName val="선적schedule_(2)"/>
      <sheetName val="Customer_Databas"/>
      <sheetName val="빌딩_안내"/>
      <sheetName val="외주대비_-석축"/>
      <sheetName val="외주대비-구조물_(2)"/>
      <sheetName val="견적표지_(3)"/>
      <sheetName val="제출내역_(2)"/>
      <sheetName val="돌담교_상부수량"/>
      <sheetName val="tong_du_toan"/>
      <sheetName val="G_R300경비"/>
      <sheetName val="내역서_제출"/>
      <sheetName val="BEND_LOSS1"/>
      <sheetName val="변압기_및_발전기_용량"/>
      <sheetName val="BOQ-Summary_Form_A1"/>
      <sheetName val="BOQ-Summary_Form_A2"/>
      <sheetName val="BOQ-Summary_Form_A3"/>
      <sheetName val="elect_QC"/>
      <sheetName val="Sheet1_(2)"/>
      <sheetName val="건______________축"/>
      <sheetName val="별표_"/>
      <sheetName val="실행내역_"/>
      <sheetName val="3BL공동구_수량"/>
      <sheetName val="CM_1"/>
      <sheetName val="S_중기사용료"/>
      <sheetName val="관기성공_내"/>
      <sheetName val="안전관리_각서"/>
      <sheetName val="TRE_TABLE"/>
      <sheetName val="기술자료_(연수)"/>
    </sheetNames>
    <definedNames>
      <definedName name="Macro1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/>
      <sheetData sheetId="1150"/>
      <sheetData sheetId="1151" refreshError="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운반도"/>
      <sheetName val="설명서"/>
      <sheetName val="천공량"/>
      <sheetName val="표지 "/>
      <sheetName val="보완결과"/>
      <sheetName val="보완"/>
      <sheetName val="표지"/>
      <sheetName val="일위대가표"/>
      <sheetName val="횡배수관집현황(2공구)"/>
      <sheetName val="원가"/>
      <sheetName val="노임단가"/>
      <sheetName val="수목단가"/>
      <sheetName val="시설수량표"/>
      <sheetName val="식재수량표"/>
      <sheetName val="일위목록"/>
      <sheetName val="자재단가"/>
      <sheetName val="설계명세서"/>
      <sheetName val="원가계산"/>
      <sheetName val="실행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BID"/>
      <sheetName val="원도급"/>
      <sheetName val="하도급"/>
      <sheetName val="총 원가계산"/>
      <sheetName val="FB25JN"/>
      <sheetName val="매출처"/>
      <sheetName val="기준"/>
      <sheetName val="매입처"/>
      <sheetName val="발주대장"/>
      <sheetName val="매출대장"/>
      <sheetName val="00노임기준"/>
      <sheetName val="일위대가"/>
      <sheetName val="철거산출근거"/>
      <sheetName val="가설"/>
      <sheetName val="도급"/>
      <sheetName val="전기"/>
      <sheetName val="데이타"/>
      <sheetName val="식재인부"/>
      <sheetName val="99보완"/>
      <sheetName val="DATA"/>
      <sheetName val="내역서"/>
      <sheetName val="단가(자재)"/>
      <sheetName val="단가(노임)"/>
      <sheetName val="기초목록"/>
      <sheetName val="입찰결과보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rus"/>
      <sheetName val="노임단가"/>
      <sheetName val="자재단가"/>
      <sheetName val="49수량"/>
      <sheetName val="49인공"/>
      <sheetName val="49일위"/>
      <sheetName val="48수량"/>
      <sheetName val="48인공"/>
      <sheetName val="48일위"/>
      <sheetName val="22수량"/>
      <sheetName val="22인공"/>
      <sheetName val="22일위"/>
      <sheetName val="총괄표"/>
      <sheetName val="산출기초 (2)"/>
      <sheetName val="가설건물"/>
      <sheetName val="원가계산서"/>
      <sheetName val="집계표"/>
      <sheetName val="일위대가-3"/>
      <sheetName val="2000년1차"/>
      <sheetName val="FB25JN"/>
      <sheetName val="3고막원내역NEW"/>
      <sheetName val="위치조서"/>
      <sheetName val="#REF"/>
      <sheetName val="일위산출"/>
      <sheetName val="APT"/>
      <sheetName val="단가 (2)"/>
      <sheetName val="data"/>
      <sheetName val="자재"/>
      <sheetName val="Sheet1"/>
      <sheetName val="01후반노무비"/>
      <sheetName val="1호인버트수량"/>
      <sheetName val="단가"/>
      <sheetName val="일위대가서식"/>
      <sheetName val="토사(PE)"/>
      <sheetName val="건축내역"/>
      <sheetName val="경산"/>
      <sheetName val="중기조종사 단위단가"/>
      <sheetName val="CTEMCOST"/>
      <sheetName val="한일양산"/>
      <sheetName val="공사설계서"/>
      <sheetName val="단가산출서"/>
      <sheetName val="48전력선로일위"/>
      <sheetName val="갑지"/>
      <sheetName val="중기손료"/>
      <sheetName val="신우"/>
      <sheetName val="물가대비표"/>
      <sheetName val="9902"/>
      <sheetName val="별표 "/>
      <sheetName val="PAC"/>
      <sheetName val="Tool"/>
      <sheetName val="그림"/>
      <sheetName val="NYS"/>
      <sheetName val="토공"/>
      <sheetName val="실행간접비용"/>
      <sheetName val="내역서"/>
      <sheetName val="ELECTRIC"/>
      <sheetName val="계수시트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탈라스"/>
      <sheetName val="장식홈통"/>
      <sheetName val="장식홈통 (견적)"/>
      <sheetName val="장식홈통 (PVC)"/>
      <sheetName val="기존선홈통철거"/>
      <sheetName val="선홈통"/>
      <sheetName val="드라이비트철거"/>
      <sheetName val="동판후레싱설치(940mm)"/>
      <sheetName val="동판후레싱설치 (200mm)"/>
      <sheetName val="보호몰탈바름"/>
      <sheetName val="경량철골천정틀 설치"/>
      <sheetName val="단열재붙이기(100mm)"/>
      <sheetName val="천정둘레(몰딩)"/>
      <sheetName val="천정텍스설치"/>
      <sheetName val="인서트 및 달대볼트 설치"/>
      <sheetName val="기존페인트 긁어내기"/>
      <sheetName val="수성페인트 벽2회칠"/>
      <sheetName val="49수량"/>
      <sheetName val="48수량"/>
      <sheetName val="22수량"/>
      <sheetName val="자재단가"/>
      <sheetName val="일위대가-3"/>
      <sheetName val="FB25JN"/>
      <sheetName val="일위산출"/>
      <sheetName val="01후반노무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메탈라스"/>
      <sheetName val="49수량"/>
      <sheetName val="48수량"/>
      <sheetName val="22수량"/>
      <sheetName val="자재단가"/>
      <sheetName val="일위대가-3"/>
      <sheetName val="일위산출"/>
      <sheetName val="FB25J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개소별수량산출"/>
      <sheetName val="노임단가"/>
      <sheetName val="자재단가표"/>
      <sheetName val="공종별물량산출서"/>
      <sheetName val="공종별인공산출서"/>
      <sheetName val="일위대가기초"/>
      <sheetName val="강관기초"/>
      <sheetName val="산출기초"/>
      <sheetName val="수량조서"/>
      <sheetName val="원가계산서2"/>
      <sheetName val="원가계산서"/>
      <sheetName val="원가산출근거"/>
      <sheetName val="감리비산출근거"/>
      <sheetName val="가설건물"/>
      <sheetName val="운반"/>
      <sheetName val="내역"/>
      <sheetName val="신우"/>
      <sheetName val="#REF"/>
      <sheetName val="메탈라스"/>
      <sheetName val="위치조서"/>
      <sheetName val="수량산출"/>
      <sheetName val="기초단가"/>
      <sheetName val="단가산출서"/>
      <sheetName val="직재"/>
      <sheetName val="49수량"/>
      <sheetName val="48수량"/>
      <sheetName val="22수량"/>
      <sheetName val="자재단가"/>
      <sheetName val="관급"/>
      <sheetName val="일위대가"/>
      <sheetName val="FB25JN"/>
      <sheetName val="노무비 "/>
      <sheetName val="몰탈콘크리트"/>
      <sheetName val="철근집계"/>
      <sheetName val="노임조서"/>
      <sheetName val="2공구산출내역"/>
      <sheetName val="단가표 (2)"/>
      <sheetName val="무안내역"/>
      <sheetName val="평균높이산출근거"/>
      <sheetName val="횡배수관위치조서"/>
      <sheetName val="일위대가-1"/>
      <sheetName val="수량총괄"/>
      <sheetName val="한강운반비"/>
      <sheetName val="접속도로1"/>
      <sheetName val="01후반노무비"/>
      <sheetName val="기성내역서표지"/>
      <sheetName val="내역서"/>
      <sheetName val="갑지"/>
      <sheetName val="집계표"/>
      <sheetName val="일위대가-3"/>
      <sheetName val="손익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견적갑지"/>
      <sheetName val="견적을지"/>
      <sheetName val="수수료"/>
      <sheetName val="일대"/>
      <sheetName val="노임"/>
      <sheetName val="산출"/>
      <sheetName val="단가"/>
      <sheetName val="단가 (2)"/>
      <sheetName val="조도"/>
      <sheetName val="부하"/>
      <sheetName val="전압강하"/>
      <sheetName val="경산"/>
      <sheetName val="#REF"/>
      <sheetName val="메탈라스"/>
      <sheetName val="49수량"/>
      <sheetName val="48수량"/>
      <sheetName val="22수량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VXXXXX"/>
      <sheetName val="적용대가"/>
      <sheetName val="지수내역"/>
      <sheetName val="노(97.1,97.9,98.1)"/>
      <sheetName val="조경적용"/>
      <sheetName val="조경내역"/>
      <sheetName val="기계적용"/>
      <sheetName val="기계내역"/>
      <sheetName val="계장적용 "/>
      <sheetName val="계장내역"/>
      <sheetName val="표지"/>
      <sheetName val="관급내역서"/>
      <sheetName val="검토개요  (조경포함)"/>
      <sheetName val="총괄원가계산서 (조경포함)"/>
      <sheetName val="총괄증감대비표  (조경포함)"/>
      <sheetName val="원가계산서 (조경포함)"/>
      <sheetName val="증감대비표 (조경표함)"/>
      <sheetName val="총괄증감대비표 "/>
      <sheetName val="총괄원가계산서"/>
      <sheetName val="검토개요 "/>
      <sheetName val="증감대비표"/>
      <sheetName val="원가계산서"/>
      <sheetName val="공종별집계표"/>
      <sheetName val="일위목록"/>
      <sheetName val="일위대가"/>
      <sheetName val="단가조사표"/>
      <sheetName val="물가자료"/>
      <sheetName val="공통가설"/>
      <sheetName val="직재"/>
      <sheetName val="대총괄표"/>
      <sheetName val="BQ(실행)"/>
      <sheetName val="영창26"/>
      <sheetName val="개소별수량산출"/>
      <sheetName val="일위대가-1"/>
      <sheetName val="공사요율"/>
      <sheetName val="요율"/>
      <sheetName val="단가산출목록표"/>
      <sheetName val="단가조사"/>
      <sheetName val="노임"/>
      <sheetName val="BID"/>
      <sheetName val="KIM"/>
      <sheetName val="수목표준대가"/>
      <sheetName val="청천내"/>
      <sheetName val="Tool"/>
      <sheetName val="장비경비"/>
      <sheetName val="자재단가"/>
      <sheetName val="노임단가(0.3)"/>
      <sheetName val="식재가격"/>
      <sheetName val="식재총괄"/>
      <sheetName val="데이타"/>
      <sheetName val="IN"/>
      <sheetName val="Sheet3"/>
      <sheetName val="#REF"/>
      <sheetName val="노무비"/>
      <sheetName val="9509"/>
      <sheetName val="재료비노무비"/>
      <sheetName val="비탈면보호공수량산출"/>
      <sheetName val="2000년1차"/>
      <sheetName val="을지"/>
      <sheetName val="몸체(460×600)"/>
      <sheetName val="토목"/>
      <sheetName val="토공"/>
      <sheetName val="소비자가"/>
      <sheetName val="관급"/>
      <sheetName val="XL4Poppy"/>
      <sheetName val="보안등"/>
      <sheetName val="범례표"/>
      <sheetName val="노무단가"/>
      <sheetName val="자료"/>
      <sheetName val="작업시작"/>
      <sheetName val="96노임기준"/>
      <sheetName val="9811"/>
      <sheetName val="J直材4"/>
      <sheetName val="단가산출"/>
      <sheetName val="내역서2안"/>
      <sheetName val="내역서"/>
      <sheetName val="실행대비"/>
      <sheetName val="내역"/>
      <sheetName val="01후반노무비"/>
      <sheetName val="R&amp;D"/>
      <sheetName val="기타경비"/>
      <sheetName val="단가표"/>
      <sheetName val="복구경비"/>
      <sheetName val="7단가"/>
      <sheetName val="49수량"/>
      <sheetName val="48수량"/>
      <sheetName val="22수량"/>
      <sheetName val="조도계산서1"/>
      <sheetName val="기초자료"/>
      <sheetName val="지하층LOAD"/>
      <sheetName val="전산망"/>
      <sheetName val="Sheet15"/>
      <sheetName val="건축내역"/>
      <sheetName val="단위수량"/>
      <sheetName val="시설물일위"/>
      <sheetName val="견적서"/>
      <sheetName val="기본일위"/>
      <sheetName val="메탈라스"/>
      <sheetName val="수량산출서"/>
      <sheetName val="집계표"/>
      <sheetName val="설비내역서"/>
      <sheetName val="건축내역서"/>
      <sheetName val="전기내역서"/>
      <sheetName val="날개벽"/>
      <sheetName val="1.설계조건"/>
      <sheetName val="입찰안"/>
      <sheetName val="48전력선로일위"/>
      <sheetName val="설계서을"/>
      <sheetName val="교각계산"/>
      <sheetName val="중기조종사 단위단가"/>
      <sheetName val="변경내역"/>
      <sheetName val="아파트"/>
      <sheetName val="코드표"/>
      <sheetName val="교각1"/>
      <sheetName val="단면 (2)"/>
      <sheetName val="기둥(원형)"/>
      <sheetName val="COPING"/>
      <sheetName val="일위대가표 "/>
      <sheetName val="LOPCALC"/>
      <sheetName val="산수배수"/>
      <sheetName val="단가"/>
      <sheetName val="00000"/>
      <sheetName val="EQ-R1"/>
      <sheetName val="사업수지"/>
      <sheetName val="운영3과"/>
      <sheetName val="운영1과"/>
      <sheetName val="실행내역 "/>
      <sheetName val="패널"/>
      <sheetName val="평자재단가"/>
      <sheetName val="단가표 "/>
      <sheetName val="설직재-1"/>
      <sheetName val="내역서1"/>
      <sheetName val="수량산출"/>
      <sheetName val="예산명세서"/>
      <sheetName val="설계명세서"/>
      <sheetName val="자료입력"/>
      <sheetName val="좌측"/>
      <sheetName val="소방기계"/>
      <sheetName val="참고자료"/>
      <sheetName val="일위대가 "/>
      <sheetName val="원가"/>
      <sheetName val="피벗테이블데이터분석"/>
      <sheetName val="종배수관(신)"/>
      <sheetName val="적용단위길이"/>
      <sheetName val="TOTAL_BOQ"/>
      <sheetName val="자료방"/>
      <sheetName val="가압장구체수량산출서"/>
      <sheetName val="토목공사"/>
      <sheetName val="공통함설"/>
      <sheetName val="물함자료"/>
      <sheetName val="열린교실"/>
      <sheetName val="노(97_1,97_9,98_1)"/>
      <sheetName val="계장적용_"/>
      <sheetName val="검토개요__(조경포함)"/>
      <sheetName val="총괄원가계산서_(조경포함)"/>
      <sheetName val="총괄증감대비표__(조경포함)"/>
      <sheetName val="원가계산서_(조경포함)"/>
      <sheetName val="증감대비표_(조경표함)"/>
      <sheetName val="총괄증감대비표_"/>
      <sheetName val="검토개요_"/>
      <sheetName val="내역서(세부)"/>
      <sheetName val="돈암사업"/>
      <sheetName val="공사대장 (2)"/>
      <sheetName val="SOURCE"/>
      <sheetName val="내역서(기계)"/>
      <sheetName val="Baby일위대가"/>
      <sheetName val="적용건축"/>
      <sheetName val="코드"/>
      <sheetName val="N賃率-職"/>
      <sheetName val="견적을지"/>
      <sheetName val="노임단가 (2)"/>
      <sheetName val="을"/>
      <sheetName val="I一般比"/>
      <sheetName val="증감대비"/>
      <sheetName val="Sheet1"/>
      <sheetName val="냉천부속동"/>
      <sheetName val="본선부단위수량"/>
      <sheetName val="남양주부대"/>
      <sheetName val="49단가"/>
      <sheetName val="단"/>
      <sheetName val="제출내역 (2)"/>
      <sheetName val="데리네이타현황"/>
      <sheetName val="차액보증"/>
      <sheetName val="터파기및재료"/>
      <sheetName val="현장관리비"/>
      <sheetName val="PROGRAM_DATA"/>
      <sheetName val="공량산출서"/>
      <sheetName val="BEND LOSS"/>
      <sheetName val="2공구산출내역"/>
      <sheetName val="Sheet5"/>
      <sheetName val="도"/>
      <sheetName val="공사원가계산서"/>
      <sheetName val="수목데이타 "/>
      <sheetName val="기초공"/>
      <sheetName val="조건표"/>
      <sheetName val="DATA"/>
      <sheetName val="쌍송교"/>
      <sheetName val="6공구(당초)"/>
      <sheetName val="노(97_1,97_9,98_1)1"/>
      <sheetName val="계장적용_1"/>
      <sheetName val="검토개요__(조경포함)1"/>
      <sheetName val="총괄원가계산서_(조경포함)1"/>
      <sheetName val="총괄증감대비표__(조경포함)1"/>
      <sheetName val="원가계산서_(조경포함)1"/>
      <sheetName val="증감대비표_(조경표함)1"/>
      <sheetName val="총괄증감대비표_1"/>
      <sheetName val="검토개요_1"/>
      <sheetName val="노임단가(0_3)"/>
      <sheetName val="1_설계조건"/>
      <sheetName val="일위대가표_"/>
      <sheetName val="단면_(2)"/>
      <sheetName val="실행내역_"/>
      <sheetName val="중기조종사_단위단가"/>
      <sheetName val="단가표_"/>
      <sheetName val="일위대가_"/>
      <sheetName val="공사대장_(2)"/>
      <sheetName val="BEND_LOSS"/>
      <sheetName val="수목데이타_"/>
      <sheetName val="노임단가_(2)"/>
      <sheetName val="제출내역_(2)"/>
      <sheetName val="자재단가표"/>
      <sheetName val="평가데이터"/>
      <sheetName val="발주설계서(당초)"/>
      <sheetName val="횡배수관"/>
      <sheetName val="2.냉난방설비공사"/>
      <sheetName val="7.자동제어공사"/>
      <sheetName val="수량집계표"/>
      <sheetName val="주방"/>
      <sheetName val="남대문빌딩"/>
      <sheetName val="JA8-4"/>
      <sheetName val="부안일위"/>
      <sheetName val="COST"/>
      <sheetName val="품셈표"/>
      <sheetName val="백암비스타내역"/>
      <sheetName val="6. 직접경비"/>
      <sheetName val="배수장토목공사비"/>
      <sheetName val="전기일위대가"/>
      <sheetName val="TOTAL3"/>
      <sheetName val="Sheet1 (2)"/>
      <sheetName val="MATERIAL"/>
      <sheetName val="접속도로1"/>
      <sheetName val="날개벽수량표"/>
      <sheetName val="지급자재"/>
      <sheetName val="식재인부"/>
      <sheetName val="가로등내역서"/>
      <sheetName val="22단가"/>
      <sheetName val="22산출"/>
      <sheetName val="49산출"/>
      <sheetName val="관접합및부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VXXXXX"/>
      <sheetName val="적용대가"/>
      <sheetName val="지수내역"/>
      <sheetName val="노(97.1,97.9,98.1)"/>
      <sheetName val="조경적용"/>
      <sheetName val="조경내역"/>
      <sheetName val="기계적용"/>
      <sheetName val="기계내역"/>
      <sheetName val="계장적용 "/>
      <sheetName val="계장내역"/>
      <sheetName val="개소별수량산출"/>
      <sheetName val="#REF"/>
      <sheetName val="토사(PE)"/>
      <sheetName val="노임단가"/>
      <sheetName val="수목표준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 (2)"/>
      <sheetName val="견적서표지 (2)"/>
      <sheetName val="견적서갑지 (2)"/>
      <sheetName val="공사비총괄표 (3)"/>
      <sheetName val="A동소화 (2)"/>
      <sheetName val="A동자탐 (2)"/>
      <sheetName val="단가표"/>
      <sheetName val="견적서표지"/>
      <sheetName val="견적서갑지"/>
      <sheetName val="공사비총괄표 (2)"/>
      <sheetName val="A동소화"/>
      <sheetName val="A동자탐"/>
      <sheetName val="B동소화"/>
      <sheetName val="B동자탐 "/>
      <sheetName val="Macro1"/>
      <sheetName val="단가산출"/>
      <sheetName val="Sheet5"/>
      <sheetName val="Sheet4"/>
      <sheetName val="건축공사비내역서-아파트"/>
      <sheetName val="건축공사비내역서-기타시설"/>
      <sheetName val="CON'C"/>
      <sheetName val="횡배수관집현황(2공구)"/>
      <sheetName val="Sheet1"/>
      <sheetName val="단가산출목록표"/>
      <sheetName val="일위목록"/>
      <sheetName val="경산"/>
      <sheetName val="개소별수량산출"/>
      <sheetName val="단가조사서"/>
      <sheetName val="단가조사"/>
      <sheetName val="일위대가목차"/>
      <sheetName val="지하층LOAD"/>
      <sheetName val="일위대가표"/>
      <sheetName val="백암비스타내역"/>
      <sheetName val="소포내역 (2)"/>
      <sheetName val="일위대가"/>
      <sheetName val="노임단가"/>
      <sheetName val="소비자가"/>
      <sheetName val="front"/>
      <sheetName val="단가일람"/>
      <sheetName val="조경일람"/>
      <sheetName val="원가"/>
      <sheetName val="FB25JN"/>
      <sheetName val="Mc1"/>
      <sheetName val="철거산출근거"/>
      <sheetName val="배전단가2"/>
      <sheetName val="JUCKEYK"/>
      <sheetName val="단가표 _2_"/>
      <sheetName val="9811"/>
      <sheetName val="공통단가"/>
      <sheetName val="운반비"/>
      <sheetName val="Y-WORK"/>
      <sheetName val="토목주소"/>
      <sheetName val="프랜트면허"/>
      <sheetName val="단가집계목록"/>
      <sheetName val="공통자재단가"/>
      <sheetName val="건설기계단가"/>
      <sheetName val="배관배선 단가조사"/>
      <sheetName val="단가표_(2)"/>
      <sheetName val="견적서표지_(2)"/>
      <sheetName val="견적서갑지_(2)"/>
      <sheetName val="공사비총괄표_(3)"/>
      <sheetName val="A동소화_(2)"/>
      <sheetName val="A동자탐_(2)"/>
      <sheetName val="공사비총괄표_(2)"/>
      <sheetName val="B동자탐_"/>
      <sheetName val="단가표__2_"/>
      <sheetName val="횡배산근5(2공구)"/>
      <sheetName val="자료"/>
      <sheetName val="기초단가"/>
      <sheetName val="실행내역 "/>
      <sheetName val="단위량당중기"/>
      <sheetName val="적용건축"/>
      <sheetName val="위치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청구서"/>
      <sheetName val="수입인지"/>
      <sheetName val="보증금납부서"/>
      <sheetName val="변경계약서"/>
      <sheetName val="변경승낙서"/>
      <sheetName val="기성부분검사원"/>
      <sheetName val="추가보증"/>
      <sheetName val="견적서"/>
      <sheetName val="인감증명신청서"/>
      <sheetName val="비산먼지발생사업"/>
      <sheetName val="특정공사사전신고서"/>
      <sheetName val="하도급통지서"/>
      <sheetName val="front"/>
      <sheetName val="입찰참가신청서"/>
      <sheetName val="사용인감계"/>
      <sheetName val="도급표준계약서"/>
      <sheetName val="공문"/>
      <sheetName val="하도급계약서"/>
      <sheetName val="재무제표증명원"/>
      <sheetName val="사실증명원"/>
      <sheetName val="착공계"/>
      <sheetName val="준공계"/>
      <sheetName val="준공검사원"/>
      <sheetName val="선금급지급원"/>
      <sheetName val="선금급월별사용계획"/>
      <sheetName val="계좌입금의뢰서"/>
      <sheetName val="각서"/>
      <sheetName val="재직증명서"/>
      <sheetName val="현장대리인계"/>
      <sheetName val="사진대지"/>
      <sheetName val="공사공정표"/>
      <sheetName val="안전관리비"/>
      <sheetName val="안전관리비내역"/>
      <sheetName val="단가표 (2)"/>
      <sheetName val="횡배수관집현황(2공구)"/>
      <sheetName val="경산"/>
      <sheetName val="개소별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4">
          <cell r="AC24" t="str">
            <v>최고종합건설(주)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VXXXXX"/>
      <sheetName val="적용대가"/>
      <sheetName val="지수내역"/>
      <sheetName val="노(97.1,97.9,98.1)"/>
      <sheetName val="차액보증"/>
      <sheetName val="일위대가서식"/>
      <sheetName val="설계예시"/>
      <sheetName val="Sheet1"/>
      <sheetName val="내역서"/>
      <sheetName val="원가계산서"/>
      <sheetName val="J형측구단위수량"/>
      <sheetName val="2공구산출내역"/>
      <sheetName val="SLAB"/>
      <sheetName val="front"/>
      <sheetName val="KIM"/>
      <sheetName val="횡배수관집현황(2공구)"/>
      <sheetName val="개소별수량산출"/>
      <sheetName val="기자재비"/>
      <sheetName val="단가조사"/>
      <sheetName val="부대공"/>
      <sheetName val="포장공"/>
      <sheetName val="토공"/>
      <sheetName val="단가표 (2)"/>
      <sheetName val="1"/>
      <sheetName val="노임단가"/>
      <sheetName val="요율"/>
      <sheetName val="설계명세"/>
      <sheetName val="일위(설)"/>
      <sheetName val="적용기준"/>
      <sheetName val="#REF"/>
      <sheetName val="정부노임단가"/>
      <sheetName val="부하계산서"/>
      <sheetName val="내역1"/>
      <sheetName val="archi(본사)"/>
      <sheetName val="물가자료"/>
      <sheetName val="구리토평1전기"/>
      <sheetName val="기계설비"/>
      <sheetName val="제경비(전체)"/>
      <sheetName val="영창26"/>
      <sheetName val="구매내역1"/>
      <sheetName val="대총괄표"/>
      <sheetName val="공량산출서"/>
      <sheetName val="ABUT수량-A1"/>
      <sheetName val="70%"/>
      <sheetName val="청구서"/>
      <sheetName val="원가"/>
      <sheetName val="기둥(원형)"/>
      <sheetName val="기초공"/>
      <sheetName val="피벗테이블데이터분석"/>
      <sheetName val="적용단위길이"/>
      <sheetName val="총괄"/>
      <sheetName val="접속도로1"/>
      <sheetName val="단가"/>
      <sheetName val="자재"/>
      <sheetName val="물량표"/>
      <sheetName val="용산1(해보)"/>
      <sheetName val="노(97_1,97_9,98_1)"/>
      <sheetName val="N賃率-職"/>
      <sheetName val="CODE"/>
      <sheetName val="몸체(460×600)"/>
      <sheetName val="BID"/>
      <sheetName val="QandAJunior"/>
      <sheetName val="인건-측정"/>
      <sheetName val="인건비"/>
      <sheetName val="토사(PE)"/>
      <sheetName val="Mc1"/>
      <sheetName val="갑지"/>
      <sheetName val="집계표"/>
      <sheetName val="목차"/>
      <sheetName val="Macro1"/>
      <sheetName val="일위대가-1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원가"/>
      <sheetName val="경산"/>
      <sheetName val="front"/>
      <sheetName val="횡배수관집현황(2공구)"/>
      <sheetName val="단가표 (2)"/>
      <sheetName val="차액보증"/>
      <sheetName val="N賃率-職"/>
      <sheetName val="Sheet1"/>
      <sheetName val="개소별수량산출"/>
      <sheetName val="서식"/>
      <sheetName val="재료표"/>
      <sheetName val="제안서"/>
      <sheetName val="완도수~1"/>
      <sheetName val="기둥(원형)"/>
      <sheetName val="기초공"/>
      <sheetName val="단위중량"/>
      <sheetName val="노임단가"/>
      <sheetName val="적용건축"/>
      <sheetName val="단가조사"/>
      <sheetName val="직접수량"/>
      <sheetName val="단가조서"/>
      <sheetName val="2공구산출내역"/>
      <sheetName val="PSCbeam설계"/>
      <sheetName val="물가자료"/>
      <sheetName val="공통가설"/>
      <sheetName val="피벗테이블데이터분석"/>
      <sheetName val="적용단위길이"/>
      <sheetName val="일위대가서식"/>
      <sheetName val="인건-측정"/>
      <sheetName val="내역서"/>
      <sheetName val="공사개요"/>
      <sheetName val="배관내역"/>
      <sheetName val="단가대비표"/>
      <sheetName val="일위대가목록"/>
      <sheetName val="데리네이타현황"/>
      <sheetName val="단가표"/>
      <sheetName val="기존단가 (2)"/>
      <sheetName val="주소"/>
      <sheetName val="일위(설)"/>
      <sheetName val="위치조서"/>
      <sheetName val="총괄"/>
      <sheetName val="하수BOX이설"/>
      <sheetName val="별표"/>
      <sheetName val="BOX전기내역"/>
      <sheetName val="갑지(추정)"/>
      <sheetName val="BID"/>
      <sheetName val="J형측구단위수량"/>
      <sheetName val="도로단위당"/>
      <sheetName val="노임"/>
      <sheetName val="일위목록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서식"/>
      <sheetName val="일위대가서식 (2)"/>
      <sheetName val="일위대가서식 (3)"/>
      <sheetName val="기계설비"/>
      <sheetName val="front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종별예산조서"/>
      <sheetName val="일위대가신설(무안) (2)"/>
      <sheetName val="일위대가기초(무안)"/>
      <sheetName val="인공산출(몽탄)"/>
      <sheetName val="인공산출서(임성리)"/>
      <sheetName val="일위대가기초(몽탄)"/>
      <sheetName val="공종인공산출(무안)"/>
      <sheetName val="일위대가기초(임성리)"/>
      <sheetName val="자재단가표몽"/>
      <sheetName val="자재단가표무"/>
      <sheetName val="자재단가표임"/>
      <sheetName val="Sheet1"/>
      <sheetName val="Sheet2"/>
      <sheetName val="Sheet3"/>
      <sheetName val="Sheet4"/>
      <sheetName val="Sheet5"/>
      <sheetName val="49수량"/>
      <sheetName val="48수량"/>
      <sheetName val="22수량"/>
      <sheetName val="자재단가"/>
      <sheetName val="철근집계"/>
      <sheetName val="J형측구단위수량"/>
      <sheetName val="일위목록"/>
      <sheetName val="품셈총괄표"/>
      <sheetName val="조인트"/>
      <sheetName val="입찰결과보고"/>
      <sheetName val="상수도토공집계표"/>
      <sheetName val="일위대가"/>
      <sheetName val="적용건축"/>
      <sheetName val="원가"/>
      <sheetName val="아파트 "/>
      <sheetName val="DATA"/>
      <sheetName val="내역서"/>
      <sheetName val="FB25JN"/>
      <sheetName val="직노"/>
      <sheetName val="기계경비"/>
      <sheetName val="자재일람"/>
      <sheetName val="무안외4역일위대가"/>
      <sheetName val="일위대가서식"/>
      <sheetName val="원가계산서"/>
      <sheetName val="01후반노무비"/>
      <sheetName val="대치판정"/>
      <sheetName val="일위대가-3"/>
      <sheetName val="1동조도"/>
      <sheetName val="퍼스트"/>
      <sheetName val="제경비"/>
      <sheetName val="단위세대물량"/>
      <sheetName val="수량산출서"/>
      <sheetName val="#REF"/>
      <sheetName val="적용기준"/>
      <sheetName val="2000년1차"/>
      <sheetName val="기계설비"/>
      <sheetName val="front"/>
      <sheetName val="2공구산출내역"/>
      <sheetName val="실행철강하도"/>
      <sheetName val="설계명세서"/>
      <sheetName val="예산명세서"/>
      <sheetName val="자료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VXXXXX"/>
      <sheetName val="적용대가"/>
      <sheetName val="지수내역"/>
      <sheetName val="노(97.1,97.9,98.1)"/>
      <sheetName val="적용건축"/>
      <sheetName val="일위대가"/>
      <sheetName val="수토공단위당"/>
      <sheetName val="COL"/>
      <sheetName val="Baby일위대가"/>
      <sheetName val="인건-측정"/>
      <sheetName val="경산"/>
      <sheetName val="QandAJunior"/>
      <sheetName val="김포IO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Sheet5"/>
      <sheetName val="우수공집계"/>
      <sheetName val="#REF"/>
      <sheetName val="내역"/>
      <sheetName val="FB25JN"/>
      <sheetName val="KKK"/>
      <sheetName val="단가산출"/>
      <sheetName val="저"/>
      <sheetName val="기계내역"/>
      <sheetName val="쌍송교"/>
      <sheetName val="원가"/>
      <sheetName val="공정율"/>
      <sheetName val="pldt"/>
      <sheetName val="건집"/>
      <sheetName val="건축"/>
      <sheetName val="기설집"/>
      <sheetName val="설집"/>
      <sheetName val="내역서"/>
      <sheetName val="내역서(삼호)"/>
      <sheetName val="직접수량"/>
      <sheetName val="철거산출근거"/>
      <sheetName val="J형측구단위수량"/>
      <sheetName val="피벗테이블데이터분석"/>
      <sheetName val="적용단위길이"/>
      <sheetName val="대비2"/>
      <sheetName val="자재비"/>
      <sheetName val="단가조사"/>
      <sheetName val="견적서"/>
      <sheetName val="전기공사일위대가"/>
      <sheetName val="도로단위당"/>
      <sheetName val="횡배수관집현황(2공구)"/>
      <sheetName val="일위대가서식"/>
      <sheetName val="단가표 (2)"/>
      <sheetName val="수량산출서"/>
      <sheetName val="산출-설비"/>
      <sheetName val="영창26"/>
      <sheetName val="J直材4"/>
      <sheetName val="외주비"/>
      <sheetName val="토목공사"/>
      <sheetName val="단가"/>
      <sheetName val="아파트건축"/>
      <sheetName val="N賃率-職"/>
      <sheetName val="2공구산출내역"/>
      <sheetName val="차선도색현황"/>
      <sheetName val="표지"/>
      <sheetName val="중기"/>
      <sheetName val="수공기"/>
      <sheetName val="주소"/>
      <sheetName val="단가산출서"/>
      <sheetName val="WEIGHT LIST"/>
      <sheetName val="POL6차-PIPING"/>
      <sheetName val="산#2-1 (2)"/>
      <sheetName val="Macro1"/>
      <sheetName val="ABUT수량-A1"/>
      <sheetName val="2차기성내역서"/>
      <sheetName val="원가계산"/>
      <sheetName val="수정내역"/>
      <sheetName val="일위대가표"/>
      <sheetName val="실행내역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집계표"/>
      <sheetName val="제작총집계표"/>
      <sheetName val="총경기장별내역서(10-11)"/>
      <sheetName val="경기장별내역서(12-107)"/>
      <sheetName val="중기사용료"/>
      <sheetName val="재료단가"/>
      <sheetName val="노임단가"/>
      <sheetName val="기본일위"/>
      <sheetName val="I一般比"/>
      <sheetName val="재료"/>
      <sheetName val="기본단가표"/>
      <sheetName val="현장"/>
      <sheetName val="식재인부"/>
      <sheetName val="교통대책내역"/>
      <sheetName val="MAIN_TABLE"/>
      <sheetName val="백암비스타내역"/>
      <sheetName val="101동"/>
      <sheetName val="2000년1차"/>
      <sheetName val="2000전체분"/>
      <sheetName val="설계서"/>
      <sheetName val="실행"/>
      <sheetName val="건축내역"/>
      <sheetName val="예산M11A"/>
      <sheetName val="출자한도"/>
      <sheetName val="일대-1"/>
      <sheetName val="Y-WORK"/>
      <sheetName val="소비자가"/>
      <sheetName val="자료"/>
      <sheetName val="3BL공동구 수량"/>
      <sheetName val="공사개요(서광주)"/>
      <sheetName val="기초자료"/>
      <sheetName val="공사비총괄표"/>
      <sheetName val="asd"/>
      <sheetName val="적용토목"/>
      <sheetName val="6PILE  (돌출)"/>
      <sheetName val="지하"/>
      <sheetName val="골재산출"/>
      <sheetName val="대공종"/>
      <sheetName val="AIR SHOWER(3인용)"/>
      <sheetName val="총괄표"/>
      <sheetName val="차수공개요"/>
      <sheetName val="조명율표"/>
      <sheetName val="본체"/>
      <sheetName val="5공철탑검토표"/>
      <sheetName val="4공철탑검토"/>
      <sheetName val="일위대가목차"/>
      <sheetName val="본공사"/>
      <sheetName val="설직재-1"/>
      <sheetName val="요율"/>
      <sheetName val="갑지"/>
      <sheetName val="내역서(중수)"/>
      <sheetName val="CAT_5"/>
      <sheetName val="단가비교표_공통1"/>
      <sheetName val="CTEMCOST"/>
      <sheetName val="48전력선로일위"/>
      <sheetName val="단가표"/>
      <sheetName val="산근"/>
      <sheetName val="금액내역서"/>
      <sheetName val="철탑공사"/>
      <sheetName val="기초내역서"/>
      <sheetName val="수량산출"/>
      <sheetName val="대가목록표"/>
      <sheetName val="갑지(추정)"/>
      <sheetName val="산출근거"/>
      <sheetName val="LF자재단가"/>
      <sheetName val="지질조사"/>
      <sheetName val="교각별철근수량집계표"/>
      <sheetName val="산출내역서"/>
      <sheetName val="코드표"/>
      <sheetName val="Customer Databas"/>
      <sheetName val="스포회원매출"/>
      <sheetName val="재료비노무비"/>
      <sheetName val="당초"/>
      <sheetName val="물가자료"/>
      <sheetName val="데이타"/>
      <sheetName val="DATA"/>
      <sheetName val="토공(우물통,기타) "/>
      <sheetName val="교수설계"/>
      <sheetName val="공사직종별노임"/>
      <sheetName val="노임"/>
      <sheetName val="위생설비"/>
      <sheetName val="RE9604"/>
      <sheetName val="NYS"/>
      <sheetName val="단중표"/>
      <sheetName val="자재단가"/>
      <sheetName val="당진1,2호기전선관설치및접지4차공사내역서-을지"/>
      <sheetName val="식재수량표"/>
      <sheetName val="총괄"/>
      <sheetName val="집계"/>
      <sheetName val="공량집"/>
      <sheetName val="배부율"/>
      <sheetName val="완성1"/>
      <sheetName val="완성2"/>
      <sheetName val="산재비율"/>
      <sheetName val="안전비율"/>
      <sheetName val="일반비율"/>
      <sheetName val="공량"/>
      <sheetName val="입찰안"/>
      <sheetName val="내역서2안"/>
      <sheetName val=" HIT-&gt;HMC 견적(3900)"/>
      <sheetName val="예산"/>
      <sheetName val="Sheet6"/>
      <sheetName val="도급기성"/>
      <sheetName val="설비단가표"/>
      <sheetName val="연부97-1"/>
      <sheetName val="조건표"/>
      <sheetName val="자갈,시멘트,모래산출"/>
      <sheetName val="오수공수량집계표"/>
      <sheetName val="기술부대조건"/>
      <sheetName val="LEGEND"/>
      <sheetName val="원가 (2)"/>
      <sheetName val="특외대"/>
      <sheetName val="율촌법률사무소2내역"/>
      <sheetName val="식생블럭단위수량"/>
      <sheetName val="노임,재료비"/>
      <sheetName val="토공 total"/>
      <sheetName val="6호기"/>
      <sheetName val="금액집계"/>
      <sheetName val="102역사"/>
      <sheetName val="96정변2"/>
      <sheetName val="목록"/>
      <sheetName val="조명시설"/>
      <sheetName val="노무,재료"/>
      <sheetName val="견적"/>
      <sheetName val="일위대가(계측기설치)"/>
      <sheetName val="1.설계조건"/>
      <sheetName val="시설물기초"/>
      <sheetName val=" 냉각수펌프"/>
      <sheetName val="AHU집계"/>
      <sheetName val="ELEC"/>
      <sheetName val="9GNG운반"/>
      <sheetName val="N賃率_職"/>
      <sheetName val="내역(원안-대안)"/>
      <sheetName val="일반전기C"/>
      <sheetName val="조경일람"/>
      <sheetName val="사다리"/>
      <sheetName val="CIVIL4"/>
      <sheetName val="공통가설공사"/>
      <sheetName val="본체철근표"/>
      <sheetName val="전기일위목록"/>
      <sheetName val="001"/>
      <sheetName val="단위내역서"/>
      <sheetName val="공사개요"/>
      <sheetName val="국내"/>
      <sheetName val="공통가설"/>
      <sheetName val="노무비"/>
      <sheetName val="데리네이타현황"/>
      <sheetName val="도급견적가"/>
      <sheetName val="기계경비(시간당)"/>
      <sheetName val="guard(mac)"/>
      <sheetName val="부대공Ⅱ"/>
      <sheetName val="원가계산서"/>
      <sheetName val="공조기휀"/>
      <sheetName val="시멘트"/>
      <sheetName val="수주추정"/>
      <sheetName val="제-노임"/>
      <sheetName val="제직재"/>
      <sheetName val="설_(3)"/>
      <sheetName val="설_(2)"/>
      <sheetName val="3BL공동구_수량"/>
      <sheetName val="Customer_Databas"/>
      <sheetName val="토공_total"/>
      <sheetName val="_HIT-&gt;HMC_견적(3900)"/>
      <sheetName val="토공(우물통,기타)_"/>
      <sheetName val="AIR_SHOWER(3인용)"/>
      <sheetName val="노(97_1,97_9,98_1)"/>
      <sheetName val="6PILE__(돌출)"/>
      <sheetName val="원가_(2)"/>
      <sheetName val="제작비추산총괄표"/>
      <sheetName val="갑"/>
      <sheetName val="물량입력"/>
      <sheetName val="간접1"/>
      <sheetName val="장비가동"/>
      <sheetName val="원가서"/>
      <sheetName val="주beam"/>
      <sheetName val="대치판정"/>
      <sheetName val="내역서1"/>
      <sheetName val="부하자료"/>
      <sheetName val="찍기"/>
      <sheetName val="일위목록"/>
      <sheetName val="역공종"/>
      <sheetName val="갑지1"/>
      <sheetName val="전선 및 전선관"/>
      <sheetName val="200"/>
      <sheetName val="DATE"/>
      <sheetName val="토공"/>
      <sheetName val="첨부1"/>
      <sheetName val="일위대가1"/>
      <sheetName val="청주(철골발주의뢰서)"/>
      <sheetName val="직재"/>
      <sheetName val="총수량집계표"/>
      <sheetName val="내역서 "/>
      <sheetName val="카메라"/>
      <sheetName val="일위(철거)"/>
      <sheetName val="내역(설계)"/>
      <sheetName val="물량표"/>
      <sheetName val="토공집계표"/>
      <sheetName val="을지"/>
      <sheetName val="단"/>
      <sheetName val="기계공사비집계(원안)"/>
      <sheetName val="터파기및재료"/>
      <sheetName val="내역서 제출"/>
      <sheetName val="ITEM"/>
      <sheetName val="내역표지"/>
      <sheetName val="COST"/>
      <sheetName val="노 무 비"/>
      <sheetName val="연결관암거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약품공급2"/>
      <sheetName val="현장관리비"/>
      <sheetName val="원본"/>
      <sheetName val="Sheet7(ㅅ)"/>
      <sheetName val="백룡교차로"/>
      <sheetName val="산정교차로"/>
      <sheetName val="신영교차로"/>
      <sheetName val="E총15"/>
      <sheetName val="내역관리1"/>
      <sheetName val="내역서(기성청구)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3.2제조설비"/>
      <sheetName val="f산출"/>
      <sheetName val="하이테콤직원"/>
      <sheetName val="MOTOR"/>
      <sheetName val="산출0"/>
      <sheetName val="금융비용"/>
      <sheetName val="콘크리트"/>
      <sheetName val="총괄집계표"/>
      <sheetName val="빌딩 안내"/>
      <sheetName val="교사기준면적(초등)"/>
      <sheetName val="일위대가 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관로공정"/>
      <sheetName val="토사(PE)"/>
      <sheetName val="01"/>
      <sheetName val="수배전반"/>
      <sheetName val="총내역서"/>
      <sheetName val="작업일보"/>
      <sheetName val="내역서01"/>
      <sheetName val="예산서"/>
      <sheetName val="구천"/>
      <sheetName val="설계예시"/>
      <sheetName val="기초입력 DATA"/>
      <sheetName val="자재단가리스트"/>
      <sheetName val="사급자재(1단계)"/>
      <sheetName val="견적업체"/>
      <sheetName val="자재대"/>
      <sheetName val="간지"/>
      <sheetName val="견적단가"/>
      <sheetName val="전기"/>
      <sheetName val="기초작업"/>
      <sheetName val="출력은 금물"/>
      <sheetName val="일위대가(건축)"/>
      <sheetName val="간접비"/>
      <sheetName val="도급내역서"/>
      <sheetName val="부분별수량산출(조합기초)"/>
      <sheetName val="기자재비"/>
      <sheetName val="단가 "/>
      <sheetName val="COVER"/>
      <sheetName val="EJ"/>
      <sheetName val="일위대가(출입)"/>
      <sheetName val="식재일위대가"/>
      <sheetName val="전기2005"/>
      <sheetName val="통신2005"/>
      <sheetName val="별표 "/>
      <sheetName val="Inst."/>
      <sheetName val="01상노임"/>
      <sheetName val="입력변수"/>
      <sheetName val="일위"/>
      <sheetName val="계약서"/>
      <sheetName val="sub"/>
      <sheetName val="반포2차"/>
      <sheetName val="하도급원가계산총괄표(식재)"/>
      <sheetName val="공사착공계"/>
      <sheetName val="특별땅고르기"/>
      <sheetName val="단위단가"/>
      <sheetName val="노무비 근거"/>
      <sheetName val="상가분양"/>
      <sheetName val="INPUT"/>
      <sheetName val="직접공사비"/>
      <sheetName val="JUCKEYK"/>
      <sheetName val="건축원가"/>
      <sheetName val="#3_일위대가목록"/>
      <sheetName val="2000년 공정표"/>
      <sheetName val="기초일위"/>
      <sheetName val="노무비단가"/>
      <sheetName val="설계조건"/>
      <sheetName val="배수내역"/>
      <sheetName val="기흥하도용"/>
      <sheetName val="별표"/>
      <sheetName val="차액보증"/>
      <sheetName val="1공구산출내역서"/>
      <sheetName val="지점장"/>
      <sheetName val="유기공정"/>
      <sheetName val="유림콘도"/>
      <sheetName val="암거단위"/>
      <sheetName val="단가대비표 (3)"/>
      <sheetName val="을"/>
      <sheetName val="접지수량"/>
      <sheetName val="J-EQ"/>
      <sheetName val="구리토평1전기"/>
      <sheetName val="C.전기공사"/>
      <sheetName val="내역서적용수량"/>
      <sheetName val="가도공"/>
      <sheetName val="부대"/>
      <sheetName val="일위CODE"/>
      <sheetName val="gyun"/>
      <sheetName val="날개벽수량표"/>
      <sheetName val="자재표"/>
      <sheetName val="간접비계산"/>
      <sheetName val="전기내역"/>
      <sheetName val="신우"/>
      <sheetName val="유림총괄"/>
      <sheetName val="현장관리비참조"/>
      <sheetName val="민감도"/>
      <sheetName val="총괄내역"/>
      <sheetName val="예가표"/>
      <sheetName val="터널조도"/>
      <sheetName val="3본사"/>
      <sheetName val="봉방동근생"/>
      <sheetName val="기타 정보통신공사"/>
      <sheetName val="개요"/>
      <sheetName val="노임단가(08.01)"/>
      <sheetName val="청도공장"/>
      <sheetName val="세부내역서(전기)"/>
      <sheetName val="수량산출(생반)"/>
      <sheetName val="제경비율"/>
      <sheetName val="기본가정"/>
      <sheetName val="(1)본선수량집계"/>
      <sheetName val="청곡지선입력"/>
      <sheetName val="보증수수료산출"/>
      <sheetName val="화재 탐지 설비"/>
      <sheetName val="부대내역"/>
      <sheetName val="세골재  T2 변경 현황"/>
      <sheetName val="통합집계표"/>
      <sheetName val="단가일람"/>
      <sheetName val="갑지.을지"/>
      <sheetName val="실행철강하도"/>
      <sheetName val="BID"/>
      <sheetName val="일위대가(1)"/>
      <sheetName val="작성"/>
      <sheetName val="손익분석"/>
      <sheetName val="그림"/>
      <sheetName val="그림2"/>
      <sheetName val="포승중환경개선공사(변경)"/>
      <sheetName val="철근중량"/>
      <sheetName val="ESCO개보수공사"/>
      <sheetName val="Uint보온"/>
      <sheetName val="재집"/>
      <sheetName val="교각1"/>
      <sheetName val="설계"/>
      <sheetName val="품셈"/>
      <sheetName val="전체"/>
      <sheetName val="0Title"/>
      <sheetName val="추가예산"/>
      <sheetName val="오동"/>
      <sheetName val="대조"/>
      <sheetName val="나한"/>
      <sheetName val="부대집계"/>
      <sheetName val="PIPING"/>
      <sheetName val="전신환매도율"/>
      <sheetName val="ilch"/>
      <sheetName val="대,유,램"/>
      <sheetName val="국별인원"/>
      <sheetName val="일위대가(4층원격)"/>
      <sheetName val="기초일위대가"/>
      <sheetName val="단가대비표"/>
      <sheetName val="산출기초"/>
      <sheetName val="Sheet1 (2)"/>
      <sheetName val="소방"/>
      <sheetName val="사업수지"/>
      <sheetName val="정부노임단가"/>
      <sheetName val="1구간BOQ"/>
      <sheetName val="도급내역"/>
      <sheetName val="공량(1월22일)"/>
      <sheetName val="단위중량"/>
      <sheetName val="출력은_금물"/>
      <sheetName val="_냉각수펌프"/>
      <sheetName val="단가_"/>
      <sheetName val="일반공사"/>
      <sheetName val="8.PILE  (돌출)"/>
      <sheetName val="횡배수관토공수량"/>
      <sheetName val="98수문일위"/>
      <sheetName val="위치조서"/>
      <sheetName val="세동별비상"/>
      <sheetName val="2F 회의실견적(5_14 일대)"/>
      <sheetName val="단가조사서"/>
      <sheetName val="Sheet38"/>
      <sheetName val="부속동"/>
      <sheetName val="1안"/>
      <sheetName val="부대공"/>
      <sheetName val="포장공"/>
      <sheetName val="원가계산서 "/>
      <sheetName val="도담구내 개소별 명세"/>
      <sheetName val="입상내역"/>
      <sheetName val="연습"/>
      <sheetName val="변경내역(전체)"/>
      <sheetName val="조건표 (2)"/>
      <sheetName val="Sheet4"/>
      <sheetName val="인공산출"/>
      <sheetName val="철근량"/>
      <sheetName val="내역전기"/>
      <sheetName val="원가총괄"/>
      <sheetName val="조명율"/>
      <sheetName val="1000 DB구축 부표"/>
      <sheetName val="CT "/>
      <sheetName val="발신정보"/>
      <sheetName val="기초대가"/>
      <sheetName val="조도계산서 (도서)"/>
      <sheetName val="명세서"/>
      <sheetName val="맨홀수량산출"/>
      <sheetName val="유림골조"/>
      <sheetName val="참조자료"/>
      <sheetName val="계측기"/>
      <sheetName val="대"/>
      <sheetName val="옥외계측"/>
      <sheetName val="Total"/>
      <sheetName val="99년하반기"/>
      <sheetName val="말뚝지지력산정"/>
      <sheetName val="엔지니어링"/>
      <sheetName val="98지급계획"/>
      <sheetName val="20관리비율"/>
      <sheetName val="내역서중"/>
      <sheetName val="교각계산"/>
      <sheetName val="직접노무"/>
      <sheetName val="직접재료"/>
      <sheetName val="패널"/>
      <sheetName val="자료입력"/>
      <sheetName val="철콘"/>
      <sheetName val="표  지"/>
      <sheetName val="분전반"/>
      <sheetName val="간접(90)"/>
      <sheetName val="품셈총괄"/>
      <sheetName val="표층포설및다짐"/>
      <sheetName val="인적사항"/>
      <sheetName val="단재적표"/>
      <sheetName val="투찰가"/>
      <sheetName val="공문"/>
      <sheetName val="수목표준대가"/>
      <sheetName val="예산총괄"/>
      <sheetName val="CODE"/>
      <sheetName val="인공"/>
      <sheetName val="도급자재"/>
      <sheetName val="설_(3)1"/>
      <sheetName val="설_(2)1"/>
      <sheetName val="3BL공동구_수량1"/>
      <sheetName val="1_설계조건"/>
      <sheetName val="2000년_공정표"/>
      <sheetName val="노무비_근거"/>
      <sheetName val="전선_및_전선관"/>
      <sheetName val="효성CB_1P기초"/>
      <sheetName val="내역서_제출"/>
      <sheetName val="중기일위대가"/>
      <sheetName val="물가시세"/>
      <sheetName val="부하"/>
      <sheetName val="지급자재"/>
      <sheetName val="수량총괄"/>
      <sheetName val="DATA테이블1 (2)"/>
      <sheetName val="건축기계설비표선정수장"/>
      <sheetName val="DB"/>
      <sheetName val="공연,전시"/>
      <sheetName val="A 견적"/>
      <sheetName val="s.v"/>
      <sheetName val="공사입찰정보입력"/>
      <sheetName val="국내조달(통합-1)"/>
      <sheetName val="工관리비율"/>
      <sheetName val="工완성공사율"/>
      <sheetName val="정거장 설계조건"/>
      <sheetName val="주요기준"/>
      <sheetName val="자재단가비교표"/>
      <sheetName val="b_balju"/>
      <sheetName val="노무단가산정"/>
      <sheetName val="2000.05"/>
      <sheetName val="구의33고"/>
      <sheetName val="구성1"/>
      <sheetName val="갑  지"/>
      <sheetName val="구매내역1"/>
      <sheetName val="일위대가내역"/>
      <sheetName val="전기일위대가"/>
      <sheetName val="AHU-01"/>
      <sheetName val="수로교"/>
      <sheetName val="1차 내역서"/>
      <sheetName val="일위대가-2"/>
      <sheetName val="기계설비"/>
      <sheetName val="1,2공구원가계산서"/>
      <sheetName val="날개수량1.5"/>
      <sheetName val="일단의 주택지"/>
      <sheetName val="견적내역서"/>
      <sheetName val="구조물공1"/>
      <sheetName val="배수및구조물공1"/>
      <sheetName val="기둥(원형)"/>
      <sheetName val="기초공"/>
      <sheetName val="archi(본사)"/>
      <sheetName val="FAX"/>
      <sheetName val="파일의이용"/>
      <sheetName val="산출"/>
      <sheetName val="사업부배부A"/>
      <sheetName val="구성2"/>
      <sheetName val="구성3"/>
      <sheetName val="구성4"/>
      <sheetName val="집"/>
      <sheetName val="문학간접"/>
      <sheetName val="작성방법"/>
      <sheetName val="배관BM(일반)"/>
      <sheetName val="암거치수표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내역5"/>
      <sheetName val="들고리(블록)(출력X)"/>
      <sheetName val="목포방향"/>
      <sheetName val="기계설비표선정수장"/>
      <sheetName val="1"/>
      <sheetName val="제안서입력"/>
      <sheetName val="장비선정 "/>
      <sheetName val="품셈TABLE"/>
      <sheetName val="가설공사"/>
      <sheetName val="자재일람"/>
      <sheetName val="견적(100%)"/>
      <sheetName val="기초자료입력"/>
      <sheetName val="실행대비"/>
      <sheetName val="16-1"/>
      <sheetName val="집수정토공"/>
      <sheetName val="설계명세서"/>
      <sheetName val="남양시작동자105노65기1.3화1.2"/>
      <sheetName val="국도접속 차도부수량"/>
      <sheetName val="조명일위"/>
      <sheetName val="참고"/>
      <sheetName val="본서하반기"/>
      <sheetName val="하반기(지구대)"/>
      <sheetName val="도급내역서(재노경)"/>
      <sheetName val="와동수량"/>
      <sheetName val="직원현황"/>
      <sheetName val="ELECTRIC"/>
      <sheetName val="철근집계"/>
      <sheetName val="COPING"/>
      <sheetName val="건설기계사용료목록"/>
      <sheetName val="간선계산"/>
      <sheetName val="사전공사"/>
      <sheetName val="직공비"/>
      <sheetName val="퍼스트"/>
      <sheetName val="직접시공계획서"/>
      <sheetName val="골조"/>
      <sheetName val="공기압축기실"/>
      <sheetName val="총공사내역서"/>
      <sheetName val="전체제잡비"/>
      <sheetName val="수량"/>
      <sheetName val="투찰금액"/>
      <sheetName val="관급_File"/>
      <sheetName val="세부내역"/>
      <sheetName val="점수계산1-2"/>
      <sheetName val="프랜트면허"/>
      <sheetName val="관급단가"/>
      <sheetName val="산출금액내역"/>
      <sheetName val="전계가"/>
      <sheetName val="2.고용보험료산출근거"/>
      <sheetName val="ÀÏÀ§(PANEL)"/>
      <sheetName val="용역비내역-진짜"/>
      <sheetName val="2공구하도급내역서"/>
      <sheetName val="1공구 건정토건 철콘"/>
      <sheetName val="적용공정"/>
      <sheetName val="48단가"/>
      <sheetName val="이형관"/>
      <sheetName val="동원인원"/>
      <sheetName val="준검 내역서"/>
      <sheetName val="견적의뢰"/>
      <sheetName val="일위단가"/>
      <sheetName val="기초목록"/>
      <sheetName val="단가(자재)"/>
      <sheetName val="골조시행"/>
      <sheetName val="샘플표지"/>
      <sheetName val="대보~세기"/>
      <sheetName val="대운반(철재)"/>
      <sheetName val="수지예산"/>
      <sheetName val="직원관리자료"/>
      <sheetName val="투찰(하수)"/>
      <sheetName val="원가계산서(변경)"/>
      <sheetName val="집수A"/>
      <sheetName val="WING3"/>
      <sheetName val="흥양2교토공집계표"/>
      <sheetName val="Base"/>
      <sheetName val="특수기호강도거푸집"/>
      <sheetName val="종배수관면벽신"/>
      <sheetName val="종배수관(신)"/>
      <sheetName val="현장관리비 산출내역"/>
      <sheetName val="전담운영PM"/>
      <sheetName val="원내역"/>
      <sheetName val="BOQ(전체)"/>
      <sheetName val="실행(1)"/>
      <sheetName val="가락화장을지"/>
      <sheetName val="기초입력"/>
      <sheetName val="입력"/>
      <sheetName val="&lt;--"/>
      <sheetName val="단가비교"/>
      <sheetName val="계화배수"/>
      <sheetName val="현장경비"/>
      <sheetName val="예비용"/>
      <sheetName val="공사추진현황"/>
      <sheetName val="단가 및 재료비"/>
      <sheetName val="공정코드"/>
      <sheetName val="상행-교대(A1-A2)"/>
      <sheetName val="전기설계변경"/>
      <sheetName val="일위(시설)"/>
      <sheetName val="BSD (2)"/>
      <sheetName val="화의-현금흐름"/>
      <sheetName val="바닥판"/>
      <sheetName val="입력DATA"/>
      <sheetName val="부자재 적용비율"/>
      <sheetName val="인부노임"/>
      <sheetName val="조정율"/>
      <sheetName val="노임200103"/>
      <sheetName val="자재테이블"/>
      <sheetName val="sst,stl창호"/>
      <sheetName val="양식_자재단가조사표"/>
      <sheetName val="하중계산"/>
      <sheetName val="안정성검토"/>
      <sheetName val="설계기준"/>
      <sheetName val="포장복구집계"/>
      <sheetName val="SHEET PILE단가"/>
      <sheetName val="사유서제출현황-2"/>
      <sheetName val="준공정산"/>
      <sheetName val="일위총괄표"/>
      <sheetName val="기초분물량표"/>
      <sheetName val="실행-집행"/>
      <sheetName val="특별교실"/>
      <sheetName val="5.동별횡주관경"/>
      <sheetName val="시운전연료비"/>
      <sheetName val="예산명세서"/>
      <sheetName val="합의경상"/>
      <sheetName val="B-data"/>
      <sheetName val="천방교접속"/>
      <sheetName val="대포2교접속"/>
      <sheetName val="tggwan(mac)"/>
      <sheetName val="예산총괄표"/>
      <sheetName val="인건비"/>
      <sheetName val="토목내역서 (도급단가)"/>
      <sheetName val="공통(20-91)"/>
      <sheetName val="공주-교대(A1)"/>
      <sheetName val="C3"/>
      <sheetName val="납부서"/>
      <sheetName val="대목"/>
      <sheetName val="WORK"/>
      <sheetName val="가로등내역서"/>
      <sheetName val="공사미수"/>
      <sheetName val="Mc1"/>
      <sheetName val="내역(100%)"/>
      <sheetName val="표지1"/>
      <sheetName val="산출근거(단청공사)"/>
      <sheetName val="물량"/>
      <sheetName val="산#3-1"/>
      <sheetName val="공량산출서"/>
      <sheetName val="대로근거"/>
      <sheetName val="관로토공"/>
      <sheetName val="우수관"/>
      <sheetName val="#2_일위대가목록"/>
      <sheetName val="TANK견적대지"/>
      <sheetName val="진흥지역조서(구역밖)"/>
      <sheetName val="건축공사"/>
      <sheetName val="신규 수주분(사용자 정의)"/>
      <sheetName val="동해title"/>
      <sheetName val="설-원가"/>
      <sheetName val="설치자재"/>
      <sheetName val="단중"/>
      <sheetName val="제출내역 (3)"/>
      <sheetName val="기성내역서표지"/>
      <sheetName val="담장산출"/>
      <sheetName val="도로일위대가표"/>
      <sheetName val="지하시설물작성"/>
      <sheetName val="노임(1차)"/>
      <sheetName val="기계공사"/>
      <sheetName val="물집"/>
      <sheetName val="앉음벽 (2)"/>
      <sheetName val="2.대외공문"/>
      <sheetName val="주안3차A-A"/>
      <sheetName val="간접경상비"/>
      <sheetName val="Cost bd-&quot;A&quot;"/>
      <sheetName val="기안1"/>
      <sheetName val=" 토목 처리장도급내역서 "/>
      <sheetName val="BF12-R0"/>
      <sheetName val="Summary Sheets"/>
      <sheetName val="견적조건"/>
      <sheetName val="자재발주서"/>
      <sheetName val="17F MOCKUP B-1,B-2"/>
      <sheetName val="단위수량"/>
      <sheetName val="공종단가"/>
      <sheetName val="증감대비"/>
      <sheetName val="wall"/>
      <sheetName val="공종"/>
      <sheetName val="일(4)"/>
      <sheetName val="산출내역서집계표"/>
      <sheetName val="4.본실행통합내역서"/>
      <sheetName val="실행간접비용"/>
      <sheetName val="참조"/>
      <sheetName val="노무비 "/>
      <sheetName val="평가데이터"/>
      <sheetName val="설계내역2"/>
      <sheetName val="기초"/>
      <sheetName val="D"/>
      <sheetName val="설계예산서"/>
      <sheetName val="공종목록표"/>
      <sheetName val="NO.1-NO12(설계예산서)"/>
      <sheetName val="공리일"/>
      <sheetName val="분전함신설"/>
      <sheetName val="접지1종"/>
      <sheetName val="설계내역서"/>
      <sheetName val="청천내"/>
      <sheetName val="1단계"/>
      <sheetName val="구조물공집계"/>
      <sheetName val="기계경비_시간당_"/>
      <sheetName val="22관계"/>
      <sheetName val="22기타(L,R)"/>
      <sheetName val="22전선계"/>
      <sheetName val="월래"/>
      <sheetName val="(A)내역서"/>
      <sheetName val="2003 일위대가"/>
      <sheetName val="설비"/>
      <sheetName val="INDEX"/>
      <sheetName val="현장관리비데이타"/>
      <sheetName val="공내역"/>
      <sheetName val="소각장스케줄"/>
      <sheetName val="인사자료총집계"/>
      <sheetName val="공사예산하조서(O.K)"/>
      <sheetName val="건축공사실행"/>
      <sheetName val="DAN"/>
      <sheetName val="백호우계수"/>
      <sheetName val="공사비"/>
      <sheetName val="1공구내역"/>
      <sheetName val="일위목록-기"/>
      <sheetName val="BOX전기내역"/>
      <sheetName val="길어깨(현황)"/>
      <sheetName val="60명당사(총괄)"/>
      <sheetName val="공종별내역서"/>
      <sheetName val="SG"/>
      <sheetName val="합천내역"/>
      <sheetName val="70%"/>
      <sheetName val="요약&amp;결과"/>
      <sheetName val="(4-2)열관류값-2"/>
      <sheetName val="금융"/>
      <sheetName val="일위목록데이타"/>
      <sheetName val="전기단가조사서"/>
      <sheetName val="화전내"/>
      <sheetName val="성곽내역서"/>
      <sheetName val="danga"/>
      <sheetName val="TEMP"/>
      <sheetName val="JA"/>
      <sheetName val="연결관단위"/>
      <sheetName val="항목등록"/>
      <sheetName val="토목"/>
      <sheetName val="기성내역"/>
      <sheetName val="토공사"/>
      <sheetName val="SIL98"/>
      <sheetName val="건물"/>
      <sheetName val="수배전반 을지"/>
      <sheetName val="터널단가일람"/>
      <sheetName val="거푸집단가일람"/>
      <sheetName val="콘크단가일람"/>
      <sheetName val="펌프차단가일람"/>
      <sheetName val="흄관단가일람"/>
      <sheetName val="도복장일람"/>
      <sheetName val="사통일람"/>
      <sheetName val="A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B25JN"/>
      <sheetName val="UF25JN"/>
      <sheetName val="DM1T"/>
      <sheetName val="DP2T"/>
      <sheetName val="방음시창"/>
      <sheetName val="방음문"/>
      <sheetName val="ST'L 리브"/>
      <sheetName val="흡음루바"/>
      <sheetName val="FB25JCN "/>
      <sheetName val="FB50JCN"/>
      <sheetName val="FB25CN"/>
      <sheetName val="GC25JN"/>
      <sheetName val="GC50JN"/>
      <sheetName val="ACCESS FL."/>
      <sheetName val="ACCESS FL. (2)"/>
      <sheetName val="TECTUM"/>
      <sheetName val="TEC+FAB마감"/>
      <sheetName val="GC50JN (2)"/>
      <sheetName val="직노"/>
      <sheetName val="일위대가"/>
      <sheetName val="원가"/>
      <sheetName val="적용건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FB25JN"/>
      <sheetName val="SN-PF25T"/>
      <sheetName val="FB25CN"/>
      <sheetName val="GF25JN"/>
      <sheetName val="GF25JCN"/>
      <sheetName val="GC25JN"/>
      <sheetName val="GC50JN"/>
      <sheetName val="UF25GP"/>
      <sheetName val="UF25HP"/>
      <sheetName val="UF25TP"/>
      <sheetName val="UF50GP"/>
      <sheetName val="PL25GP"/>
      <sheetName val="PL50GP"/>
      <sheetName val="PF25GP"/>
      <sheetName val="PF50GP"/>
      <sheetName val="DP2T"/>
      <sheetName val="DM1T"/>
      <sheetName val="BS"/>
      <sheetName val="SB"/>
      <sheetName val="AF(벽체)"/>
      <sheetName val="AF(천정)"/>
      <sheetName val="고무안전리브"/>
      <sheetName val="라왕몰딩"/>
      <sheetName val="라왕걸레받이"/>
      <sheetName val="유공ST'L RIB"/>
      <sheetName val="코펜하겐리브"/>
      <sheetName val="방음문(편개)"/>
      <sheetName val="방음문(양개)"/>
      <sheetName val="방음시창1M2 이하"/>
      <sheetName val="방음시창1M2 이상"/>
      <sheetName val="방음시창KSW1P"/>
      <sheetName val="방음시창KSW2P"/>
      <sheetName val="방음시창KSW3P"/>
      <sheetName val="벽체방진기"/>
      <sheetName val="벽돌지지기"/>
      <sheetName val="벽지지브라켓트"/>
      <sheetName val="흡음루바"/>
      <sheetName val="ACCESS FL."/>
      <sheetName val="ACCESS FL. (2)"/>
      <sheetName val="TECTUM"/>
      <sheetName val="TEC+FAB마감"/>
      <sheetName val="GC50JN (2)"/>
      <sheetName val="FB25JCN  (2)"/>
      <sheetName val="직노"/>
      <sheetName val="일위대가"/>
      <sheetName val="적용건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자료입력"/>
      <sheetName val="횡배수관수량총"/>
      <sheetName val="횡배수관수량"/>
      <sheetName val="횡배수관위치조서"/>
      <sheetName val="횡배수관"/>
      <sheetName val="평균높이산출근거"/>
      <sheetName val="적용단위길이"/>
      <sheetName val="횡배수관날개수량(구배1.5)"/>
      <sheetName val="횡배수관날개벽공제토&amp;공제떼산출식"/>
      <sheetName val="면벽"/>
      <sheetName val="집수정수량집계표"/>
      <sheetName val="집수정수량조서"/>
      <sheetName val="집수정"/>
      <sheetName val="종배수관수량"/>
      <sheetName val="종배수관위치조서"/>
      <sheetName val="종배수관면벽구"/>
      <sheetName val="종배수관(구)"/>
      <sheetName val="종배수관면벽신"/>
      <sheetName val="종배수관(신)"/>
      <sheetName val="맹암거수량집계표"/>
      <sheetName val="맹암거단위수량(토사)"/>
      <sheetName val="맹암거단위수량(암)"/>
      <sheetName val="맹암거단위수량(절성토경계부)"/>
      <sheetName val="맹암거위치조서"/>
      <sheetName val="특수기호강도거푸집"/>
      <sheetName val="피벗테이블데이터분석"/>
      <sheetName val="Dialog3"/>
      <sheetName val="조언자"/>
      <sheetName val="수량총괄"/>
      <sheetName val="배수관총"/>
      <sheetName val="위치조서"/>
      <sheetName val="횡배수집계"/>
      <sheetName val="면벽집계"/>
      <sheetName val="흄관 날개벽"/>
      <sheetName val="종배수관"/>
      <sheetName val="배수관단위"/>
      <sheetName val="면벽 단수)"/>
      <sheetName val="Module1"/>
      <sheetName val="직노"/>
      <sheetName val="횡배수관토공수량"/>
      <sheetName val="접속도로1"/>
      <sheetName val="을지"/>
      <sheetName val="일위대가(계측기설치)"/>
      <sheetName val="배수관공"/>
      <sheetName val="배수집계"/>
      <sheetName val="횡배수량집계"/>
      <sheetName val="횡배위치"/>
      <sheetName val="토공"/>
      <sheetName val="날개벽"/>
      <sheetName val="TYPE-1"/>
      <sheetName val="TYPE-2"/>
      <sheetName val="TYPE-3"/>
      <sheetName val="집수정 "/>
      <sheetName val="집수정TYPE1"/>
      <sheetName val="집수정TYPE2"/>
      <sheetName val="맨홀수량집계표"/>
      <sheetName val="맨홀위치및연장조서"/>
      <sheetName val="맨훌수량산출근거"/>
      <sheetName val="맨홀터파기"/>
      <sheetName val="빗물받이수량집계"/>
      <sheetName val="빗물받이단위수량"/>
      <sheetName val="집수정(주택용)집계"/>
      <sheetName val="집수정(주택용)단위수량"/>
      <sheetName val="Sheet5"/>
      <sheetName val="계산중"/>
      <sheetName val="공사개요"/>
      <sheetName val="매입세율"/>
      <sheetName val="일위대가"/>
      <sheetName val="횡날개수집"/>
      <sheetName val="원가"/>
      <sheetName val="적용토목"/>
      <sheetName val="9GNG운반"/>
      <sheetName val="품셈총괄표"/>
      <sheetName val="품셈TABLE"/>
      <sheetName val="DATE"/>
      <sheetName val="단위수량"/>
      <sheetName val="맨홀수량산출"/>
      <sheetName val="8.PILE  (돌출)"/>
      <sheetName val="3.바닥판설계"/>
      <sheetName val="낙찰표"/>
      <sheetName val="노임단가"/>
      <sheetName val="배수관공집계"/>
      <sheetName val="Sheet2"/>
      <sheetName val="Sheet3"/>
      <sheetName val="내역표지"/>
      <sheetName val="DATA"/>
      <sheetName val="입찰안"/>
      <sheetName val="전신환매도율"/>
      <sheetName val="수문일1"/>
      <sheetName val="설 계"/>
      <sheetName val="옥외"/>
      <sheetName val="옹벽현"/>
      <sheetName val="지급융통"/>
      <sheetName val="98수문일위"/>
      <sheetName val="연부97-1"/>
      <sheetName val="내역"/>
      <sheetName val="미드수량"/>
      <sheetName val="아파트"/>
      <sheetName val="시중노임단가"/>
      <sheetName val="대로근거"/>
      <sheetName val="일위대가서식"/>
      <sheetName val="일위대가-1"/>
      <sheetName val="48전력선로일위"/>
      <sheetName val="일위대가(가설)"/>
      <sheetName val="암거날개벽재료집계"/>
      <sheetName val="설계예시"/>
      <sheetName val="일위대가-2"/>
      <sheetName val="내역서적용"/>
      <sheetName val="Baby일위대가"/>
      <sheetName val="FB25JN"/>
      <sheetName val="ABUT수량-A1"/>
      <sheetName val="내역서(삼호)"/>
      <sheetName val="날개수량1.5"/>
      <sheetName val="COL"/>
      <sheetName val="2003.4.1."/>
      <sheetName val="코드일람표"/>
      <sheetName val="I一般比"/>
      <sheetName val="배선(낙차)"/>
      <sheetName val="평자재단가"/>
      <sheetName val="내역(전력)"/>
      <sheetName val="빗물받이(910-510-410)"/>
      <sheetName val="목차"/>
      <sheetName val="단가표 (2)"/>
      <sheetName val="IMPEADENCE MAP 취수장"/>
      <sheetName val="자료"/>
      <sheetName val="상수도토공집계표"/>
      <sheetName val="식재인부"/>
      <sheetName val="품셈"/>
      <sheetName val="노무비단가"/>
      <sheetName val="세동별비상"/>
      <sheetName val="부하"/>
      <sheetName val="내역서"/>
      <sheetName val="표  지"/>
      <sheetName val="적용건축"/>
      <sheetName val="일반공사"/>
      <sheetName val="횡배수관집현황(2공구)"/>
      <sheetName val="06 일위대가목록"/>
      <sheetName val="집계표"/>
      <sheetName val="INPUT"/>
      <sheetName val="데리네이타현황"/>
      <sheetName val="ITEM"/>
      <sheetName val="본공사"/>
      <sheetName val="교통대책내역"/>
      <sheetName val="을"/>
      <sheetName val="96보완계획7.12"/>
      <sheetName val="기둥(원형)"/>
      <sheetName val="기초공"/>
      <sheetName val="unit 4"/>
      <sheetName val="건축내역"/>
      <sheetName val="ELEV SPEC(Ia,Ir)"/>
      <sheetName val="위치"/>
      <sheetName val="프로젝트"/>
      <sheetName val="경비_원본"/>
      <sheetName val="철거산출근거"/>
      <sheetName val="EACT10"/>
      <sheetName val="갑지1"/>
      <sheetName val="내역서전체"/>
      <sheetName val="관급단가"/>
      <sheetName val="CODE"/>
      <sheetName val="제수변 수량집계표(보통)"/>
      <sheetName val="000000"/>
      <sheetName val="표지1"/>
      <sheetName val="설계설명서"/>
      <sheetName val="Sheet3 (2)"/>
      <sheetName val="설계예산서"/>
      <sheetName val="운반거리표"/>
      <sheetName val="예정공정(6개월)"/>
      <sheetName val="관급자재간지"/>
      <sheetName val="자재집계간지"/>
      <sheetName val="자재집계"/>
      <sheetName val="토공간지"/>
      <sheetName val="토공집계표"/>
      <sheetName val="토공토적집계"/>
      <sheetName val="토적계산서"/>
      <sheetName val="축조공간지"/>
      <sheetName val="석축자재집계"/>
      <sheetName val="석축수량집계"/>
      <sheetName val="석축단위수량"/>
      <sheetName val="피복석전개도"/>
      <sheetName val="피복석평균높이"/>
      <sheetName val="끝마무리"/>
      <sheetName val="포장공간지"/>
      <sheetName val="포장공집계"/>
      <sheetName val="포장재료집계"/>
      <sheetName val="포장수량집계 "/>
      <sheetName val="상치포장"/>
      <sheetName val="상치포장토적"/>
      <sheetName val="상치포장 (2)"/>
      <sheetName val="접속포장토적"/>
      <sheetName val="신축이음"/>
      <sheetName val="조도계산서 (도서)"/>
      <sheetName val="옥외전력간선설비공사"/>
      <sheetName val="연산창"/>
      <sheetName val="단가표"/>
      <sheetName val="PIPE(UG)내역"/>
      <sheetName val="원가계산서"/>
      <sheetName val="LOPCALC"/>
      <sheetName val="건축공사실행"/>
      <sheetName val="증감조서"/>
      <sheetName val="sw1"/>
      <sheetName val="NOMUBI"/>
      <sheetName val="노임"/>
      <sheetName val="수원공"/>
      <sheetName val="맨홀(2~4)"/>
      <sheetName val="연습장소"/>
      <sheetName val="laroux"/>
      <sheetName val=" 토목 처리장도급내역서 "/>
      <sheetName val="표지"/>
      <sheetName val="JUCKEYK"/>
      <sheetName val="-배수구조총재료"/>
      <sheetName val="환율change"/>
      <sheetName val="1000 DB구축 부표"/>
      <sheetName val="분전함신설"/>
      <sheetName val="접지1종"/>
      <sheetName val="수원공사비"/>
      <sheetName val="자재대"/>
      <sheetName val="문학간접"/>
      <sheetName val="공통가설공사"/>
      <sheetName val="자재일위(경)"/>
      <sheetName val="별표집계"/>
      <sheetName val="#REF"/>
      <sheetName val="항목(데이타삭제금지)"/>
      <sheetName val="노무비집계표"/>
      <sheetName val="인사자료총집계"/>
      <sheetName val="횡배수관 수량집계"/>
      <sheetName val="횡배수관 구체 수량집계"/>
      <sheetName val="횡배수관현황"/>
      <sheetName val="배수관토공T-3"/>
      <sheetName val="평균터파기고"/>
      <sheetName val="형식 - 1-2-3"/>
      <sheetName val="흄관 구체단위수량"/>
      <sheetName val="흄관보강"/>
      <sheetName val="면벽수량집계"/>
      <sheetName val="이월집계"/>
      <sheetName val="횡배수관이월"/>
      <sheetName val="총괄"/>
      <sheetName val="PSCbeam설계"/>
      <sheetName val="하남내역"/>
      <sheetName val="가도공"/>
      <sheetName val="J형측구단위수량"/>
      <sheetName val="금액내역서"/>
      <sheetName val="실행철강하도"/>
      <sheetName val="Sheet1"/>
      <sheetName val="Sheet12"/>
      <sheetName val="내역서적용수량"/>
      <sheetName val="배수공수량집계표"/>
      <sheetName val="배수공토공집계표"/>
      <sheetName val="타공종이월수량집계표"/>
      <sheetName val="배수관공수량집계표"/>
      <sheetName val="횡배수관수량집계표"/>
      <sheetName val="횡배수관토공(1)"/>
      <sheetName val="횡배수관토공(2)"/>
      <sheetName val="횡배수관토공(3)"/>
      <sheetName val="횡배수관토공(4)"/>
      <sheetName val="날개벽수량"/>
      <sheetName val="날개벽위치조서"/>
      <sheetName val="날개벽잔토"/>
      <sheetName val="날개벽공제"/>
      <sheetName val="종배수관수량집계표"/>
      <sheetName val="종배수관현황"/>
      <sheetName val="종배수토공(1)"/>
      <sheetName val="종배수토공(2)"/>
      <sheetName val="면벽단위수량"/>
      <sheetName val="집수정공"/>
      <sheetName val="집수정설치현황"/>
      <sheetName val="집수정1"/>
      <sheetName val="집수정2"/>
      <sheetName val="집수정1(터파기수량) "/>
      <sheetName val="집수정2(터파기수량)"/>
      <sheetName val="날개벽수량 (2)"/>
      <sheetName val="용수로공"/>
      <sheetName val="용수로수량집계표"/>
      <sheetName val="용수로설치현황"/>
      <sheetName val="용수로(1.0X1.0)단위수량"/>
      <sheetName val="슬라브TYPE-1"/>
      <sheetName val="슬라브TYPE-2"/>
      <sheetName val="단위량당중기"/>
      <sheetName val="단가"/>
      <sheetName val="공비대비"/>
      <sheetName val="평야부단가"/>
      <sheetName val="데이타"/>
      <sheetName val="단가 및 재료비"/>
      <sheetName val="지구단위계획"/>
      <sheetName val="당초명세(평)"/>
      <sheetName val="차집관로"/>
      <sheetName val="교각1"/>
      <sheetName val="단가산출서"/>
      <sheetName val="2공구자재집"/>
      <sheetName val="일위대가목록"/>
      <sheetName val="흄관기초"/>
      <sheetName val="부관수량집계"/>
      <sheetName val="설계명세서"/>
      <sheetName val="기초단가"/>
      <sheetName val="5.세운W-A"/>
      <sheetName val="토공사"/>
      <sheetName val="시화점실행"/>
      <sheetName val="4)유동표"/>
      <sheetName val="구리토평1전기"/>
      <sheetName val="전체"/>
      <sheetName val="기둥설계(no)"/>
      <sheetName val="기초판설계(교축직각)"/>
      <sheetName val="2공구산출내역"/>
      <sheetName val="서울대규장각(가시설흙막이)"/>
      <sheetName val="공사물량총량집계"/>
      <sheetName val="수량산출서"/>
      <sheetName val="BID"/>
      <sheetName val="RAHMEN"/>
      <sheetName val="차선도색현황"/>
      <sheetName val="DAN"/>
      <sheetName val="호표"/>
      <sheetName val="관리,공감"/>
      <sheetName val="계약서"/>
      <sheetName val="우수공,맨홀,집수정"/>
      <sheetName val="기초자료"/>
      <sheetName val="일위대가-01"/>
      <sheetName val="각형맨홀"/>
      <sheetName val="중로근거"/>
      <sheetName val="1맨AO"/>
      <sheetName val="1호맨홀토공"/>
      <sheetName val="영창26"/>
      <sheetName val="유기공정"/>
      <sheetName val="제직재"/>
      <sheetName val="설직재-1"/>
      <sheetName val="연결임시"/>
      <sheetName val="BREAKDOWN(철거설치)"/>
      <sheetName val="참조자료"/>
      <sheetName val="토목주소"/>
      <sheetName val="프랜트면허"/>
      <sheetName val="토사(PE)"/>
      <sheetName val="200"/>
      <sheetName val="배수통관(좌)"/>
      <sheetName val="우각부보강"/>
      <sheetName val="총체보활공정표"/>
      <sheetName val="재료표"/>
      <sheetName val="원가계산"/>
      <sheetName val="내역을"/>
      <sheetName val="포장수량집계"/>
      <sheetName val="단가표 "/>
      <sheetName val="VXXXXX"/>
      <sheetName val="배수통관집계"/>
      <sheetName val="횡배수관집계"/>
      <sheetName val="횡배수관면벽토공집계"/>
      <sheetName val="횡배수관단위"/>
      <sheetName val="배수관현황"/>
      <sheetName val="배수관토공총집계"/>
      <sheetName val="D=400"/>
      <sheetName val="D=500"/>
      <sheetName val="D=600"/>
      <sheetName val="D=800"/>
      <sheetName val="이후출력금지"/>
      <sheetName val="표지 (2)"/>
      <sheetName val="면벽토공집계"/>
      <sheetName val="표지 (3)"/>
      <sheetName val="종배수현황"/>
      <sheetName val="종배수집계"/>
      <sheetName val="종배수면벽단위"/>
      <sheetName val="종배수면벽"/>
      <sheetName val="가압장(토목)"/>
      <sheetName val="table"/>
      <sheetName val="정렬"/>
      <sheetName val="외주비"/>
      <sheetName val="약품공급2"/>
      <sheetName val="재료집계표빽업"/>
      <sheetName val="암거수리계산서"/>
      <sheetName val="◀암거수리계산조서"/>
      <sheetName val="최종단면▶"/>
      <sheetName val="연습"/>
      <sheetName val="날개벽(시점좌측)"/>
      <sheetName val="일반부표"/>
      <sheetName val="구분자"/>
      <sheetName val="플랜트 설치"/>
      <sheetName val="투찰(하수)"/>
      <sheetName val="조건표 (2)"/>
      <sheetName val="교대(A1)"/>
      <sheetName val="예산서"/>
      <sheetName val="코드"/>
      <sheetName val="지급자재"/>
      <sheetName val="자재단가 산출근거"/>
      <sheetName val="요율"/>
      <sheetName val="수로단위수량"/>
      <sheetName val="공사요율"/>
      <sheetName val="단가(반정1교-원주)"/>
      <sheetName val="정부노임단가"/>
      <sheetName val="ATM기초철가"/>
      <sheetName val="간지1"/>
      <sheetName val="배수관공수량집계"/>
      <sheetName val="배수관집계표"/>
      <sheetName val="간지2"/>
      <sheetName val="배수관수량집계"/>
      <sheetName val="횡배수관수량집계"/>
      <sheetName val="횡배날개수량집계"/>
      <sheetName val="횡관현황"/>
      <sheetName val="터파기고PIPE"/>
      <sheetName val="횡배수관구체"/>
      <sheetName val="날개벽산출근거"/>
      <sheetName val="간지3"/>
      <sheetName val="종배수관및면벽수량집계표"/>
      <sheetName val="종배수관및면벽현황"/>
      <sheetName val="종배수관단위수량"/>
      <sheetName val="간지4"/>
      <sheetName val="집수정수량집계"/>
      <sheetName val="집수정현황"/>
      <sheetName val="집수정그림"/>
      <sheetName val="조경일람"/>
      <sheetName val="부안일위"/>
      <sheetName val="빗물받이_910_510_410_"/>
      <sheetName val="차액보증"/>
      <sheetName val="주beam"/>
      <sheetName val="자재단가"/>
      <sheetName val="환산"/>
      <sheetName val="사리부설"/>
      <sheetName val="건축원가"/>
      <sheetName val="기자재비"/>
      <sheetName val="퍼스트"/>
      <sheetName val="입찰"/>
      <sheetName val="현경"/>
      <sheetName val="암거치수표"/>
      <sheetName val="◀암거위치"/>
      <sheetName val="◀평균높이▶"/>
      <sheetName val="수공기"/>
      <sheetName val="원가&amp;하도급원가"/>
      <sheetName val="골재집계"/>
      <sheetName val="1단계"/>
      <sheetName val="대전-교대(A1-A2)"/>
      <sheetName val="노무비"/>
      <sheetName val="평균터파기고(1-2,ASP)"/>
      <sheetName val="front"/>
      <sheetName val="발주현황"/>
      <sheetName val="맨홀"/>
      <sheetName val="내역(설계)"/>
      <sheetName val="여수토토적"/>
      <sheetName val="전체집계"/>
      <sheetName val="가배수관집계"/>
      <sheetName val="가배수관현황"/>
      <sheetName val="평균터파기"/>
      <sheetName val="종배수관집계"/>
      <sheetName val="종배수관면벽수량집계"/>
      <sheetName val="종배수관면벽단위수량"/>
      <sheetName val="종배수관단위 "/>
      <sheetName val="2.12기존배수관세척"/>
      <sheetName val="배수관 세척"/>
      <sheetName val="종배수관날개벽"/>
      <sheetName val="집수정총괄수량집계"/>
      <sheetName val="성토부집수정집계"/>
      <sheetName val="절토부집수정집계"/>
      <sheetName val="L형측구집수정(토공)"/>
      <sheetName val="집수정부분합"/>
      <sheetName val="진주방향"/>
      <sheetName val="TOTAL_BOQ"/>
      <sheetName val="단가일람"/>
      <sheetName val="터파기및재료"/>
      <sheetName val="기계설비"/>
      <sheetName val="접속집계"/>
      <sheetName val="산출근거"/>
      <sheetName val="단가집계목록"/>
      <sheetName val="일위대가(1)"/>
      <sheetName val="현장관리비데이타"/>
      <sheetName val="Sheet1 (2)"/>
      <sheetName val="콘_재료분리(1)"/>
      <sheetName val="콘크리트포장"/>
      <sheetName val="암거난간벽집계(2)"/>
      <sheetName val="A LINE"/>
      <sheetName val="재료단가"/>
      <sheetName val="부대내역"/>
      <sheetName val="김포IO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가시설(TYPE-A)"/>
      <sheetName val="1-1평균터파기고(1)"/>
      <sheetName val="Sheet4"/>
      <sheetName val="공통가설"/>
      <sheetName val="변경후원본2"/>
      <sheetName val="설계"/>
      <sheetName val="원본"/>
      <sheetName val="유림골조"/>
      <sheetName val="wall"/>
      <sheetName val="BOX"/>
      <sheetName val="일위산출"/>
      <sheetName val="접속도로"/>
      <sheetName val="사각1,특1호"/>
      <sheetName val="조명시설"/>
      <sheetName val="Sheet9"/>
      <sheetName val="전신"/>
      <sheetName val="수량산출"/>
      <sheetName val="단가조건(02년)"/>
      <sheetName val="자  재"/>
      <sheetName val="건축외주"/>
      <sheetName val="시점부수량산출서"/>
      <sheetName val="맨홀토공(3)"/>
      <sheetName val="과천MAIN"/>
      <sheetName val="경산"/>
      <sheetName val="DANGA"/>
      <sheetName val="2.재료비"/>
      <sheetName val="1.인건비"/>
      <sheetName val="교통표지판기초자료"/>
      <sheetName val="밸브설치"/>
      <sheetName val="날개벽수량표"/>
      <sheetName val="손익분석"/>
      <sheetName val="통계연보"/>
      <sheetName val="소방"/>
      <sheetName val="별표 "/>
    </sheetNames>
    <sheetDataSet>
      <sheetData sheetId="0">
        <row r="12">
          <cell r="A12">
            <v>1</v>
          </cell>
        </row>
      </sheetData>
      <sheetData sheetId="1">
        <row r="2">
          <cell r="B2">
            <v>6</v>
          </cell>
        </row>
      </sheetData>
      <sheetData sheetId="2">
        <row r="2">
          <cell r="B2">
            <v>6</v>
          </cell>
        </row>
      </sheetData>
      <sheetData sheetId="3">
        <row r="12">
          <cell r="A12">
            <v>1</v>
          </cell>
        </row>
      </sheetData>
      <sheetData sheetId="4">
        <row r="2">
          <cell r="B2">
            <v>6</v>
          </cell>
        </row>
      </sheetData>
      <sheetData sheetId="5">
        <row r="2">
          <cell r="B2">
            <v>6</v>
          </cell>
        </row>
      </sheetData>
      <sheetData sheetId="6">
        <row r="2">
          <cell r="B2">
            <v>6</v>
          </cell>
        </row>
      </sheetData>
      <sheetData sheetId="7">
        <row r="2">
          <cell r="B2">
            <v>6</v>
          </cell>
        </row>
      </sheetData>
      <sheetData sheetId="8">
        <row r="2">
          <cell r="B2">
            <v>6</v>
          </cell>
        </row>
      </sheetData>
      <sheetData sheetId="9">
        <row r="2">
          <cell r="B2">
            <v>6</v>
          </cell>
        </row>
      </sheetData>
      <sheetData sheetId="10">
        <row r="2">
          <cell r="B2">
            <v>6</v>
          </cell>
        </row>
      </sheetData>
      <sheetData sheetId="11">
        <row r="2">
          <cell r="B2">
            <v>6</v>
          </cell>
        </row>
      </sheetData>
      <sheetData sheetId="12">
        <row r="2">
          <cell r="B2">
            <v>6</v>
          </cell>
        </row>
      </sheetData>
      <sheetData sheetId="13">
        <row r="2">
          <cell r="B2">
            <v>6</v>
          </cell>
        </row>
      </sheetData>
      <sheetData sheetId="14">
        <row r="2">
          <cell r="B2">
            <v>6</v>
          </cell>
        </row>
      </sheetData>
      <sheetData sheetId="15">
        <row r="42">
          <cell r="B42">
            <v>500</v>
          </cell>
        </row>
      </sheetData>
      <sheetData sheetId="16">
        <row r="34">
          <cell r="B34">
            <v>500</v>
          </cell>
        </row>
      </sheetData>
      <sheetData sheetId="17">
        <row r="26">
          <cell r="A26" t="str">
            <v>D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>
            <v>6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>
        <row r="4">
          <cell r="E4">
            <v>300</v>
          </cell>
        </row>
      </sheetData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 refreshError="1"/>
      <sheetData sheetId="289"/>
      <sheetData sheetId="290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 (2)"/>
      <sheetName val="견적서표지 (2)"/>
      <sheetName val="견적서갑지 (2)"/>
      <sheetName val="공사비총괄표 (3)"/>
      <sheetName val="A동소화 (2)"/>
      <sheetName val="A동자탐 (2)"/>
      <sheetName val="단가표"/>
      <sheetName val="견적서표지"/>
      <sheetName val="견적서갑지"/>
      <sheetName val="공사비총괄표 (2)"/>
      <sheetName val="A동소화"/>
      <sheetName val="A동자탐"/>
      <sheetName val="B동소화"/>
      <sheetName val="B동자탐 "/>
      <sheetName val="내역서"/>
      <sheetName val="설직재-1"/>
      <sheetName val="환산"/>
      <sheetName val="위치조서"/>
      <sheetName val="역T형옹벽(3.0)"/>
      <sheetName val="남원견적"/>
      <sheetName val="을지"/>
      <sheetName val="직노"/>
      <sheetName val="노임"/>
      <sheetName val="철거산출근거"/>
      <sheetName val="남양시작동자105노65기1.3화1.2"/>
      <sheetName val="마감산출"/>
      <sheetName val="FB25JN"/>
      <sheetName val="단가표 _2_"/>
      <sheetName val="일위대가(가설)"/>
      <sheetName val="기계내역"/>
      <sheetName val="적용건축"/>
      <sheetName val="일위"/>
      <sheetName val="일위대가서식"/>
      <sheetName val="일위대가양식"/>
      <sheetName val="일위대가"/>
      <sheetName val="부대내역"/>
      <sheetName val="견적대비 견적서"/>
      <sheetName val="배관BM(일반)"/>
      <sheetName val="J형측구단위수량"/>
      <sheetName val="Sheet1"/>
      <sheetName val="차액보증"/>
      <sheetName val="COVER"/>
      <sheetName val="1.우편집중내역서"/>
      <sheetName val="J直材4"/>
      <sheetName val="일위대가목차"/>
      <sheetName val="EQ"/>
      <sheetName val="백암비스타내역"/>
      <sheetName val="정문내역"/>
      <sheetName val="MANUFACTORY"/>
      <sheetName val="일위대가표"/>
      <sheetName val="서식"/>
      <sheetName val="재료표"/>
      <sheetName val="48전력선로일위"/>
      <sheetName val="일반공사"/>
      <sheetName val="Baby일위대가"/>
      <sheetName val="단가표_(2)"/>
      <sheetName val="견적서표지_(2)"/>
      <sheetName val="견적서갑지_(2)"/>
      <sheetName val="공사비총괄표_(3)"/>
      <sheetName val="A동소화_(2)"/>
      <sheetName val="A동자탐_(2)"/>
      <sheetName val="공사비총괄표_(2)"/>
      <sheetName val="B동자탐_"/>
      <sheetName val="단가표__2_"/>
      <sheetName val="역T형옹벽(3_0)"/>
      <sheetName val="단중표"/>
      <sheetName val="5.공종별예산내역서"/>
      <sheetName val="암거날개벽재료집계"/>
      <sheetName val="입찰안"/>
      <sheetName val="시운전연료"/>
      <sheetName val="가로등내역서"/>
      <sheetName val="#REF"/>
      <sheetName val="터파기및재료"/>
      <sheetName val="Sheet15"/>
      <sheetName val="노무비단가"/>
      <sheetName val="2001년일위대가"/>
      <sheetName val="총괄"/>
      <sheetName val="관접합및부설"/>
      <sheetName val="단가"/>
      <sheetName val="남양시작동자105노65기1_3화1_2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"/>
      <sheetName val="총갑지"/>
      <sheetName val="합숙소"/>
      <sheetName val="골재"/>
      <sheetName val="자재"/>
      <sheetName val="창고"/>
      <sheetName val="골재-창고"/>
      <sheetName val="자재-창고"/>
      <sheetName val="바닥"/>
      <sheetName val="골재-바닥"/>
      <sheetName val="자재-바닥"/>
      <sheetName val="담장"/>
      <sheetName val="자재-담장"/>
      <sheetName val="골재-담장"/>
      <sheetName val="폐기물"/>
      <sheetName val="관급"/>
      <sheetName val="운반"/>
      <sheetName val="일위"/>
      <sheetName val="예산-1"/>
      <sheetName val="일위대가"/>
      <sheetName val="단가표 (2)"/>
      <sheetName val="위치조서"/>
      <sheetName val="FB25JN"/>
      <sheetName val="내역서"/>
      <sheetName val="내역"/>
      <sheetName val="정문내역"/>
      <sheetName val="중앙초합숙소증축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목차"/>
      <sheetName val="영창26"/>
      <sheetName val="총괄"/>
      <sheetName val="노임"/>
      <sheetName val="단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측구공 호표"/>
      <sheetName val="횡배수관 호표"/>
      <sheetName val="옹벽 호표"/>
      <sheetName val="단위수량목록"/>
      <sheetName val="Sheet3"/>
      <sheetName val="총집계표"/>
      <sheetName val="수량산출"/>
      <sheetName val="노무비"/>
      <sheetName val="수량집계"/>
      <sheetName val="현장관리비"/>
      <sheetName val="위치조서"/>
      <sheetName val="순공사비"/>
      <sheetName val="단위단가"/>
      <sheetName val="맨홀수량"/>
      <sheetName val="공통가설"/>
      <sheetName val="일위대가서식"/>
      <sheetName val="일위대가양식"/>
      <sheetName val="적현로"/>
      <sheetName val="96보완계획7.12"/>
      <sheetName val="노임단가"/>
      <sheetName val="이설집계"/>
      <sheetName val="전송망집계"/>
      <sheetName val="철거수량(전송)"/>
      <sheetName val="적용호표"/>
      <sheetName val="직노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원가계산서"/>
      <sheetName val="99 조정금액"/>
      <sheetName val="재료"/>
      <sheetName val="설치자재"/>
      <sheetName val="단가표 (2)"/>
      <sheetName val="일위대가표"/>
      <sheetName val="우수공집계"/>
      <sheetName val="그림"/>
      <sheetName val="구성1"/>
      <sheetName val="구성2"/>
      <sheetName val="구성3"/>
      <sheetName val="구성4"/>
      <sheetName val="그림2"/>
      <sheetName val="주요재료비(원본)"/>
      <sheetName val="FB25JN"/>
      <sheetName val="목차"/>
      <sheetName val="접속도로1"/>
      <sheetName val="일위목차"/>
      <sheetName val="노임"/>
      <sheetName val="인건비"/>
      <sheetName val="내역"/>
      <sheetName val="추천서"/>
      <sheetName val="2공구자재집"/>
      <sheetName val="건축토목내역"/>
      <sheetName val="설비"/>
      <sheetName val="내역서(갑지)"/>
      <sheetName val="전신환매도율"/>
      <sheetName val="정문내역"/>
      <sheetName val="내역(중앙)"/>
      <sheetName val="내역(창신)"/>
      <sheetName val="단가"/>
      <sheetName val="00000"/>
      <sheetName val="준검 내역서"/>
      <sheetName val="금액"/>
      <sheetName val="입찰안"/>
      <sheetName val="암거날개벽재료집계"/>
      <sheetName val="DATE"/>
      <sheetName val="표  지"/>
      <sheetName val="도급자재"/>
      <sheetName val="000000"/>
      <sheetName val="수로단위수량"/>
      <sheetName val="세부내역"/>
      <sheetName val="부대공사"/>
      <sheetName val="공종별인공산출서"/>
      <sheetName val="단위수량"/>
      <sheetName val="도급내역분개(원본에서)"/>
      <sheetName val="배수관구체수량(1)"/>
      <sheetName val="guard(mac)"/>
      <sheetName val="총괄"/>
      <sheetName val="단가산출내역(노임부분수정)"/>
      <sheetName val="투찰가"/>
      <sheetName val="일위대가(가설)"/>
      <sheetName val="화산경계"/>
      <sheetName val="위치조서 (2)"/>
      <sheetName val="측구공 집계"/>
      <sheetName val="3-1-1.측구공"/>
      <sheetName val="4-1.수량총괄표"/>
      <sheetName val="4-2.포장수량집계"/>
      <sheetName val="4-3.본선포장수량"/>
      <sheetName val="4-4.포장단위수량"/>
      <sheetName val="(4-6.구조물 증감 단수)"/>
      <sheetName val="4-5.구조물간 포장"/>
      <sheetName val="(4-7.접속설치율및 TL값)"/>
      <sheetName val="교 량 공"/>
      <sheetName val="(3-3-4.암거 그림)"/>
      <sheetName val="기타수량양식"/>
      <sheetName val="제  목"/>
      <sheetName val="Module1"/>
      <sheetName val="철근량"/>
      <sheetName val="#REF"/>
      <sheetName val="제수변 수량집계표(보통)"/>
      <sheetName val="기초자료"/>
      <sheetName val="초기화면"/>
      <sheetName val="주차구획선수량"/>
      <sheetName val="자재비"/>
      <sheetName val="6호기"/>
      <sheetName val="을지"/>
      <sheetName val="내역서"/>
      <sheetName val="실행철강하도"/>
      <sheetName val="원가"/>
      <sheetName val="원도급"/>
      <sheetName val="하도급"/>
      <sheetName val="자재단가"/>
      <sheetName val="문학간접"/>
      <sheetName val="관급"/>
      <sheetName val="여과지동"/>
      <sheetName val="위치"/>
      <sheetName val="총괄내역서"/>
      <sheetName val="공사비증감"/>
      <sheetName val="실행간접비"/>
      <sheetName val="횡배수관집현황(2공구)"/>
      <sheetName val="기본단가표"/>
      <sheetName val="대비2"/>
      <sheetName val="터파기및재료"/>
      <sheetName val="백암비스타내역"/>
      <sheetName val="집계표"/>
      <sheetName val="직재"/>
      <sheetName val="Sheet1"/>
      <sheetName val="48전력선로일위"/>
      <sheetName val="요율"/>
      <sheetName val="13LPMCC"/>
      <sheetName val="2000년1차"/>
      <sheetName val="2000전체분"/>
      <sheetName val="예산서"/>
      <sheetName val="단가일람"/>
      <sheetName val="조경일람"/>
      <sheetName val="자재테이블"/>
      <sheetName val="토목"/>
      <sheetName val="적용토목"/>
      <sheetName val="교각계산"/>
      <sheetName val="4.전기"/>
      <sheetName val="일위대가목차"/>
      <sheetName val="건축내역"/>
      <sheetName val="건축"/>
      <sheetName val="사업계획"/>
      <sheetName val="N賃率-職"/>
      <sheetName val="코드일람표2001년10월"/>
      <sheetName val="미드수량"/>
      <sheetName val="공사원가계산서"/>
      <sheetName val="여수토토적"/>
      <sheetName val="BH-1 (2)"/>
      <sheetName val="일위대가"/>
      <sheetName val="정리부09"/>
      <sheetName val="전체"/>
      <sheetName val="ABUT수량-A1"/>
      <sheetName val="배수장토목공사비"/>
      <sheetName val="총괄표"/>
      <sheetName val="일위대가1"/>
      <sheetName val="영창26"/>
      <sheetName val="일위목록"/>
      <sheetName val="품셈총괄표"/>
      <sheetName val="결재란"/>
      <sheetName val="MILL"/>
      <sheetName val="갑지1"/>
      <sheetName val="연부97-1"/>
      <sheetName val="교통대책내역"/>
      <sheetName val="플랜트 설치"/>
      <sheetName val="범례표"/>
      <sheetName val="지급자재"/>
      <sheetName val="200"/>
      <sheetName val="수량산출서"/>
      <sheetName val="재료비"/>
      <sheetName val="공작물조직표(용배수)"/>
      <sheetName val="노임단가 (2)"/>
      <sheetName val="LD"/>
      <sheetName val="수토공단위당"/>
      <sheetName val="DB"/>
      <sheetName val="조명율표"/>
      <sheetName val="조명시설"/>
      <sheetName val="교수설계"/>
      <sheetName val="계산표지"/>
      <sheetName val="일위합"/>
      <sheetName val="약품공급2"/>
      <sheetName val="봉양~조차장간고하개명(신설)"/>
      <sheetName val="퍼스트"/>
      <sheetName val="재료값"/>
      <sheetName val="99총공사내역서"/>
      <sheetName val="Sheet2"/>
      <sheetName val="XL4Poppy"/>
      <sheetName val="DANGA"/>
      <sheetName val="원가총괄"/>
      <sheetName val="접속도로집"/>
      <sheetName val="조명일위"/>
      <sheetName val="토공사"/>
      <sheetName val="공정코드"/>
      <sheetName val="경비공통"/>
      <sheetName val="공사비"/>
      <sheetName val="횡배위치"/>
      <sheetName val="대가호표"/>
      <sheetName val="I一般比"/>
      <sheetName val="코드일람표"/>
      <sheetName val="SLAB&quot;1&quot;"/>
      <sheetName val="실행내역"/>
      <sheetName val="일목"/>
      <sheetName val="일위"/>
      <sheetName val="(C)원내역"/>
      <sheetName val="코드명"/>
      <sheetName val="산출근거"/>
      <sheetName val="산근"/>
      <sheetName val="포장수량집계"/>
      <sheetName val="손익분석"/>
      <sheetName val="단위량당중기"/>
      <sheetName val="하조서"/>
      <sheetName val="콘센트신설"/>
      <sheetName val="골재집계"/>
      <sheetName val="수량산출서 갑지"/>
      <sheetName val="일위대가목록"/>
      <sheetName val="예산서 "/>
      <sheetName val="BOX"/>
      <sheetName val="횡배수관설치현황"/>
      <sheetName val="호표(수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창고18"/>
      <sheetName val="#REF"/>
      <sheetName val="대전-교대(A1-A2)"/>
      <sheetName val="수량산출"/>
      <sheetName val="-배수구조총재료"/>
      <sheetName val="직노"/>
      <sheetName val="일위대가-1"/>
      <sheetName val="KCS-CA"/>
      <sheetName val="우수공,맨홀,집수정"/>
      <sheetName val="수량총괄"/>
      <sheetName val="순공사비"/>
      <sheetName val="FB25JN"/>
      <sheetName val="인건비"/>
      <sheetName val="샘플표지"/>
      <sheetName val="N賃率-職"/>
      <sheetName val="우수공"/>
      <sheetName val="경비_원본"/>
      <sheetName val="노임단가"/>
      <sheetName val="I一般比"/>
      <sheetName val="일위대가서식"/>
      <sheetName val="설비단가표"/>
      <sheetName val="단가"/>
      <sheetName val="내역"/>
      <sheetName val="영창26"/>
      <sheetName val="창고"/>
      <sheetName val="Sheet1"/>
      <sheetName val="일위대가"/>
      <sheetName val="내역서"/>
      <sheetName val="Sheet1 (2)"/>
      <sheetName val="Data&amp;Result"/>
      <sheetName val="백호우계수"/>
      <sheetName val="방지책개소별명세"/>
      <sheetName val="노임"/>
      <sheetName val="철근총괄"/>
      <sheetName val="자재단가"/>
      <sheetName val="자료입력"/>
      <sheetName val="단가표 (2)"/>
      <sheetName val="노무비"/>
      <sheetName val="원가"/>
      <sheetName val="220 (2)"/>
      <sheetName val="노무비단가"/>
      <sheetName val="200"/>
      <sheetName val="횡배수량집계(2공구)"/>
      <sheetName val="횡배수관집현황(2공구)"/>
      <sheetName val="교대(A1)"/>
      <sheetName val="위치조서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깨기집계합"/>
      <sheetName val="아스콘깨기"/>
      <sheetName val="방호벽깨기"/>
      <sheetName val="개거 (2)"/>
      <sheetName val="Sheet1 (2)"/>
      <sheetName val="횡배수관집현황(2공구)"/>
      <sheetName val="위치조서"/>
      <sheetName val="단가"/>
      <sheetName val="백호우계수"/>
      <sheetName val="노무비"/>
      <sheetName val="명세서"/>
      <sheetName val="미드수량"/>
      <sheetName val="#REF"/>
      <sheetName val="Tool"/>
      <sheetName val="터파기및재료"/>
      <sheetName val="수량산출"/>
      <sheetName val="특수기호강도거푸집"/>
      <sheetName val="N賃率-職"/>
      <sheetName val="FB25JN"/>
      <sheetName val="수원공사비"/>
      <sheetName val="자재대"/>
      <sheetName val="I一般比"/>
      <sheetName val="TIE-IN"/>
      <sheetName val="노임"/>
      <sheetName val="변경집계2"/>
      <sheetName val="사급비"/>
      <sheetName val="신천3호용수로"/>
      <sheetName val="건축(산출)"/>
      <sheetName val="토목(산출)"/>
      <sheetName val="시점교대"/>
      <sheetName val="전기공사일위대가"/>
      <sheetName val="시설물일위"/>
      <sheetName val="내역"/>
      <sheetName val="간지 (2)"/>
      <sheetName val="수량총괄표1 "/>
      <sheetName val="자재집계표"/>
      <sheetName val="토공집계"/>
      <sheetName val="횡단토적"/>
      <sheetName val="구조물집계1"/>
      <sheetName val="개거(2.0-1.0)"/>
      <sheetName val="버팀목(2.0-0.8)"/>
      <sheetName val="ABUT수량-A1"/>
      <sheetName val="총괄표"/>
      <sheetName val="내역갑지"/>
      <sheetName val="우각부보강"/>
      <sheetName val="토적계산"/>
      <sheetName val="목차"/>
      <sheetName val="변경품셈총괄"/>
      <sheetName val="기존구조물깨기(개거및포장)"/>
      <sheetName val="인건비"/>
      <sheetName val="DATE"/>
      <sheetName val="1회기성을"/>
      <sheetName val="토목내역"/>
      <sheetName val="front"/>
      <sheetName val="공문"/>
      <sheetName val="배수공 내역서 적용수량"/>
      <sheetName val="단가표 (2)"/>
      <sheetName val="날개수량1.5"/>
      <sheetName val="투찰"/>
      <sheetName val="정문내역"/>
      <sheetName val="표지"/>
      <sheetName val="총괄표 "/>
      <sheetName val="교각1"/>
      <sheetName val="기초자료"/>
      <sheetName val="DATA 입력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선그높이산정"/>
      <sheetName val="공제단위수량"/>
      <sheetName val="공제"/>
      <sheetName val="날개1.5"/>
      <sheetName val="날개토공1.5"/>
      <sheetName val="날개수량1.5"/>
      <sheetName val="접속도로물량"/>
      <sheetName val="접속도로"/>
      <sheetName val="Sheet1"/>
      <sheetName val="Sheet2"/>
      <sheetName val="Sheet3"/>
      <sheetName val="콘_재료분리(1)"/>
      <sheetName val="횡배수관집현황(2공구)"/>
      <sheetName val="날개수량1_5"/>
      <sheetName val="일위대가서식"/>
      <sheetName val="설비내역"/>
      <sheetName val="수량산출내역1115"/>
      <sheetName val="산출내역서"/>
      <sheetName val="일반부표"/>
      <sheetName val="데이타"/>
      <sheetName val="도근좌표"/>
      <sheetName val="횡배위치"/>
      <sheetName val="계산중"/>
      <sheetName val="부하계산서"/>
      <sheetName val="공비대비"/>
      <sheetName val="가도공"/>
      <sheetName val="cp1"/>
      <sheetName val="분전함신설"/>
      <sheetName val="접지1종"/>
      <sheetName val="BACKU(NO!DEL)"/>
      <sheetName val="호표"/>
      <sheetName val="1"/>
      <sheetName val="단위중량"/>
      <sheetName val="기계경비"/>
      <sheetName val="사리부설"/>
      <sheetName val="단가"/>
      <sheetName val="개요"/>
      <sheetName val="금융"/>
      <sheetName val="빗물받이(910-510-410)"/>
      <sheetName val="비용적자료"/>
      <sheetName val="계획집계"/>
      <sheetName val="식재인부"/>
      <sheetName val="내역서"/>
      <sheetName val="맨홀(2~4)"/>
      <sheetName val="콘_재료분리_1_"/>
      <sheetName val="판매시설"/>
      <sheetName val="기초"/>
      <sheetName val="인입관수량총괄"/>
      <sheetName val="서울대규장각(가시설흙막이)"/>
      <sheetName val="기본일위"/>
      <sheetName val="초기화면"/>
      <sheetName val="본공사"/>
      <sheetName val="플랜트 설치"/>
      <sheetName val="직노"/>
      <sheetName val="노임단가"/>
      <sheetName val="일위대가(가설)"/>
      <sheetName val="조직"/>
      <sheetName val="원가"/>
      <sheetName val="직접수량"/>
      <sheetName val="측량요율"/>
      <sheetName val="ABUT수량-A1"/>
      <sheetName val="입찰"/>
      <sheetName val="현경"/>
      <sheetName val="#REF"/>
      <sheetName val="위치조서"/>
      <sheetName val="수원공사비"/>
      <sheetName val="20_10_100"/>
      <sheetName val="일위대가"/>
      <sheetName val="대구실행"/>
      <sheetName val="원가계산서"/>
      <sheetName val="터파기및재료"/>
      <sheetName val="원가계산"/>
      <sheetName val="유효폭의 계산"/>
      <sheetName val="2002하반기노임기준"/>
      <sheetName val="기계공사"/>
      <sheetName val="자재대"/>
      <sheetName val="Sheet6"/>
      <sheetName val="FB25JN"/>
      <sheetName val="사급자재"/>
      <sheetName val="수량산출"/>
      <sheetName val="사업분석"/>
      <sheetName val="공종목록표"/>
      <sheetName val="48전력선로일위"/>
      <sheetName val="위치"/>
      <sheetName val="총괄"/>
      <sheetName val="건설노임단가"/>
      <sheetName val="설계서"/>
      <sheetName val="토목공사"/>
      <sheetName val="2공구자재집"/>
      <sheetName val="견적공통"/>
      <sheetName val="중기손료"/>
      <sheetName val="지급자재"/>
      <sheetName val="토목"/>
      <sheetName val="시중노임"/>
      <sheetName val="입력"/>
      <sheetName val="소비자가"/>
      <sheetName val="DATE"/>
      <sheetName val="건축내역"/>
      <sheetName val="실과소읍면관리번호"/>
      <sheetName val="직급번호"/>
      <sheetName val="단위수량(35)"/>
      <sheetName val="table"/>
      <sheetName val="부대입찰 내역서"/>
      <sheetName val="반중력식옹벽3.5"/>
      <sheetName val="관리,공감"/>
      <sheetName val="수량산출서"/>
      <sheetName val="xxxxxx"/>
      <sheetName val="설계"/>
      <sheetName val="보도포장(콘크리트기초"/>
      <sheetName val="경산"/>
      <sheetName val="기본"/>
      <sheetName val="설계예산서(2_소천우회토목)"/>
      <sheetName val="개인DATA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합의경상"/>
      <sheetName val="근태계획서"/>
      <sheetName val="버스운행안내"/>
      <sheetName val="예방접종계획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자료"/>
      <sheetName val="등록자료"/>
      <sheetName val="암거날개벽재료집계"/>
      <sheetName val="내역1"/>
      <sheetName val="기초단가"/>
      <sheetName val="공사요율"/>
      <sheetName val="1.설계조건"/>
      <sheetName val="집계표"/>
      <sheetName val="품셈"/>
      <sheetName val="Sheet5"/>
      <sheetName val="Sheet1 (2)"/>
      <sheetName val="자재단가"/>
      <sheetName val="70%"/>
      <sheetName val="채권 현황"/>
      <sheetName val="PAN"/>
      <sheetName val="형틀공사"/>
      <sheetName val="설계예산서"/>
      <sheetName val="노무비단가"/>
      <sheetName val="산출내역서집계표"/>
      <sheetName val="적용단위길이"/>
      <sheetName val="피벗테이블데이터분석"/>
      <sheetName val="금액내역서"/>
      <sheetName val="총괄표 "/>
      <sheetName val="교대(A1)"/>
      <sheetName val="내역"/>
      <sheetName val="우수공"/>
      <sheetName val="내역서적용수량"/>
      <sheetName val="단위단가"/>
      <sheetName val="257A1"/>
      <sheetName val="WOC96-412-4"/>
      <sheetName val="3.공통공사대비"/>
      <sheetName val="맨홀수량산출"/>
      <sheetName val="TOTAL_BOQ"/>
      <sheetName val="4차원가계산서"/>
      <sheetName val="3BL공동구 수량"/>
      <sheetName val="●수량(침구보관창고-21평)"/>
      <sheetName val="예산"/>
      <sheetName val="공내역"/>
      <sheetName val="어소블럭"/>
      <sheetName val="인건비"/>
      <sheetName val="단위수량"/>
      <sheetName val="기초자료입력"/>
      <sheetName val="unitpric"/>
      <sheetName val="재료표"/>
      <sheetName val="GI-LIST"/>
      <sheetName val="단가표 (2)"/>
      <sheetName val="I一般比"/>
      <sheetName val="부관수량집계"/>
      <sheetName val="예산M6-B"/>
      <sheetName val="내역(중앙)"/>
      <sheetName val="내역(창신)"/>
      <sheetName val="토목내역서"/>
      <sheetName val="지수"/>
      <sheetName val="산출근거"/>
      <sheetName val="유첨3.적용기준"/>
      <sheetName val="5지구단위"/>
      <sheetName val="날개1_5"/>
      <sheetName val="날개토공1_5"/>
      <sheetName val="날개수량1_51"/>
      <sheetName val="백룡교차로"/>
      <sheetName val="산정교차로"/>
      <sheetName val="신영교차로"/>
      <sheetName val="창호"/>
      <sheetName val="가시설흙막이"/>
      <sheetName val="백호우계수"/>
      <sheetName val="공통"/>
      <sheetName val="적용기준표(98년상반기)"/>
      <sheetName val="종배수관(신)"/>
      <sheetName val="코드"/>
      <sheetName val="현장관리비"/>
      <sheetName val="공사개요"/>
      <sheetName val="실행내역"/>
      <sheetName val="적현로"/>
      <sheetName val="평균높이산출근거"/>
      <sheetName val="횡배수관위치조서"/>
      <sheetName val="특수기호강도거푸집"/>
      <sheetName val="자재근거"/>
      <sheetName val="수리결과"/>
      <sheetName val="경상직원"/>
      <sheetName val="대비표(토공1안)"/>
      <sheetName val="(10) 단가산출결과"/>
      <sheetName val="수량총"/>
      <sheetName val="토공총"/>
      <sheetName val="평야부단가"/>
      <sheetName val="유효폭의_계산"/>
      <sheetName val="플랜트_설치"/>
      <sheetName val="Sheet1_(2)"/>
      <sheetName val="부대입찰_내역서"/>
      <sheetName val="날개1_51"/>
      <sheetName val="날개토공1_51"/>
      <sheetName val="날개수량1_52"/>
      <sheetName val="유효폭의_계산1"/>
      <sheetName val="플랜트_설치1"/>
      <sheetName val="Sheet1_(2)1"/>
      <sheetName val="부대입찰_내역서1"/>
      <sheetName val="직원정보(총괄)"/>
      <sheetName val="날개1_52"/>
      <sheetName val="날개토공1_52"/>
      <sheetName val="날개수량1_53"/>
      <sheetName val="유효폭의_계산2"/>
      <sheetName val="플랜트_설치2"/>
      <sheetName val="Sheet1_(2)2"/>
      <sheetName val="부대입찰_내역서2"/>
      <sheetName val="하도급원가계산서 (철콘)"/>
      <sheetName val="건축공사 내역"/>
      <sheetName val="부대대비"/>
      <sheetName val="냉연집계"/>
      <sheetName val="슬래브(PF)(하류)"/>
      <sheetName val="일위대가표(DEEP)"/>
      <sheetName val="98수문일위"/>
      <sheetName val="물가대비표"/>
      <sheetName val="사유서제출현황-2"/>
      <sheetName val="Total"/>
      <sheetName val="갑지(추정)"/>
      <sheetName val="대전-교대(A1-A2)"/>
      <sheetName val="gyun"/>
      <sheetName val="총물량"/>
      <sheetName val="BOX전기내역"/>
      <sheetName val="BSD (2)"/>
      <sheetName val="N賃率-職"/>
      <sheetName val="tggwan(mac)"/>
      <sheetName val="계약서"/>
      <sheetName val="착공"/>
      <sheetName val="파형1"/>
      <sheetName val="복주식단위수량"/>
      <sheetName val="익산"/>
      <sheetName val="조건표"/>
      <sheetName val="밸브설치"/>
      <sheetName val="노무비"/>
      <sheetName val="투찰금액"/>
      <sheetName val="1,2공구원가계산서"/>
      <sheetName val="2공구산출내역"/>
      <sheetName val="1공구산출내역서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자재단가"/>
      <sheetName val="49수량"/>
      <sheetName val="49인공"/>
      <sheetName val="49전력기기일위"/>
      <sheetName val="48수량"/>
      <sheetName val="48인공"/>
      <sheetName val="48전력선로일위"/>
      <sheetName val="22수량"/>
      <sheetName val="22인공"/>
      <sheetName val="22일위"/>
      <sheetName val="총괄표"/>
      <sheetName val="산출기초"/>
      <sheetName val="가설건물"/>
      <sheetName val="일위대가서식"/>
      <sheetName val="횡배수관집현황(2공구)"/>
      <sheetName val="영창26"/>
      <sheetName val="원가계산서"/>
      <sheetName val="내역"/>
      <sheetName val="단가표 (2)"/>
      <sheetName val="일위대가표"/>
      <sheetName val="조명율표"/>
      <sheetName val="일위대가"/>
      <sheetName val="FB25JN"/>
      <sheetName val="일위대가목차"/>
      <sheetName val="교수설계"/>
      <sheetName val="정리부09"/>
      <sheetName val="표  지"/>
      <sheetName val="주beam"/>
      <sheetName val="적용토목"/>
      <sheetName val="도급기성"/>
      <sheetName val="산출근거"/>
      <sheetName val="13LPMCC"/>
      <sheetName val="날개수량1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B2" t="str">
            <v>공   사   종   류</v>
          </cell>
        </row>
      </sheetData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대비표"/>
      <sheetName val=" 예산대비표"/>
      <sheetName val="총갑지"/>
      <sheetName val="집계표"/>
      <sheetName val="내역서"/>
      <sheetName val="일위대가목록"/>
      <sheetName val="일위대가"/>
      <sheetName val="단가대비표"/>
      <sheetName val="갑지"/>
      <sheetName val="총괄갑지"/>
      <sheetName val="비용적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FB25JN"/>
      <sheetName val="SN-PF25T"/>
      <sheetName val="FB25CN"/>
      <sheetName val="GF25JN"/>
      <sheetName val="GF25JCN"/>
      <sheetName val="GC25JN"/>
      <sheetName val="GC50JN"/>
      <sheetName val="UF25GP"/>
      <sheetName val="UF25HP"/>
      <sheetName val="UF25TP"/>
      <sheetName val="UF50GP"/>
      <sheetName val="PL25GP"/>
      <sheetName val="PL50GP"/>
      <sheetName val="PF25GP"/>
      <sheetName val="PF50GP"/>
      <sheetName val="DP2T"/>
      <sheetName val="DM1T"/>
      <sheetName val="BS"/>
      <sheetName val="SB"/>
      <sheetName val="AF(벽체)"/>
      <sheetName val="AF(천정)"/>
      <sheetName val="고무안전리브"/>
      <sheetName val="라왕몰딩"/>
      <sheetName val="라왕걸레받이"/>
      <sheetName val="유공ST'L RIB"/>
      <sheetName val="코펜하겐리브"/>
      <sheetName val="방음문(편개)"/>
      <sheetName val="방음문(양개)"/>
      <sheetName val="방음시창1M2 이하"/>
      <sheetName val="방음시창1M2 이상"/>
      <sheetName val="방음시창KSW1P"/>
      <sheetName val="방음시창KSW2P"/>
      <sheetName val="방음시창KSW3P"/>
      <sheetName val="벽체방진기"/>
      <sheetName val="벽돌지지기"/>
      <sheetName val="벽지지브라켓트"/>
      <sheetName val="흡음루바"/>
      <sheetName val="ACCESS FL."/>
      <sheetName val="ACCESS FL. (2)"/>
      <sheetName val="TECTUM"/>
      <sheetName val="TEC+FAB마감"/>
      <sheetName val="GC50JN (2)"/>
      <sheetName val="FB25JCN  (2)"/>
      <sheetName val="48전력선로일위"/>
      <sheetName val="날개수량1.5"/>
      <sheetName val="비용적자료"/>
      <sheetName val="일위대가서식"/>
      <sheetName val="횡배수관집현황(2공구)"/>
      <sheetName val="내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예산서1"/>
      <sheetName val="설계예산서2"/>
      <sheetName val="설계예산서3"/>
      <sheetName val="설계예산서4"/>
      <sheetName val="내역"/>
      <sheetName val="표지"/>
      <sheetName val="집계표1"/>
      <sheetName val="총괄"/>
      <sheetName val="개소별수량산출"/>
      <sheetName val="단가산출"/>
      <sheetName val="인상효1"/>
      <sheetName val="FB25JN"/>
      <sheetName val="산출내역서집계표"/>
      <sheetName val="호표(수)"/>
      <sheetName val="내역서 (2)"/>
      <sheetName val="총집계표"/>
      <sheetName val="48전력선로일위"/>
      <sheetName val="집계표"/>
      <sheetName val="날개수량1.5"/>
      <sheetName val="99 조정금액"/>
      <sheetName val="일반수량총괄집계"/>
      <sheetName val="일위대가표"/>
      <sheetName val="맨홀수량산출"/>
      <sheetName val="Sheet1 (2)"/>
      <sheetName val="노임단가"/>
      <sheetName val="9GNG운반"/>
      <sheetName val="맨홀수량"/>
      <sheetName val="DATE"/>
      <sheetName val="자재비"/>
      <sheetName val="1수량집계표"/>
      <sheetName val="총괄내역서"/>
      <sheetName val="수자재단위당"/>
      <sheetName val="수량산출"/>
      <sheetName val="Y-WORK"/>
      <sheetName val="단위수량"/>
      <sheetName val="98NS-N"/>
      <sheetName val="집계"/>
      <sheetName val="수토공단위당"/>
      <sheetName val="관급자재"/>
      <sheetName val="수불상"/>
      <sheetName val="제품표준규격"/>
      <sheetName val="사용자정의"/>
      <sheetName val="일위대가서식"/>
      <sheetName val="단가"/>
      <sheetName val="내역서"/>
      <sheetName val="식재수량표"/>
      <sheetName val="danga"/>
      <sheetName val="ilch"/>
      <sheetName val="자재단가 산출근거"/>
      <sheetName val="신규식재수량"/>
      <sheetName val="2.가정단면"/>
      <sheetName val="일위_파일"/>
      <sheetName val="공통자료"/>
      <sheetName val="인수공규격"/>
      <sheetName val="횡배수관집현황(2공구)"/>
      <sheetName val="산출"/>
      <sheetName val="수리보고서비"/>
      <sheetName val="부하계산서"/>
      <sheetName val="교통대책내역"/>
      <sheetName val="감시제어단가"/>
      <sheetName val="GC50JN"/>
      <sheetName val="48수량"/>
      <sheetName val="등록자료"/>
      <sheetName val="선금급신청서"/>
      <sheetName val="단가목록"/>
      <sheetName val="Sheet1"/>
      <sheetName val="식재총괄"/>
      <sheetName val="일위목록"/>
      <sheetName val="날개벽"/>
      <sheetName val="비용적자료"/>
      <sheetName val="위치조서"/>
      <sheetName val="적용건축"/>
      <sheetName val="플랜트 설치"/>
      <sheetName val="건축"/>
      <sheetName val="구조물토적"/>
      <sheetName val="준검 내역서"/>
      <sheetName val="차액보증"/>
      <sheetName val="BID"/>
      <sheetName val="9."/>
      <sheetName val="초기화면"/>
      <sheetName val="조직"/>
      <sheetName val="공통가설(기준안)"/>
      <sheetName val="덕전리"/>
      <sheetName val="자재 단가 비교표(견적)"/>
      <sheetName val="자재 단가 비교표"/>
      <sheetName val="실행철강하도"/>
      <sheetName val="산출내역서"/>
      <sheetName val="마산월령동골조물량변경"/>
      <sheetName val="대창(장성)"/>
      <sheetName val="빗물받이(910-510-410)"/>
      <sheetName val="주공 갑지"/>
      <sheetName val="현황산출서"/>
      <sheetName val="공사개요"/>
      <sheetName val="식재가격"/>
      <sheetName val="수량집계"/>
      <sheetName val="기본일위"/>
      <sheetName val="소방사항"/>
      <sheetName val="견적내역서"/>
      <sheetName val="입력시트"/>
      <sheetName val="설-원가"/>
      <sheetName val="설치자재"/>
      <sheetName val="단중"/>
      <sheetName val="인건-측정"/>
      <sheetName val="12호기내역서(건축분)"/>
      <sheetName val="주요재료비(원본)"/>
      <sheetName val="45,46"/>
      <sheetName val="근로자자료입력"/>
      <sheetName val="참고자료"/>
      <sheetName val="#REF"/>
      <sheetName val="소요량"/>
      <sheetName val="안전노무비(3월)"/>
      <sheetName val="직공비"/>
      <sheetName val="확약서"/>
      <sheetName val="자료입력"/>
      <sheetName val="현장관리비"/>
      <sheetName val="건축공사"/>
      <sheetName val="토목공사"/>
      <sheetName val="ELECTRIC"/>
      <sheetName val="마산방향"/>
      <sheetName val="진주방향"/>
      <sheetName val="간공설계서"/>
      <sheetName val="가시설흙막이"/>
      <sheetName val="코드"/>
      <sheetName val="SLAB&quot;1&quot;"/>
      <sheetName val="원가"/>
      <sheetName val="인건비"/>
      <sheetName val="FAB별"/>
      <sheetName val="소비자가"/>
      <sheetName val="토공총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수(건축)"/>
      <sheetName val="HZ (건축)"/>
      <sheetName val="k값 "/>
      <sheetName val="증감액적용"/>
      <sheetName val="총괄표"/>
      <sheetName val="총괄"/>
      <sheetName val="3-4"/>
      <sheetName val="4-4"/>
      <sheetName val="이후설변금액"/>
      <sheetName val="아파트"/>
      <sheetName val="부대시설"/>
      <sheetName val="복리시설"/>
      <sheetName val="지하주차장"/>
      <sheetName val="수급자설변정사"/>
      <sheetName val="XL4Poppy"/>
      <sheetName val="FB25JN"/>
      <sheetName val="상무턴키(건축설변비목)DS"/>
      <sheetName val="공사개요"/>
      <sheetName val="적용토목"/>
      <sheetName val="원가서"/>
      <sheetName val="단가"/>
      <sheetName val="비용"/>
      <sheetName val="내역서적용"/>
      <sheetName val="기계경비"/>
      <sheetName val="한강운반비"/>
      <sheetName val="APT"/>
      <sheetName val="4안전율"/>
      <sheetName val="신우"/>
      <sheetName val="98수문일위"/>
      <sheetName val="수량산출"/>
      <sheetName val="내역"/>
      <sheetName val="48전력선로일위"/>
      <sheetName val="비용적자료"/>
      <sheetName val="날개수량1.5"/>
      <sheetName val="차액보증"/>
      <sheetName val="내역서"/>
      <sheetName val="적용건축"/>
      <sheetName val="실행철강하도"/>
      <sheetName val="구조물토적"/>
      <sheetName val="96보완계획7.12"/>
      <sheetName val="기계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C9" t="b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글씨"/>
      <sheetName val="목차"/>
      <sheetName val="목차 (2)"/>
      <sheetName val="자재집계표"/>
      <sheetName val="양식"/>
      <sheetName val="내역서 적용"/>
      <sheetName val="이월"/>
      <sheetName val="사토"/>
      <sheetName val="집계표"/>
      <sheetName val="토공내역"/>
      <sheetName val="3-1측구공"/>
      <sheetName val="위치조서"/>
      <sheetName val="배수자재"/>
      <sheetName val="3-2-1.횡배수집계"/>
      <sheetName val="3-3.암거공"/>
      <sheetName val="3-2-4집수정"/>
      <sheetName val="맹암거"/>
      <sheetName val="포장내역서"/>
      <sheetName val="4-1.수량총괄표"/>
      <sheetName val="포장수량집계"/>
      <sheetName val="부체도로"/>
      <sheetName val="Sheet16"/>
      <sheetName val="부대집계"/>
      <sheetName val="위치"/>
      <sheetName val="부대산출"/>
      <sheetName val="차선도색"/>
      <sheetName val="XL4Poppy"/>
      <sheetName val="내역서적용"/>
      <sheetName val="원가서"/>
      <sheetName val="인건-측정"/>
      <sheetName val="비용"/>
      <sheetName val="9GNG운반"/>
      <sheetName val="한강운반비"/>
      <sheetName val="수량집계1"/>
      <sheetName val="기초자료"/>
      <sheetName val="48전력선로일위"/>
      <sheetName val="사진첩"/>
      <sheetName val="보안등"/>
      <sheetName val="공사개요"/>
      <sheetName val="신우"/>
      <sheetName val="설계명세"/>
      <sheetName val="전기단가조사서"/>
      <sheetName val="자재단가"/>
      <sheetName val="수량산출"/>
      <sheetName val="손익차9월2"/>
      <sheetName val="총괄"/>
      <sheetName val="일위대가"/>
      <sheetName val="일위대가서식"/>
      <sheetName val="내역"/>
      <sheetName val="남양내역"/>
      <sheetName val="설-원가"/>
      <sheetName val="원가"/>
      <sheetName val="4안전율"/>
      <sheetName val="노무비"/>
      <sheetName val="96보완계획7.12"/>
      <sheetName val="일위대가(가설)"/>
      <sheetName val="일위대가(1)"/>
      <sheetName val="배관배선 단가조사"/>
      <sheetName val="일위대가집계"/>
      <sheetName val="FB25JN"/>
      <sheetName val="기계경비"/>
      <sheetName val="용수간선"/>
      <sheetName val="영창26"/>
      <sheetName val="대치판정"/>
      <sheetName val="차액보증"/>
      <sheetName val="Sheet1"/>
      <sheetName val="실행철강하도"/>
      <sheetName val="설계예산서2"/>
      <sheetName val="자료입력"/>
      <sheetName val="기계내역"/>
      <sheetName val="날개수량1.5"/>
      <sheetName val="노임"/>
      <sheetName val="투찰"/>
      <sheetName val="단가"/>
      <sheetName val="관급자재"/>
      <sheetName val="폐기물"/>
      <sheetName val="수자재단위당"/>
      <sheetName val="Sheet1 (2)"/>
      <sheetName val="공통가설공사"/>
      <sheetName val="경산"/>
      <sheetName val="일위대가-1"/>
      <sheetName val="J형측구단위수량"/>
      <sheetName val="적용건축"/>
      <sheetName val="공통자료"/>
      <sheetName val="암거날개벽재료집계"/>
      <sheetName val="데리네이타현황"/>
      <sheetName val="변경갑지"/>
      <sheetName val="증감(갑지)"/>
      <sheetName val="bid"/>
      <sheetName val="data"/>
      <sheetName val="FAX"/>
      <sheetName val="호표"/>
      <sheetName val="배수관공"/>
      <sheetName val="인건비"/>
      <sheetName val="각형맨홀"/>
      <sheetName val="조명시설"/>
      <sheetName val="기존포장깨기"/>
      <sheetName val="석축헐기"/>
      <sheetName val="개소별수량산출"/>
      <sheetName val="98수문일위"/>
      <sheetName val="연습"/>
      <sheetName val="구의33고"/>
      <sheetName val="비교표"/>
      <sheetName val="토량산출서"/>
      <sheetName val="#REF"/>
      <sheetName val="간접"/>
      <sheetName val="자재"/>
      <sheetName val="관로공표지"/>
      <sheetName val="보도블럭"/>
      <sheetName val="암거(내역)"/>
      <sheetName val="내역서 (2)"/>
      <sheetName val="s"/>
      <sheetName val="할증"/>
      <sheetName val="횡배수관집현황(2공구)"/>
      <sheetName val="원도급"/>
      <sheetName val="하도급"/>
      <sheetName val="총집계표"/>
      <sheetName val="노임단가"/>
      <sheetName val="현장관리"/>
      <sheetName val="일위대가표"/>
      <sheetName val="98NS-N"/>
      <sheetName val="터파기및재료"/>
      <sheetName val="여과지동"/>
      <sheetName val="내역서"/>
      <sheetName val="COPING"/>
      <sheetName val="철근량"/>
      <sheetName val="인상효1"/>
      <sheetName val="J直材4"/>
      <sheetName val="현관"/>
      <sheetName val="토공1차"/>
      <sheetName val="코딩 (2)"/>
      <sheetName val="산출내역서집계표"/>
      <sheetName val="물집"/>
      <sheetName val="원가계산서"/>
      <sheetName val="덕전리"/>
      <sheetName val="20관리비율"/>
      <sheetName val="급수공사"/>
      <sheetName val="적용기준"/>
      <sheetName val="시운전연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행계획"/>
      <sheetName val="위치"/>
      <sheetName val="XL4Poppy"/>
      <sheetName val="총괄"/>
      <sheetName val="48전력선로일위"/>
      <sheetName val="FB25JN"/>
      <sheetName val="경산"/>
      <sheetName val="일위대가서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원가계산서"/>
      <sheetName val="실행철강하도"/>
      <sheetName val="공통(20-91)"/>
      <sheetName val="DANGA"/>
      <sheetName val="일위대가"/>
      <sheetName val="관급"/>
      <sheetName val="원가"/>
      <sheetName val="내역서(직영비)"/>
      <sheetName val="수량산출"/>
      <sheetName val="원도급"/>
      <sheetName val="하도급"/>
      <sheetName val="목차"/>
      <sheetName val="총괄내역서"/>
      <sheetName val="메뉴"/>
      <sheetName val="자재단가"/>
      <sheetName val="운반공"/>
      <sheetName val="내역서"/>
      <sheetName val="노임"/>
      <sheetName val="대비2"/>
      <sheetName val="일위대가표"/>
      <sheetName val="개소별수량산출"/>
      <sheetName val="신우"/>
      <sheetName val="위치조서"/>
      <sheetName val="문학간접"/>
      <sheetName val="내역"/>
      <sheetName val="기본단가표"/>
      <sheetName val="원하대비"/>
      <sheetName val="표지2"/>
      <sheetName val="일위대가서식"/>
      <sheetName val="단가"/>
      <sheetName val="수자재단위당"/>
      <sheetName val="원가계산"/>
      <sheetName val="여과지동"/>
      <sheetName val="기초자료"/>
      <sheetName val="5-5.단가비교표"/>
      <sheetName val="증감대비"/>
      <sheetName val="공종단가"/>
      <sheetName val="Y-WORK"/>
      <sheetName val="노임단가"/>
      <sheetName val="수목단가"/>
      <sheetName val="식재수량표"/>
      <sheetName val="실행간접비"/>
      <sheetName val="48전력선로일위"/>
      <sheetName val="금호"/>
      <sheetName val="옥외외등집계표"/>
      <sheetName val="견적서 N"/>
      <sheetName val="계약내역서"/>
      <sheetName val="감가상각"/>
      <sheetName val="직노"/>
      <sheetName val="22수량"/>
      <sheetName val="과천MAIN"/>
      <sheetName val="DATA"/>
      <sheetName val="화재 탐지 설비"/>
      <sheetName val="총괄표"/>
      <sheetName val="개요"/>
      <sheetName val="보안등"/>
      <sheetName val="FB25JN"/>
      <sheetName val="위치"/>
      <sheetName val="XL4Poppy"/>
      <sheetName val="969910( R)"/>
      <sheetName val="내역서적용"/>
      <sheetName val="집계표"/>
      <sheetName val="＃호안블록"/>
      <sheetName val="산출내역서집계표"/>
      <sheetName val="집 계 표"/>
      <sheetName val="공통가설"/>
      <sheetName val="b_balju"/>
      <sheetName val="4-2.포장수량집계"/>
      <sheetName val="#REF"/>
      <sheetName val="본사인상전"/>
      <sheetName val="기계경비"/>
      <sheetName val="조인트"/>
      <sheetName val="백암비스타내역"/>
      <sheetName val="날개벽수량표"/>
      <sheetName val=" 갑지"/>
      <sheetName val="설계내역서"/>
      <sheetName val="공사개요"/>
      <sheetName val="토공사B동추가"/>
      <sheetName val="데이타"/>
      <sheetName val="코드표"/>
      <sheetName val="COST"/>
      <sheetName val="총 원가계산"/>
      <sheetName val="토공사"/>
      <sheetName val="1.장비설치공사"/>
      <sheetName val="공사비증감"/>
      <sheetName val="자재"/>
      <sheetName val="전기공사일위대가"/>
      <sheetName val="호표"/>
      <sheetName val="입찰안"/>
      <sheetName val="수정계획3"/>
      <sheetName val="터파기및재료"/>
      <sheetName val="일반수량총괄집계"/>
      <sheetName val="작업용"/>
      <sheetName val="발송용"/>
      <sheetName val="주요항목별"/>
      <sheetName val="평점"/>
      <sheetName val="설계총괄"/>
      <sheetName val="설계(고용)"/>
      <sheetName val="설계집계"/>
      <sheetName val="원하도대비"/>
      <sheetName val="원도총괄"/>
      <sheetName val="원도집계"/>
      <sheetName val="원도내역서"/>
      <sheetName val="실행비교"/>
      <sheetName val="실행통보"/>
      <sheetName val="실행.하도비교"/>
      <sheetName val="Sheet3"/>
      <sheetName val="금액내역서"/>
      <sheetName val="공통자료"/>
      <sheetName val="전기설계변경"/>
      <sheetName val="일위대가(가설)"/>
      <sheetName val="LOPCALC"/>
      <sheetName val="직재"/>
      <sheetName val="소화실적"/>
      <sheetName val="공사비"/>
      <sheetName val="시운전연료비"/>
      <sheetName val="제-노임"/>
      <sheetName val="설직재-1"/>
      <sheetName val="제직재"/>
      <sheetName val="표지 (2)"/>
      <sheetName val="총괄"/>
      <sheetName val="노무비"/>
      <sheetName val="플랜트 설치"/>
      <sheetName val="설비"/>
      <sheetName val="J형측구단위수량"/>
      <sheetName val="예산서"/>
      <sheetName val="경산"/>
      <sheetName val="EP0618"/>
      <sheetName val="지급자재"/>
      <sheetName val="현장별"/>
      <sheetName val="우수"/>
      <sheetName val="MACRO(전선관)"/>
      <sheetName val="조명시설"/>
      <sheetName val="내역서2안"/>
      <sheetName val="인건비"/>
      <sheetName val="Xunit"/>
      <sheetName val="시화점실행"/>
      <sheetName val="하중계산"/>
      <sheetName val="1"/>
      <sheetName val="상무2지구(공사) (8)"/>
      <sheetName val="교통대책내역"/>
      <sheetName val="건축공사"/>
      <sheetName val="일위대가(1)"/>
      <sheetName val="횡배수관집현황(2공구)"/>
      <sheetName val="차액보증"/>
      <sheetName val="연결임시"/>
      <sheetName val="공사비집계"/>
      <sheetName val="JUCKEYK"/>
      <sheetName val="서순천154KV(청전실행)"/>
      <sheetName val="건축내역서"/>
      <sheetName val="설비내역서"/>
      <sheetName val="전기내역서"/>
      <sheetName val="우석문틀"/>
      <sheetName val="04.01"/>
      <sheetName val="용선 C.L"/>
      <sheetName val="유림총괄"/>
      <sheetName val="식초"/>
      <sheetName val="VOR"/>
      <sheetName val="노무,재료"/>
      <sheetName val="신천3호용수로"/>
      <sheetName val="품셈"/>
      <sheetName val="N賃率-職"/>
      <sheetName val="실내건축일위대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측구공 호표"/>
      <sheetName val="횡배수관 호표"/>
      <sheetName val="옹벽 호표"/>
      <sheetName val="단위수량목록"/>
      <sheetName val="Sheet3"/>
      <sheetName val="원가계산서"/>
      <sheetName val="실행간접비"/>
      <sheetName val="횡배수관집현황(2공구)"/>
      <sheetName val="문학간접"/>
      <sheetName val="관급"/>
      <sheetName val="원가"/>
      <sheetName val="위치조서"/>
      <sheetName val="원도급"/>
      <sheetName val="하도급"/>
      <sheetName val="실행철강하도"/>
      <sheetName val="기본단가표"/>
      <sheetName val="자재단가"/>
      <sheetName val="내역서"/>
      <sheetName val="여과지동"/>
      <sheetName val="기초자료"/>
      <sheetName val="위치"/>
      <sheetName val="총괄내역서"/>
      <sheetName val="공사비증감"/>
      <sheetName val="본사인상전"/>
      <sheetName val="대비2"/>
      <sheetName val="직재"/>
      <sheetName val="터파기및재료"/>
      <sheetName val="백암비스타내역"/>
      <sheetName val="집계표"/>
      <sheetName val="Sheet1"/>
      <sheetName val="일위대가"/>
      <sheetName val="소화실적"/>
      <sheetName val="적용호표"/>
      <sheetName val="DANGA"/>
      <sheetName val="내역"/>
      <sheetName val="XL4Poppy"/>
      <sheetName val="노임단가"/>
      <sheetName val="원하대비"/>
      <sheetName val="토목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b_balju"/>
      <sheetName val="b_balju (2)"/>
      <sheetName val="b_gunmul"/>
      <sheetName val="전체"/>
      <sheetName val="금액결정"/>
      <sheetName val="산출내역서"/>
      <sheetName val="Tot-sum"/>
      <sheetName val="MOTOR"/>
      <sheetName val="자재단가"/>
      <sheetName val="9GNG운반"/>
      <sheetName val="합정로내역서(토목)"/>
      <sheetName val="기술부 VENDOR LIST"/>
      <sheetName val="유입량"/>
      <sheetName val="전차선로 물량표"/>
      <sheetName val="한강운반비"/>
      <sheetName val="#REF"/>
      <sheetName val="자재"/>
      <sheetName val="공통(20-91)"/>
      <sheetName val="실행철강하도"/>
      <sheetName val="DATA"/>
      <sheetName val="데이타"/>
      <sheetName val="2.1  노무비 평균단가산출"/>
      <sheetName val="북방3터널"/>
      <sheetName val="원가계산서"/>
      <sheetName val="1공구산출내역서"/>
      <sheetName val="본공사"/>
      <sheetName val="원형1호맨홀토공수량"/>
      <sheetName val="인부신상자료"/>
      <sheetName val="배수내역"/>
      <sheetName val="기흥하도용"/>
      <sheetName val="2공구산출내역"/>
      <sheetName val="1,2공구원가계산서"/>
      <sheetName val="DANGA"/>
      <sheetName val="갑지"/>
      <sheetName val="기초코드"/>
      <sheetName val="기둥(원형)"/>
      <sheetName val="DATE"/>
      <sheetName val="건설실행"/>
      <sheetName val="관급"/>
      <sheetName val="이형관중량"/>
      <sheetName val="일위대가(목록)"/>
      <sheetName val="산근(목록)"/>
      <sheetName val="재료비"/>
      <sheetName val="토공"/>
      <sheetName val="코드표"/>
      <sheetName val="인원"/>
      <sheetName val="L_RPTB02_01"/>
      <sheetName val="단가 및 재료비"/>
      <sheetName val="노임"/>
      <sheetName val="이월"/>
      <sheetName val="업체별기성내역"/>
      <sheetName val="화재 탐지 설비"/>
      <sheetName val="기자재비"/>
      <sheetName val="인제내역"/>
      <sheetName val="현장관리비"/>
      <sheetName val="맨홀수량산출"/>
      <sheetName val="내역"/>
      <sheetName val="단가비교"/>
      <sheetName val="설계예시"/>
      <sheetName val="12.일위대가"/>
      <sheetName val="예산총괄"/>
      <sheetName val="단가산출"/>
      <sheetName val="을"/>
      <sheetName val="단가산출서"/>
      <sheetName val="산출"/>
      <sheetName val="공사비집계"/>
      <sheetName val="일위대가(1)"/>
      <sheetName val="일괄인쇄"/>
      <sheetName val="사용자일위"/>
      <sheetName val="여과지동"/>
      <sheetName val="기초자료"/>
      <sheetName val="설계내역서"/>
      <sheetName val="Macro2"/>
      <sheetName val="Macro1"/>
      <sheetName val="SG"/>
      <sheetName val="터널조도"/>
      <sheetName val="ITEM"/>
      <sheetName val="산수배수"/>
      <sheetName val="저"/>
      <sheetName val="sheet1"/>
      <sheetName val="정산내역"/>
      <sheetName val="Total"/>
      <sheetName val="단위수량"/>
      <sheetName val="일위대가(계측기설치)"/>
      <sheetName val="산출근거"/>
      <sheetName val="내역서"/>
      <sheetName val="을지"/>
      <sheetName val="예가표"/>
      <sheetName val="노임조서"/>
      <sheetName val="일위"/>
      <sheetName val="터파기및재료"/>
      <sheetName val="투찰내역"/>
      <sheetName val="수량산출"/>
      <sheetName val="인력터파기품"/>
      <sheetName val="포장공"/>
      <sheetName val="시화점실행"/>
      <sheetName val="단가대비표"/>
      <sheetName val="안양동교 1안"/>
      <sheetName val=" HIT-&gt;HMC 견적(3900)"/>
      <sheetName val="부하계산서"/>
      <sheetName val="설계조건"/>
      <sheetName val="가로등기초"/>
      <sheetName val="PAD TR보호대기초"/>
      <sheetName val="Sheet2"/>
      <sheetName val="B1(반포1차)"/>
      <sheetName val="노무"/>
      <sheetName val="원가"/>
      <sheetName val="개소별수량산출"/>
      <sheetName val="일위(시설)"/>
      <sheetName val="간접비계산"/>
      <sheetName val="기본단가표"/>
      <sheetName val="인원계획"/>
      <sheetName val="대차"/>
      <sheetName val="갑(전기)"/>
      <sheetName val="갑(계장)"/>
      <sheetName val="철거산출근거"/>
      <sheetName val="견적"/>
      <sheetName val="이월가격"/>
      <sheetName val="사업수지"/>
      <sheetName val="일위대가(동대문운동장별관)"/>
      <sheetName val="수량산출서"/>
      <sheetName val="산출서집계"/>
      <sheetName val="간선계산"/>
      <sheetName val="노임단가"/>
      <sheetName val="5.공량산출서"/>
      <sheetName val="원가서"/>
      <sheetName val="기본단가"/>
      <sheetName val="인입관수량총괄"/>
      <sheetName val="IT-BAT"/>
      <sheetName val="Sheet3"/>
      <sheetName val="일위대가표"/>
      <sheetName val="I一般比"/>
      <sheetName val="N賃率-職"/>
      <sheetName val="가로등내역서"/>
      <sheetName val="Y-WORK"/>
      <sheetName val="노무,재료"/>
      <sheetName val="집계표"/>
      <sheetName val="간접(90)"/>
      <sheetName val="XXXXXX"/>
      <sheetName val="정부노임단가"/>
      <sheetName val="대비"/>
      <sheetName val="BOX(1.5X1.5)"/>
      <sheetName val="2.대외공문"/>
      <sheetName val="본사인상전"/>
      <sheetName val="단가조사서"/>
      <sheetName val="첨부1"/>
      <sheetName val="PAY2002"/>
      <sheetName val="실행기초"/>
      <sheetName val="자재테이블"/>
      <sheetName val="자재단가비교표"/>
      <sheetName val="기본설계기준"/>
      <sheetName val="총괄내역서"/>
      <sheetName val="Sheet5"/>
      <sheetName val="실행간접비"/>
      <sheetName val="TEMP1"/>
      <sheetName val="TEMP2"/>
      <sheetName val="BS"/>
      <sheetName val="PL"/>
      <sheetName val="22인공"/>
      <sheetName val="을 2"/>
      <sheetName val="을 1"/>
      <sheetName val="식재"/>
      <sheetName val="시설물"/>
      <sheetName val="식재출력용"/>
      <sheetName val="유지관리"/>
      <sheetName val="단가"/>
      <sheetName val="단위단가"/>
      <sheetName val="준검 내역서"/>
      <sheetName val="ABUT수량-A1"/>
      <sheetName val="자재일람"/>
      <sheetName val="투자효율분석"/>
      <sheetName val="경비"/>
      <sheetName val="산출내역서집계표"/>
      <sheetName val="가스"/>
      <sheetName val="유치원내역"/>
      <sheetName val="연습"/>
      <sheetName val="단위중량"/>
      <sheetName val="토공실행"/>
      <sheetName val="노무비"/>
      <sheetName val="BID"/>
      <sheetName val="실행대비"/>
      <sheetName val="CTEMCOST"/>
      <sheetName val="현장관리비 산출내역"/>
      <sheetName val="예산변경사항"/>
      <sheetName val="Baby일위대가"/>
      <sheetName val="하조서"/>
      <sheetName val="XL4Poppy"/>
      <sheetName val="여암교"/>
      <sheetName val="참조"/>
      <sheetName val="가시설수량"/>
      <sheetName val="식음료"/>
      <sheetName val="9509"/>
      <sheetName val="1공구원가계산서"/>
      <sheetName val="토목단가"/>
      <sheetName val="개요"/>
      <sheetName val="3.공통공사대비"/>
      <sheetName val="옥외외등집계표"/>
      <sheetName val="인건비"/>
      <sheetName val="기준"/>
      <sheetName val="SP-B1"/>
      <sheetName val="단락전류-A"/>
      <sheetName val="중기일위대가"/>
      <sheetName val="인건비(VOICE)"/>
      <sheetName val="본선"/>
      <sheetName val="주소"/>
      <sheetName val="내역서(당초변경)"/>
      <sheetName val="97년 추정"/>
      <sheetName val="4)유동표"/>
      <sheetName val="1.적격점수"/>
      <sheetName val="WORK"/>
      <sheetName val="3월집계"/>
      <sheetName val="공사비예산서"/>
      <sheetName val="Imp-Data"/>
      <sheetName val="6월실적"/>
      <sheetName val="Testing"/>
      <sheetName val="손익분석"/>
      <sheetName val="공통가설"/>
      <sheetName val="추가예산"/>
      <sheetName val="A LINE"/>
      <sheetName val="총괄표"/>
      <sheetName val="입찰견적보고서"/>
      <sheetName val="차액보증"/>
      <sheetName val="재료"/>
      <sheetName val="1유리"/>
      <sheetName val="3BL공동구 수량"/>
      <sheetName val="목차"/>
      <sheetName val="일반부표"/>
      <sheetName val="통신원가"/>
      <sheetName val="골조시행"/>
      <sheetName val="시운전연료비"/>
      <sheetName val="당초명세(평)"/>
      <sheetName val="공정집계_국별"/>
      <sheetName val="토목"/>
      <sheetName val="경산"/>
      <sheetName val="도로포장면적산출(1)"/>
      <sheetName val="급수공사"/>
      <sheetName val="설계카드"/>
      <sheetName val="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측구공 호표"/>
      <sheetName val="횡배수관 호표"/>
      <sheetName val="옹벽 호표"/>
      <sheetName val="단위수량목록"/>
      <sheetName val="Sheet3"/>
      <sheetName val="입찰안"/>
      <sheetName val="조명율표"/>
      <sheetName val="99총공사내역서"/>
      <sheetName val="표  지"/>
      <sheetName val="기본단가표"/>
      <sheetName val="Sheet2"/>
      <sheetName val="2000년1차"/>
      <sheetName val="2000전체분"/>
      <sheetName val="DANGA"/>
      <sheetName val="위치"/>
      <sheetName val="정리부09"/>
      <sheetName val="적용호표"/>
      <sheetName val="N賃率-職"/>
      <sheetName val="XL4Poppy"/>
      <sheetName val="제수변 수량집계표(보통)"/>
      <sheetName val="접속도로1"/>
      <sheetName val="13LPMCC"/>
      <sheetName val="세부내역"/>
      <sheetName val="원가계산서"/>
      <sheetName val="단가일람"/>
      <sheetName val="조경일람"/>
      <sheetName val="내역서"/>
      <sheetName val="원가총괄"/>
      <sheetName val="접속도로집"/>
      <sheetName val="조명일위"/>
      <sheetName val="일위대가"/>
      <sheetName val="자재단가"/>
      <sheetName val="요율"/>
      <sheetName val="산근"/>
      <sheetName val="산출근거"/>
      <sheetName val="LD"/>
      <sheetName val="영창26"/>
      <sheetName val="건축내역"/>
      <sheetName val="배수장토목공사비"/>
      <sheetName val="호표"/>
      <sheetName val="적용토목"/>
      <sheetName val="데이타"/>
      <sheetName val="위치조서"/>
      <sheetName val="일위대가(1)"/>
      <sheetName val="b_balju"/>
      <sheetName val="가중치"/>
      <sheetName val="1공구(입찰내역)"/>
      <sheetName val="집계표"/>
      <sheetName val="Sheet1"/>
      <sheetName val="교통대책내역"/>
      <sheetName val="04.8월건강보험(일반직)"/>
      <sheetName val="4-1.수량총괄표"/>
      <sheetName val="코드일람표2001년10월"/>
      <sheetName val="간접1"/>
      <sheetName val="범례표"/>
      <sheetName val="자재테이블"/>
      <sheetName val="원가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지수산정"/>
      <sheetName val="기타산정"/>
      <sheetName val="조정산출표"/>
      <sheetName val="적용비대상"/>
      <sheetName val="적용토목"/>
      <sheetName val="지수토목"/>
      <sheetName val="토목목록"/>
      <sheetName val="단산목록"/>
      <sheetName val="기계경비"/>
      <sheetName val="노(989&amp;991)"/>
      <sheetName val="영창26"/>
      <sheetName val="표  지"/>
      <sheetName val="원가계산서"/>
      <sheetName val="공사비총괄표"/>
      <sheetName val="내역서"/>
      <sheetName val="일위대가목차"/>
      <sheetName val="일위대가표"/>
      <sheetName val="일위산출"/>
      <sheetName val="일위대가"/>
      <sheetName val="교각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율표"/>
      <sheetName val="일위대가"/>
      <sheetName val="교각계산"/>
      <sheetName val="표  지"/>
      <sheetName val="정리부09"/>
      <sheetName val="토목"/>
      <sheetName val="LD"/>
      <sheetName val="내역"/>
      <sheetName val="상수도갑지"/>
      <sheetName val="상수도을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원28"/>
      <sheetName val="영창26"/>
      <sheetName val="법정18"/>
      <sheetName val="식당20"/>
      <sheetName val="일위대가"/>
      <sheetName val="내역서1"/>
      <sheetName val="내역"/>
      <sheetName val="표  지"/>
      <sheetName val="조명율표"/>
      <sheetName val="지급자재"/>
      <sheetName val="지영법식"/>
      <sheetName val="LD"/>
      <sheetName val="주beam"/>
      <sheetName val="단가표 (2)"/>
      <sheetName val="입찰안"/>
      <sheetName val="교각계산"/>
      <sheetName val="N賃率-職"/>
      <sheetName val="철근량"/>
      <sheetName val="문학간접"/>
      <sheetName val="48전력선로일위"/>
      <sheetName val="접속도로1"/>
      <sheetName val="직노"/>
      <sheetName val="내역서"/>
      <sheetName val="일위산출"/>
      <sheetName val="갑  지"/>
      <sheetName val="원가계산서"/>
      <sheetName val="노임,재료비"/>
      <sheetName val="자료"/>
      <sheetName val="일위대가서식"/>
      <sheetName val="내역서(토목)"/>
      <sheetName val="단가일람"/>
      <sheetName val="조경일람"/>
      <sheetName val="접속도수량집계표"/>
      <sheetName val="2000년1차"/>
      <sheetName val="2000전체분"/>
      <sheetName val="FB25JN"/>
      <sheetName val="일위합"/>
      <sheetName val="공사착공계"/>
      <sheetName val="입상내역"/>
      <sheetName val="실행기초"/>
      <sheetName val="건축내역"/>
      <sheetName val="자재테이블"/>
      <sheetName val="단가대비표"/>
      <sheetName val="간접"/>
      <sheetName val="간접비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자재단가"/>
      <sheetName val="49수량"/>
      <sheetName val="49인공"/>
      <sheetName val="49전력기기일위"/>
      <sheetName val="48수량"/>
      <sheetName val="48인공"/>
      <sheetName val="48전력선로일위"/>
      <sheetName val="22수량"/>
      <sheetName val="22인공"/>
      <sheetName val="22일위"/>
      <sheetName val="총괄표"/>
      <sheetName val="산출기초"/>
      <sheetName val="가설건물"/>
      <sheetName val="적용토목"/>
      <sheetName val="영창26"/>
      <sheetName val="위치"/>
      <sheetName val="내역"/>
      <sheetName val="조명율표"/>
      <sheetName val="표  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B2" t="str">
            <v>공   사   종   류</v>
          </cell>
        </row>
      </sheetData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측구공 호표"/>
      <sheetName val="횡배수관 호표"/>
      <sheetName val="옹벽 호표"/>
      <sheetName val="단위수량목록"/>
      <sheetName val="Sheet3"/>
      <sheetName val="토공사"/>
      <sheetName val="경비공통"/>
      <sheetName val="코드일람표"/>
      <sheetName val="기초자료"/>
      <sheetName val="48전력선로일위"/>
      <sheetName val="적용토목"/>
      <sheetName val="단가"/>
      <sheetName val="위치조서"/>
      <sheetName val="지급자재"/>
      <sheetName val="백암비스타내역"/>
      <sheetName val="자료입력"/>
      <sheetName val="횡배위치"/>
      <sheetName val="공정코드"/>
      <sheetName val="대가호표"/>
      <sheetName val="I一般比"/>
      <sheetName val="포장수량집계"/>
      <sheetName val="공사비"/>
      <sheetName val="자재단가"/>
      <sheetName val="일위대가"/>
      <sheetName val="(C)원내역"/>
      <sheetName val="코드명"/>
      <sheetName val="단위량당중기"/>
      <sheetName val="220 (2)"/>
      <sheetName val="노임단가"/>
      <sheetName val="SLAB&quot;1&quot;"/>
      <sheetName val="미드수량"/>
      <sheetName val="직노"/>
      <sheetName val="실행내역"/>
      <sheetName val="영창26"/>
      <sheetName val="그림"/>
      <sheetName val="그림2"/>
      <sheetName val="일목"/>
      <sheetName val="일위"/>
      <sheetName val="접속도로집"/>
      <sheetName val="산출근거"/>
      <sheetName val="산근"/>
      <sheetName val="손익분석"/>
      <sheetName val="수량산출서 갑지"/>
      <sheetName val="일위대가목록"/>
      <sheetName val="예산서 "/>
      <sheetName val="하조서"/>
      <sheetName val="콘센트신설"/>
      <sheetName val="횡배수관집현황(2공구)"/>
      <sheetName val="내역"/>
      <sheetName val="200"/>
      <sheetName val="토목"/>
      <sheetName val="청학계"/>
      <sheetName val="데리네이타현황"/>
      <sheetName val="Sheet1"/>
      <sheetName val="단가비교표_공통1"/>
      <sheetName val="95년12월말"/>
      <sheetName val="조건표"/>
      <sheetName val="관리,공감"/>
      <sheetName val="기존포장깨기"/>
      <sheetName val="석축헐기"/>
      <sheetName val="DANGA"/>
      <sheetName val="제경비율"/>
      <sheetName val="내역서"/>
      <sheetName val="공통(20-91)"/>
      <sheetName val="DATA"/>
      <sheetName val="총공사내역서"/>
      <sheetName val="통계연보"/>
      <sheetName val="철근중량"/>
      <sheetName val="적용호표"/>
      <sheetName val="#REF"/>
      <sheetName val="일위대가표"/>
      <sheetName val="일위대가(1)"/>
      <sheetName val="입력자료(노무비)"/>
      <sheetName val="ABUT수량-A1"/>
      <sheetName val="COPING-1"/>
      <sheetName val="역T형교대-2수량"/>
      <sheetName val="자료"/>
      <sheetName val="96보완계획7.12"/>
      <sheetName val="골재집계"/>
      <sheetName val="수량집계"/>
      <sheetName val="공토공단위당"/>
      <sheetName val="단가비교"/>
      <sheetName val="내역서1"/>
      <sheetName val="수량산출"/>
      <sheetName val="품셈표"/>
      <sheetName val="부대공Ⅱ"/>
      <sheetName val="98수문일위"/>
      <sheetName val="총괄표"/>
      <sheetName val="전선 및 전선관"/>
      <sheetName val="총괄"/>
      <sheetName val="표  지"/>
      <sheetName val="FILE1"/>
      <sheetName val="종단계산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양식"/>
      <sheetName val="골재산출"/>
      <sheetName val="자재중량"/>
      <sheetName val="산출양식 (2)"/>
      <sheetName val="목재창호"/>
      <sheetName val="루바설치공사"/>
      <sheetName val="흄관"/>
      <sheetName val="관접합"/>
      <sheetName val="장애자타일"/>
      <sheetName val="벤치플륨관"/>
      <sheetName val="모르타르기계배관타설"/>
      <sheetName val="후로링설치"/>
      <sheetName val="천장텍스붙임"/>
      <sheetName val="알미늄창"/>
      <sheetName val="샌드위치판넬설치"/>
      <sheetName val="벽지바르기"/>
      <sheetName val="장판붙이기"/>
      <sheetName val="돌담쌓기"/>
      <sheetName val="콘크리트깨기"/>
      <sheetName val="산출양식"/>
      <sheetName val="골함석잇기"/>
      <sheetName val="우드륨,데코타일"/>
      <sheetName val="온수기설치"/>
      <sheetName val="스치로폴"/>
      <sheetName val="일위대가서식"/>
      <sheetName val="철근용접"/>
      <sheetName val="철거"/>
      <sheetName val="철거및헐기"/>
      <sheetName val="콘크리트컷팅"/>
      <sheetName val="테라죠타일"/>
      <sheetName val="창호일위대가"/>
      <sheetName val="벤치플륨관설치"/>
      <sheetName val="다발관일위"/>
      <sheetName val="48전력선로일위"/>
      <sheetName val="적용토목"/>
      <sheetName val="영창26"/>
      <sheetName val="손익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지수산정"/>
      <sheetName val="기타산정"/>
      <sheetName val="조정산출표"/>
      <sheetName val="적용비대상"/>
      <sheetName val="도급금액"/>
      <sheetName val="적용토목"/>
      <sheetName val="지수토목"/>
      <sheetName val="접속도로1"/>
      <sheetName val="일위대가서식"/>
      <sheetName val="손익분석"/>
      <sheetName val="48전력선로일위"/>
      <sheetName val="품셈TABLE"/>
      <sheetName val="공사개요"/>
      <sheetName val="별표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데이타"/>
      <sheetName val="배수관공표지"/>
      <sheetName val="횡배집계"/>
      <sheetName val="배수관총계"/>
      <sheetName val="연장,위치조서"/>
      <sheetName val="횡배수수량집계"/>
      <sheetName val="흄관단위량"/>
      <sheetName val="횡배산근"/>
      <sheetName val="횡배600"/>
      <sheetName val="평균높이"/>
      <sheetName val="날개집계1.2"/>
      <sheetName val="날개집계3"/>
      <sheetName val="날개벽산출근거"/>
      <sheetName val="날개벽토공"/>
      <sheetName val="날개벽공제량근거"/>
      <sheetName val="날개벽공제량"/>
      <sheetName val="집수정표지"/>
      <sheetName val="집수정"/>
      <sheetName val="집수정수량산출"/>
      <sheetName val="맨홀표지"/>
      <sheetName val="맨홀위치조서"/>
      <sheetName val="맨홀수량집계표"/>
      <sheetName val="맨홀수량"/>
      <sheetName val="맨홀토공"/>
      <sheetName val="Sheet3"/>
      <sheetName val="Sheet4"/>
      <sheetName val="Sheet5"/>
      <sheetName val="구조물공"/>
      <sheetName val="배수공집계"/>
      <sheetName val="구조물내역서적용수량"/>
      <sheetName val="측구및보도"/>
      <sheetName val="보도공수량집계표"/>
      <sheetName val="보도공수량산출"/>
      <sheetName val="보도공위치"/>
      <sheetName val="보차도경계석"/>
      <sheetName val="도로경계단위수량"/>
      <sheetName val="보도블럭단위수량"/>
      <sheetName val="측구단위수량"/>
      <sheetName val="배수관공"/>
      <sheetName val="도수로수량집계표"/>
      <sheetName val="다이크도수로수량집계"/>
      <sheetName val="도수로 그림"/>
      <sheetName val="종배수표지"/>
      <sheetName val="종배수관위치조서"/>
      <sheetName val="종배수관"/>
      <sheetName val="면벽"/>
      <sheetName val="위치조서"/>
      <sheetName val="경산"/>
      <sheetName val="총괄"/>
      <sheetName val="내역"/>
      <sheetName val="보안등"/>
      <sheetName val="실행철강하도"/>
      <sheetName val="인건비"/>
      <sheetName val="LOPCALC"/>
      <sheetName val="자료입력"/>
      <sheetName val="설 계"/>
      <sheetName val="인상효1"/>
      <sheetName val="적용토목"/>
      <sheetName val="일위대가(가설)"/>
      <sheetName val="공통자료"/>
      <sheetName val="참조(인건비)"/>
      <sheetName val="접속도로1"/>
      <sheetName val="설-원가"/>
      <sheetName val="원가"/>
      <sheetName val="코드표"/>
      <sheetName val="단위단가"/>
      <sheetName val="내역서"/>
      <sheetName val="bid"/>
      <sheetName val="평균높이산출근거"/>
      <sheetName val="횡배수관공"/>
      <sheetName val="적용건축"/>
      <sheetName val="연습"/>
      <sheetName val="Sheet1 (2)"/>
      <sheetName val="옥외"/>
      <sheetName val="일위대가(계측기설치)"/>
      <sheetName val="EQ"/>
      <sheetName val="낙찰표"/>
      <sheetName val="2003.4.1."/>
      <sheetName val="배수통관(좌)"/>
      <sheetName val="실행내역서"/>
      <sheetName val="개소별수량산출"/>
      <sheetName val="일위대가서식"/>
      <sheetName val="내역서적용"/>
      <sheetName val="XL4Poppy"/>
      <sheetName val="횡배수관토공수량"/>
      <sheetName val="J直材4"/>
      <sheetName val="입력"/>
      <sheetName val="1.능률현황"/>
      <sheetName val="2.호선별예상실적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우"/>
      <sheetName val="내역서"/>
      <sheetName val="BATT"/>
      <sheetName val="수량산출"/>
      <sheetName val="96보완계획7.12"/>
      <sheetName val="부하(성남)"/>
      <sheetName val="설비"/>
      <sheetName val="연습"/>
      <sheetName val="하조서"/>
      <sheetName val="대치판정"/>
      <sheetName val="접속도로1"/>
      <sheetName val="맨홀"/>
      <sheetName val="일위대가서식"/>
      <sheetName val="단가비교표"/>
      <sheetName val="FB25JN"/>
      <sheetName val="개소별수량산출"/>
      <sheetName val="사각맨홀"/>
      <sheetName val="원가계산서"/>
      <sheetName val="설계내역서"/>
      <sheetName val="노임단가"/>
      <sheetName val="자재단가"/>
      <sheetName val="계수시트"/>
      <sheetName val="단가조사"/>
      <sheetName val="집수A"/>
      <sheetName val="위치조서"/>
      <sheetName val="영창26"/>
      <sheetName val="48전력선로일위"/>
      <sheetName val="일위대가(가설)"/>
      <sheetName val="옥외"/>
      <sheetName val="설 계"/>
      <sheetName val="일위대가(계측기설치)"/>
      <sheetName val="N賃率-職"/>
      <sheetName val="Sheet1"/>
      <sheetName val="일반수량"/>
      <sheetName val="기계경비"/>
      <sheetName val="노임"/>
      <sheetName val="TABLE"/>
      <sheetName val="인건비"/>
      <sheetName val="J直材4"/>
      <sheetName val="일위"/>
      <sheetName val="날개벽수량표"/>
      <sheetName val="산출근거"/>
      <sheetName val="집계표"/>
      <sheetName val="인건-측정"/>
      <sheetName val="#REF"/>
      <sheetName val="제-노임"/>
      <sheetName val="제직재"/>
      <sheetName val="배수관공표지"/>
      <sheetName val="원본(갑지)"/>
      <sheetName val="선정요령"/>
      <sheetName val="각형맨홀"/>
      <sheetName val="sw1"/>
      <sheetName val="NOMUBI"/>
      <sheetName val="도급"/>
      <sheetName val="시중노임단가"/>
      <sheetName val="적용토목"/>
      <sheetName val="노임조서"/>
      <sheetName val="수량산출서"/>
      <sheetName val="2003.4.1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검수조서"/>
      <sheetName val="포기각서"/>
      <sheetName val="검수 일지"/>
      <sheetName val="검토 일정표"/>
      <sheetName val="용역정산서"/>
      <sheetName val="설계용역 정산내역"/>
      <sheetName val="본설계산출내역"/>
      <sheetName val="설계비제외"/>
      <sheetName val="예산집행검토"/>
      <sheetName val="신우"/>
      <sheetName val="위치조서"/>
      <sheetName val="적용토목"/>
    </sheetNames>
    <sheetDataSet>
      <sheetData sheetId="0">
        <row r="4">
          <cell r="D4" t="str">
            <v>묘량중앙초등학교 다목적교실 증축공사 설계용역</v>
          </cell>
        </row>
      </sheetData>
      <sheetData sheetId="1" refreshError="1"/>
      <sheetData sheetId="2">
        <row r="11">
          <cell r="A11" t="str">
            <v>~</v>
          </cell>
        </row>
      </sheetData>
      <sheetData sheetId="3" refreshError="1"/>
      <sheetData sheetId="4" refreshError="1"/>
      <sheetData sheetId="5">
        <row r="19">
          <cell r="B19" t="e">
            <v>#REF!</v>
          </cell>
        </row>
      </sheetData>
      <sheetData sheetId="6">
        <row r="11">
          <cell r="I11" t="str">
            <v>묘량중앙초등학교 다목적교실 증축공사 설계용역</v>
          </cell>
        </row>
      </sheetData>
      <sheetData sheetId="7">
        <row r="14">
          <cell r="G14">
            <v>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5D40A-64F8-48BC-B15B-09CB9F3710BD}" name="T_검토1안작업일수" displayName="T_검토1안작업일수" ref="A3:L32" totalsRowShown="0" headerRowDxfId="21" dataDxfId="19" headerRowBorderDxfId="20" tableBorderDxfId="18" totalsRowBorderDxfId="17" headerRowCellStyle="표준 4" dataCellStyle="표준 4">
  <autoFilter ref="A3:L32" xr:uid="{B465D40A-64F8-48BC-B15B-09CB9F3710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83630DA2-15AC-4EFD-8487-3097FBA25C1E}" name="순번" dataDxfId="16" dataCellStyle="표준 4">
      <calculatedColumnFormula>IF(T_검토1안작업일수[[#This Row],[세부공종(B)]]="","",ROW()-ROW(T_검토1안작업일수[[#Headers],[순번]]))</calculatedColumnFormula>
    </tableColumn>
    <tableColumn id="2" xr3:uid="{A26C5CB3-B58F-4FE0-8463-CFDBF005D573}" name="공 종(A)" dataDxfId="15" dataCellStyle="표준 4"/>
    <tableColumn id="3" xr3:uid="{407DA41A-7886-4FBE-95AF-80D0CF618A49}" name="세부공종(B)" dataDxfId="14" dataCellStyle="표준 4"/>
    <tableColumn id="4" xr3:uid="{5D0E8DF4-AEC7-4A85-A21A-1863B5A416AB}" name="물 량" dataDxfId="13" dataCellStyle="표준 4"/>
    <tableColumn id="5" xr3:uid="{28068241-78C6-42B3-AD1C-22A343A46D20}" name="단위" dataDxfId="12" dataCellStyle="표준 4">
      <calculatedColumnFormula>IF($C4="","",IFERROR(VLOOKUP(SUBSTITUTE($C4,"~","~~"),'(참고1)_1일작업량'!$B:$E,2,0),""))</calculatedColumnFormula>
    </tableColumn>
    <tableColumn id="6" xr3:uid="{1DD7B8F2-C698-41D9-A47B-679B454FAA48}" name="표준_x000a_1일작업량" dataDxfId="11" dataCellStyle="표준 4">
      <calculatedColumnFormula>IF($C4="","",IFERROR(VLOOKUP(SUBSTITUTE($C4,"~","~~"),'(참고1)_1일작업량'!$B:$E,3,0),""))</calculatedColumnFormula>
    </tableColumn>
    <tableColumn id="7" xr3:uid="{5324B00C-BAEB-417F-B11E-AFB487704261}" name="투입_x000a_조수" dataDxfId="10" dataCellStyle="표준 4"/>
    <tableColumn id="8" xr3:uid="{B9F71B71-C6E4-4FAA-AD76-5A380CF7DB53}" name="적용_x000a_1일작업량" dataDxfId="9" dataCellStyle="표준 4">
      <calculatedColumnFormula>IF(OR($F4="",$G4=""),"",$F4*$G4)</calculatedColumnFormula>
    </tableColumn>
    <tableColumn id="9" xr3:uid="{B5F24342-A447-4949-B455-310A61920B1B}" name="소요일수_x000a_(일)" dataDxfId="8" dataCellStyle="표준 4">
      <calculatedColumnFormula>IF(OR($H4="",$H4=0,$D4=""),"",ROUNDUP($D4/$H4,0))</calculatedColumnFormula>
    </tableColumn>
    <tableColumn id="10" xr3:uid="{50FB5E56-884F-4FFB-B460-D6FD528796C9}" name="주공정_x000a_(CP)" dataDxfId="7" dataCellStyle="표준 4"/>
    <tableColumn id="11" xr3:uid="{4C1D15EC-A87B-4616-8CD8-593DB55F96C6}" name="CP반영_x000a_일수" dataDxfId="6" dataCellStyle="표준 4">
      <calculatedColumnFormula>IF($I4="","",IF($J4="Y",$I4,0))</calculatedColumnFormula>
    </tableColumn>
    <tableColumn id="12" xr3:uid="{D2A6590A-AFD1-413F-9706-4F455E62840A}" name="근거 (부록4 작업조건)" dataDxfId="5" dataCellStyle="표준 4">
      <calculatedColumnFormula>IF($C4="","",IFERROR(IF(VLOOKUP(SUBSTITUTE($C4,"~","~~"),'(참고1)_1일작업량'!$B:$E,4,0)=0,"",VLOOKUP(SUBSTITUTE($C4,"~","~~"),'(참고1)_1일작업량'!$B:$E,4,0)),""))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571E09-5BB6-4985-9A2F-DA146D300AE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59b4a6f-91a0-4f4e-9ca5-5f841fc366c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B3CC-AE1F-4C47-B3DE-8E8DE14F1598}">
  <sheetPr>
    <tabColor rgb="FF1F3864"/>
    <pageSetUpPr fitToPage="1"/>
  </sheetPr>
  <dimension ref="A1:I55"/>
  <sheetViews>
    <sheetView topLeftCell="B1" workbookViewId="0">
      <selection activeCell="K18" sqref="K18"/>
    </sheetView>
  </sheetViews>
  <sheetFormatPr defaultRowHeight="15"/>
  <cols>
    <col min="1" max="1" width="3.42578125" customWidth="1"/>
    <col min="2" max="8" width="13.7109375" customWidth="1"/>
    <col min="9" max="9" width="3.42578125" customWidth="1"/>
  </cols>
  <sheetData>
    <row r="1" spans="1:9">
      <c r="A1" s="37"/>
      <c r="B1" s="37"/>
      <c r="C1" s="37"/>
      <c r="D1" s="37"/>
      <c r="E1" s="37"/>
      <c r="F1" s="37"/>
      <c r="G1" s="37"/>
      <c r="H1" s="37"/>
      <c r="I1" s="37"/>
    </row>
    <row r="2" spans="1:9">
      <c r="A2" s="37"/>
      <c r="B2" s="37"/>
      <c r="C2" s="37"/>
      <c r="D2" s="37"/>
      <c r="E2" s="37"/>
      <c r="F2" s="37"/>
      <c r="G2" s="37"/>
      <c r="H2" s="37"/>
      <c r="I2" s="37"/>
    </row>
    <row r="3" spans="1:9" ht="18" customHeight="1">
      <c r="A3" s="37"/>
      <c r="B3" s="151" t="s">
        <v>744</v>
      </c>
      <c r="C3" s="152"/>
      <c r="D3" s="152"/>
      <c r="E3" s="152"/>
      <c r="F3" s="152"/>
      <c r="G3" s="152"/>
      <c r="H3" s="152"/>
      <c r="I3" s="37"/>
    </row>
    <row r="4" spans="1:9" ht="9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9" ht="21.95" customHeight="1">
      <c r="A5" s="37"/>
      <c r="B5" s="320" t="s">
        <v>745</v>
      </c>
      <c r="C5" s="152"/>
      <c r="D5" s="152"/>
      <c r="E5" s="152"/>
      <c r="F5" s="152"/>
      <c r="G5" s="152"/>
      <c r="H5" s="152"/>
      <c r="I5" s="37"/>
    </row>
    <row r="6" spans="1:9" ht="21.95" customHeight="1">
      <c r="A6" s="37"/>
      <c r="B6" s="152"/>
      <c r="C6" s="152"/>
      <c r="D6" s="152"/>
      <c r="E6" s="152"/>
      <c r="F6" s="152"/>
      <c r="G6" s="152"/>
      <c r="H6" s="152"/>
      <c r="I6" s="37"/>
    </row>
    <row r="7" spans="1:9" ht="21.95" customHeight="1">
      <c r="A7" s="37"/>
      <c r="B7" s="152"/>
      <c r="C7" s="152"/>
      <c r="D7" s="152"/>
      <c r="E7" s="152"/>
      <c r="F7" s="152"/>
      <c r="G7" s="152"/>
      <c r="H7" s="152"/>
      <c r="I7" s="37"/>
    </row>
    <row r="8" spans="1:9">
      <c r="A8" s="37"/>
      <c r="B8" s="37"/>
      <c r="C8" s="37"/>
      <c r="D8" s="37"/>
      <c r="E8" s="37"/>
      <c r="F8" s="37"/>
      <c r="G8" s="37"/>
      <c r="H8" s="37"/>
      <c r="I8" s="37"/>
    </row>
    <row r="9" spans="1:9" ht="30" customHeight="1">
      <c r="A9" s="37"/>
      <c r="B9" s="321" t="str">
        <f>'1. 기본정보'!C3</f>
        <v>신안교육지원청사 이설공사</v>
      </c>
      <c r="C9" s="152"/>
      <c r="D9" s="152"/>
      <c r="E9" s="152"/>
      <c r="F9" s="152"/>
      <c r="G9" s="152"/>
      <c r="H9" s="152"/>
      <c r="I9" s="37"/>
    </row>
    <row r="10" spans="1:9" ht="14.1" customHeight="1">
      <c r="A10" s="37"/>
      <c r="B10" s="152"/>
      <c r="C10" s="152"/>
      <c r="D10" s="152"/>
      <c r="E10" s="152"/>
      <c r="F10" s="152"/>
      <c r="G10" s="152"/>
      <c r="H10" s="152"/>
      <c r="I10" s="37"/>
    </row>
    <row r="11" spans="1:9" ht="20.100000000000001" customHeight="1">
      <c r="A11" s="37"/>
      <c r="B11" s="153"/>
      <c r="C11" s="152"/>
      <c r="D11" s="152"/>
      <c r="E11" s="152"/>
      <c r="F11" s="152"/>
      <c r="G11" s="152"/>
      <c r="H11" s="152"/>
      <c r="I11" s="37"/>
    </row>
    <row r="12" spans="1:9">
      <c r="A12" s="37"/>
      <c r="B12" s="37"/>
      <c r="C12" s="37"/>
      <c r="D12" s="37"/>
      <c r="E12" s="37"/>
      <c r="F12" s="37"/>
      <c r="G12" s="37"/>
      <c r="H12" s="37"/>
      <c r="I12" s="37"/>
    </row>
    <row r="13" spans="1:9" ht="15.75" thickBot="1">
      <c r="A13" s="37"/>
      <c r="B13" s="37"/>
      <c r="C13" s="37"/>
      <c r="D13" s="37"/>
      <c r="E13" s="37"/>
      <c r="F13" s="37"/>
      <c r="G13" s="37"/>
      <c r="H13" s="37"/>
      <c r="I13" s="37"/>
    </row>
    <row r="14" spans="1:9" ht="26.1" customHeight="1">
      <c r="A14" s="37"/>
      <c r="B14" s="322" t="s">
        <v>1</v>
      </c>
      <c r="C14" s="154"/>
      <c r="D14" s="154"/>
      <c r="E14" s="323">
        <f>'1. 기본정보'!C8</f>
        <v>46388</v>
      </c>
      <c r="F14" s="155"/>
      <c r="G14" s="155"/>
      <c r="H14" s="156"/>
      <c r="I14" s="37"/>
    </row>
    <row r="15" spans="1:9" ht="26.1" customHeight="1">
      <c r="A15" s="37"/>
      <c r="B15" s="324" t="s">
        <v>746</v>
      </c>
      <c r="C15" s="162"/>
      <c r="D15" s="162"/>
      <c r="E15" s="325">
        <f>'1. 기본정보'!C4</f>
        <v>111</v>
      </c>
      <c r="F15" s="147"/>
      <c r="G15" s="147"/>
      <c r="H15" s="148"/>
      <c r="I15" s="37"/>
    </row>
    <row r="16" spans="1:9" ht="26.1" customHeight="1">
      <c r="A16" s="37"/>
      <c r="B16" s="324" t="s">
        <v>2</v>
      </c>
      <c r="C16" s="162"/>
      <c r="D16" s="162"/>
      <c r="E16" s="326" t="str">
        <f>'1. 기본정보'!C9</f>
        <v>청사</v>
      </c>
      <c r="F16" s="147"/>
      <c r="G16" s="147"/>
      <c r="H16" s="148"/>
      <c r="I16" s="37"/>
    </row>
    <row r="17" spans="1:9" ht="26.1" customHeight="1">
      <c r="A17" s="37"/>
      <c r="B17" s="324" t="s">
        <v>3</v>
      </c>
      <c r="C17" s="327"/>
      <c r="D17" s="327"/>
      <c r="E17" s="326" t="str">
        <f>'1. 기본정보'!C10</f>
        <v>전남·광주</v>
      </c>
      <c r="F17" s="147"/>
      <c r="G17" s="147"/>
      <c r="H17" s="148"/>
      <c r="I17" s="37"/>
    </row>
    <row r="18" spans="1:9" ht="26.1" customHeight="1" thickBot="1">
      <c r="A18" s="37"/>
      <c r="B18" s="328" t="s">
        <v>11</v>
      </c>
      <c r="C18" s="329"/>
      <c r="D18" s="329"/>
      <c r="E18" s="692" t="str">
        <f>'2-1. 공사기간 검토결과'!C45</f>
        <v>377일  (약 12.6개월)</v>
      </c>
      <c r="F18" s="157"/>
      <c r="G18" s="157"/>
      <c r="H18" s="158"/>
      <c r="I18" s="37"/>
    </row>
    <row r="19" spans="1:9">
      <c r="A19" s="37"/>
      <c r="B19" s="37"/>
      <c r="C19" s="37"/>
      <c r="D19" s="37"/>
      <c r="E19" s="37"/>
      <c r="F19" s="37"/>
      <c r="G19" s="37"/>
      <c r="H19" s="37"/>
      <c r="I19" s="37"/>
    </row>
    <row r="20" spans="1:9">
      <c r="A20" s="37"/>
      <c r="B20" s="37"/>
      <c r="C20" s="37"/>
      <c r="D20" s="37"/>
      <c r="E20" s="37"/>
      <c r="F20" s="37"/>
      <c r="G20" s="37"/>
      <c r="H20" s="37"/>
      <c r="I20" s="37"/>
    </row>
    <row r="21" spans="1:9" ht="18" customHeight="1">
      <c r="A21" s="37"/>
      <c r="B21" s="159"/>
      <c r="C21" s="152"/>
      <c r="D21" s="152"/>
      <c r="E21" s="152"/>
      <c r="F21" s="152"/>
      <c r="G21" s="152"/>
      <c r="H21" s="152"/>
      <c r="I21" s="37"/>
    </row>
    <row r="22" spans="1:9" ht="18" customHeight="1">
      <c r="A22" s="37"/>
      <c r="B22" s="152"/>
      <c r="C22" s="152"/>
      <c r="D22" s="152"/>
      <c r="E22" s="152"/>
      <c r="F22" s="152"/>
      <c r="G22" s="152"/>
      <c r="H22" s="152"/>
      <c r="I22" s="37"/>
    </row>
    <row r="23" spans="1:9" ht="18" customHeight="1">
      <c r="A23" s="37"/>
      <c r="B23" s="152"/>
      <c r="C23" s="152"/>
      <c r="D23" s="152"/>
      <c r="E23" s="152"/>
      <c r="F23" s="152"/>
      <c r="G23" s="152"/>
      <c r="H23" s="152"/>
      <c r="I23" s="37"/>
    </row>
    <row r="24" spans="1:9" ht="17.25">
      <c r="A24" s="37"/>
      <c r="B24" s="150"/>
      <c r="C24" s="150"/>
      <c r="D24" s="150"/>
      <c r="E24" s="150"/>
      <c r="F24" s="150"/>
      <c r="G24" s="150"/>
      <c r="H24" s="150"/>
      <c r="I24" s="37"/>
    </row>
    <row r="25" spans="1:9" ht="20.100000000000001" customHeight="1">
      <c r="A25" s="37"/>
      <c r="B25" s="160" t="str">
        <f ca="1">"작성일: "&amp;TEXT(TODAY(),"yyyy. mm. dd")&amp;""</f>
        <v>작성일: 2026. 07. 09</v>
      </c>
      <c r="C25" s="161"/>
      <c r="D25" s="161"/>
      <c r="E25" s="161"/>
      <c r="F25" s="161"/>
      <c r="G25" s="161"/>
      <c r="H25" s="161"/>
      <c r="I25" s="37"/>
    </row>
    <row r="26" spans="1:9">
      <c r="A26" s="37"/>
      <c r="B26" s="37"/>
      <c r="C26" s="37"/>
      <c r="D26" s="37"/>
      <c r="E26" s="37"/>
      <c r="F26" s="37"/>
      <c r="G26" s="37"/>
      <c r="H26" s="37"/>
      <c r="I26" s="37"/>
    </row>
    <row r="27" spans="1:9">
      <c r="A27" s="37"/>
      <c r="B27" s="37"/>
      <c r="C27" s="37"/>
      <c r="D27" s="37"/>
      <c r="E27" s="37"/>
      <c r="F27" s="37"/>
      <c r="G27" s="37"/>
      <c r="H27" s="37"/>
      <c r="I27" s="37"/>
    </row>
    <row r="28" spans="1:9">
      <c r="A28" s="37"/>
      <c r="B28" s="37"/>
      <c r="C28" s="37"/>
      <c r="D28" s="37"/>
      <c r="E28" s="37"/>
      <c r="F28" s="37"/>
      <c r="G28" s="37"/>
      <c r="H28" s="37"/>
      <c r="I28" s="37"/>
    </row>
    <row r="29" spans="1:9">
      <c r="A29" s="37"/>
      <c r="B29" s="37"/>
      <c r="C29" s="37"/>
      <c r="D29" s="37"/>
      <c r="E29" s="37"/>
      <c r="F29" s="37"/>
      <c r="G29" s="37"/>
      <c r="H29" s="37"/>
      <c r="I29" s="37"/>
    </row>
    <row r="30" spans="1:9">
      <c r="A30" s="37"/>
      <c r="B30" s="37"/>
      <c r="C30" s="37"/>
      <c r="D30" s="37"/>
      <c r="E30" s="37"/>
      <c r="F30" s="37"/>
      <c r="G30" s="37"/>
      <c r="H30" s="37"/>
      <c r="I30" s="37"/>
    </row>
    <row r="31" spans="1:9">
      <c r="A31" s="37"/>
      <c r="B31" s="149" t="str">
        <f ca="1">"© "&amp;TEXT(TODAY(),"yyyy")&amp;" 전라rhkdwnxmr남도교육청 · 신안교육지원청.  본 보고서의 무단 전재·복제를 금합니다."</f>
        <v>© 2026 전라rhkdwnxmr남도교육청 · 신안교육지원청.  본 보고서의 무단 전재·복제를 금합니다.</v>
      </c>
      <c r="C31" s="149"/>
      <c r="D31" s="149"/>
      <c r="E31" s="149"/>
      <c r="F31" s="149"/>
      <c r="G31" s="149"/>
      <c r="H31" s="149"/>
      <c r="I31" s="37"/>
    </row>
    <row r="32" spans="1:9">
      <c r="A32" s="37"/>
      <c r="B32" s="37"/>
      <c r="C32" s="37"/>
      <c r="D32" s="37"/>
      <c r="E32" s="37"/>
      <c r="F32" s="37"/>
      <c r="G32" s="37"/>
      <c r="H32" s="37"/>
      <c r="I32" s="37"/>
    </row>
    <row r="33" spans="1:9">
      <c r="A33" s="37"/>
      <c r="B33" s="37"/>
      <c r="C33" s="37"/>
      <c r="D33" s="37"/>
      <c r="E33" s="37"/>
      <c r="F33" s="37"/>
      <c r="G33" s="37"/>
      <c r="H33" s="37"/>
      <c r="I33" s="37"/>
    </row>
    <row r="34" spans="1:9">
      <c r="A34" s="37"/>
      <c r="B34" s="37"/>
      <c r="C34" s="37"/>
      <c r="D34" s="37"/>
      <c r="E34" s="37"/>
      <c r="F34" s="37"/>
      <c r="G34" s="37"/>
      <c r="H34" s="37"/>
      <c r="I34" s="37"/>
    </row>
    <row r="35" spans="1:9">
      <c r="A35" s="37"/>
      <c r="B35" s="37"/>
      <c r="C35" s="37"/>
      <c r="D35" s="37"/>
      <c r="E35" s="37"/>
      <c r="F35" s="37"/>
      <c r="G35" s="37"/>
      <c r="H35" s="37"/>
      <c r="I35" s="37"/>
    </row>
    <row r="36" spans="1:9">
      <c r="A36" s="37"/>
      <c r="B36" s="37"/>
      <c r="C36" s="37"/>
      <c r="D36" s="37"/>
      <c r="E36" s="37"/>
      <c r="F36" s="37"/>
      <c r="G36" s="37"/>
      <c r="H36" s="37"/>
      <c r="I36" s="37"/>
    </row>
    <row r="37" spans="1:9">
      <c r="A37" s="37"/>
      <c r="B37" s="37"/>
      <c r="C37" s="37"/>
      <c r="D37" s="37"/>
      <c r="E37" s="37"/>
      <c r="F37" s="37"/>
      <c r="G37" s="37"/>
      <c r="H37" s="37"/>
      <c r="I37" s="37"/>
    </row>
    <row r="38" spans="1:9">
      <c r="A38" s="37"/>
      <c r="B38" s="37"/>
      <c r="C38" s="37"/>
      <c r="D38" s="37"/>
      <c r="E38" s="37"/>
      <c r="F38" s="37"/>
      <c r="G38" s="37"/>
      <c r="H38" s="37"/>
      <c r="I38" s="37"/>
    </row>
    <row r="39" spans="1:9">
      <c r="A39" s="37"/>
      <c r="B39" s="37"/>
      <c r="C39" s="37"/>
      <c r="D39" s="37"/>
      <c r="E39" s="37"/>
      <c r="F39" s="37"/>
      <c r="G39" s="37"/>
      <c r="H39" s="37"/>
      <c r="I39" s="37"/>
    </row>
    <row r="40" spans="1:9">
      <c r="A40" s="37"/>
      <c r="B40" s="37"/>
      <c r="C40" s="37"/>
      <c r="D40" s="37"/>
      <c r="E40" s="37"/>
      <c r="F40" s="37"/>
      <c r="G40" s="37"/>
      <c r="H40" s="37"/>
      <c r="I40" s="37"/>
    </row>
    <row r="41" spans="1:9">
      <c r="A41" s="37"/>
      <c r="B41" s="37"/>
      <c r="C41" s="37"/>
      <c r="D41" s="37"/>
      <c r="E41" s="37"/>
      <c r="F41" s="37"/>
      <c r="G41" s="37"/>
      <c r="H41" s="37"/>
      <c r="I41" s="37"/>
    </row>
    <row r="42" spans="1:9">
      <c r="A42" s="37"/>
      <c r="B42" s="37"/>
      <c r="C42" s="37"/>
      <c r="D42" s="37"/>
      <c r="E42" s="37"/>
      <c r="F42" s="37"/>
      <c r="G42" s="37"/>
      <c r="H42" s="37"/>
      <c r="I42" s="37"/>
    </row>
    <row r="43" spans="1:9">
      <c r="A43" s="37"/>
      <c r="B43" s="37"/>
      <c r="C43" s="37"/>
      <c r="D43" s="37"/>
      <c r="E43" s="37"/>
      <c r="F43" s="37"/>
      <c r="G43" s="37"/>
      <c r="H43" s="37"/>
      <c r="I43" s="37"/>
    </row>
    <row r="44" spans="1:9">
      <c r="A44" s="37"/>
      <c r="B44" s="37"/>
      <c r="C44" s="37"/>
      <c r="D44" s="37"/>
      <c r="E44" s="37"/>
      <c r="F44" s="37"/>
      <c r="G44" s="37"/>
      <c r="H44" s="37"/>
      <c r="I44" s="37"/>
    </row>
    <row r="45" spans="1:9">
      <c r="A45" s="37"/>
      <c r="B45" s="37"/>
      <c r="C45" s="37"/>
      <c r="D45" s="37"/>
      <c r="E45" s="37"/>
      <c r="F45" s="37"/>
      <c r="G45" s="37"/>
      <c r="H45" s="37"/>
      <c r="I45" s="37"/>
    </row>
    <row r="46" spans="1:9">
      <c r="A46" s="37"/>
      <c r="B46" s="37"/>
      <c r="C46" s="37"/>
      <c r="D46" s="37"/>
      <c r="E46" s="37"/>
      <c r="F46" s="37"/>
      <c r="G46" s="37"/>
      <c r="H46" s="37"/>
      <c r="I46" s="37"/>
    </row>
    <row r="47" spans="1:9">
      <c r="A47" s="37"/>
      <c r="B47" s="37"/>
      <c r="C47" s="37"/>
      <c r="D47" s="37"/>
      <c r="E47" s="37"/>
      <c r="F47" s="37"/>
      <c r="G47" s="37"/>
      <c r="H47" s="37"/>
      <c r="I47" s="37"/>
    </row>
    <row r="48" spans="1:9">
      <c r="A48" s="37"/>
      <c r="B48" s="37"/>
      <c r="C48" s="37"/>
      <c r="D48" s="37"/>
      <c r="E48" s="37"/>
      <c r="F48" s="37"/>
      <c r="G48" s="37"/>
      <c r="H48" s="37"/>
      <c r="I48" s="37"/>
    </row>
    <row r="49" spans="1:9">
      <c r="A49" s="37"/>
      <c r="B49" s="37"/>
      <c r="C49" s="37"/>
      <c r="D49" s="37"/>
      <c r="E49" s="37"/>
      <c r="F49" s="37"/>
      <c r="G49" s="37"/>
      <c r="H49" s="37"/>
      <c r="I49" s="37"/>
    </row>
    <row r="50" spans="1:9">
      <c r="A50" s="37"/>
      <c r="B50" s="37"/>
      <c r="C50" s="37"/>
      <c r="D50" s="37"/>
      <c r="E50" s="37"/>
      <c r="F50" s="37"/>
      <c r="G50" s="37"/>
      <c r="H50" s="37"/>
      <c r="I50" s="37"/>
    </row>
    <row r="51" spans="1:9">
      <c r="A51" s="37"/>
      <c r="B51" s="37"/>
      <c r="C51" s="37"/>
      <c r="D51" s="37"/>
      <c r="E51" s="37"/>
      <c r="F51" s="37"/>
      <c r="G51" s="37"/>
      <c r="H51" s="37"/>
      <c r="I51" s="37"/>
    </row>
    <row r="52" spans="1:9">
      <c r="A52" s="37"/>
      <c r="B52" s="37"/>
      <c r="C52" s="37"/>
      <c r="D52" s="37"/>
      <c r="E52" s="37"/>
      <c r="F52" s="37"/>
      <c r="G52" s="37"/>
      <c r="H52" s="37"/>
      <c r="I52" s="37"/>
    </row>
    <row r="53" spans="1:9">
      <c r="A53" s="37"/>
      <c r="B53" s="37"/>
      <c r="C53" s="37"/>
      <c r="D53" s="37"/>
      <c r="E53" s="37"/>
      <c r="F53" s="37"/>
      <c r="G53" s="37"/>
      <c r="H53" s="37"/>
      <c r="I53" s="37"/>
    </row>
    <row r="54" spans="1:9">
      <c r="A54" s="37"/>
      <c r="B54" s="37"/>
      <c r="C54" s="37"/>
      <c r="D54" s="37"/>
      <c r="E54" s="37"/>
      <c r="F54" s="37"/>
      <c r="G54" s="37"/>
      <c r="H54" s="37"/>
      <c r="I54" s="37"/>
    </row>
    <row r="55" spans="1:9">
      <c r="A55" s="37"/>
      <c r="B55" s="37"/>
      <c r="C55" s="37"/>
      <c r="D55" s="37"/>
      <c r="E55" s="37"/>
      <c r="F55" s="37"/>
      <c r="G55" s="37"/>
      <c r="H55" s="37"/>
      <c r="I55" s="37"/>
    </row>
  </sheetData>
  <mergeCells count="18">
    <mergeCell ref="B16:D16"/>
    <mergeCell ref="E16:H16"/>
    <mergeCell ref="B17:D17"/>
    <mergeCell ref="E17:H17"/>
    <mergeCell ref="B31:H31"/>
    <mergeCell ref="B24:H24"/>
    <mergeCell ref="B3:H3"/>
    <mergeCell ref="B5:H7"/>
    <mergeCell ref="B9:H10"/>
    <mergeCell ref="B11:H11"/>
    <mergeCell ref="B14:D14"/>
    <mergeCell ref="E14:H14"/>
    <mergeCell ref="B18:D18"/>
    <mergeCell ref="E18:H18"/>
    <mergeCell ref="B21:H23"/>
    <mergeCell ref="B25:H25"/>
    <mergeCell ref="B15:D15"/>
    <mergeCell ref="E15:H15"/>
  </mergeCells>
  <phoneticPr fontId="5" type="noConversion"/>
  <printOptions horizontalCentered="1" verticalCentered="1"/>
  <pageMargins left="0.25" right="0.25" top="0.33333333333333331" bottom="0.33333333333333331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66"/>
  <sheetViews>
    <sheetView zoomScaleNormal="100" workbookViewId="0">
      <selection activeCell="P14" sqref="P14"/>
    </sheetView>
  </sheetViews>
  <sheetFormatPr defaultColWidth="8.7109375" defaultRowHeight="15"/>
  <cols>
    <col min="1" max="1" width="3" customWidth="1"/>
    <col min="2" max="2" width="34.7109375" customWidth="1"/>
    <col min="3" max="3" width="35.85546875" customWidth="1"/>
    <col min="4" max="5" width="22" customWidth="1"/>
  </cols>
  <sheetData>
    <row r="1" spans="2:5" ht="24.95" customHeight="1">
      <c r="B1" s="330" t="s">
        <v>129</v>
      </c>
      <c r="C1" s="330"/>
      <c r="D1" s="330"/>
      <c r="E1" s="330"/>
    </row>
    <row r="2" spans="2:5" ht="18" customHeight="1" thickBot="1">
      <c r="B2" s="179" t="s">
        <v>465</v>
      </c>
      <c r="C2" s="179"/>
      <c r="D2" s="179"/>
      <c r="E2" s="179"/>
    </row>
    <row r="3" spans="2:5" ht="21" customHeight="1">
      <c r="B3" s="331" t="s">
        <v>0</v>
      </c>
      <c r="C3" s="710" t="s">
        <v>760</v>
      </c>
      <c r="D3" s="191" t="s">
        <v>12</v>
      </c>
      <c r="E3" s="192"/>
    </row>
    <row r="4" spans="2:5" ht="21" customHeight="1">
      <c r="B4" s="332" t="s">
        <v>50</v>
      </c>
      <c r="C4" s="711">
        <v>111</v>
      </c>
      <c r="D4" s="189" t="s">
        <v>55</v>
      </c>
      <c r="E4" s="190"/>
    </row>
    <row r="5" spans="2:5" ht="21" customHeight="1">
      <c r="B5" s="333" t="s">
        <v>147</v>
      </c>
      <c r="C5" s="712">
        <v>3669.46</v>
      </c>
      <c r="D5" s="182" t="s">
        <v>443</v>
      </c>
      <c r="E5" s="183"/>
    </row>
    <row r="6" spans="2:5" ht="21" customHeight="1">
      <c r="B6" s="333" t="s">
        <v>148</v>
      </c>
      <c r="C6" s="713" t="s">
        <v>761</v>
      </c>
      <c r="D6" s="182" t="s">
        <v>444</v>
      </c>
      <c r="E6" s="183"/>
    </row>
    <row r="7" spans="2:5" ht="21" customHeight="1">
      <c r="B7" s="333" t="s">
        <v>220</v>
      </c>
      <c r="C7" s="713" t="s">
        <v>226</v>
      </c>
      <c r="D7" s="185" t="s">
        <v>445</v>
      </c>
      <c r="E7" s="188"/>
    </row>
    <row r="8" spans="2:5" ht="21" customHeight="1">
      <c r="B8" s="333" t="s">
        <v>1</v>
      </c>
      <c r="C8" s="714">
        <v>46388</v>
      </c>
      <c r="D8" s="187" t="s">
        <v>56</v>
      </c>
      <c r="E8" s="183"/>
    </row>
    <row r="9" spans="2:5" ht="21" customHeight="1">
      <c r="B9" s="333" t="s">
        <v>2</v>
      </c>
      <c r="C9" s="715" t="s">
        <v>19</v>
      </c>
      <c r="D9" s="185" t="s">
        <v>466</v>
      </c>
      <c r="E9" s="183"/>
    </row>
    <row r="10" spans="2:5" ht="21" customHeight="1">
      <c r="B10" s="333" t="s">
        <v>3</v>
      </c>
      <c r="C10" s="715" t="s">
        <v>777</v>
      </c>
      <c r="D10" s="187" t="s">
        <v>13</v>
      </c>
      <c r="E10" s="183"/>
    </row>
    <row r="11" spans="2:5" ht="21" customHeight="1">
      <c r="B11" s="333" t="s">
        <v>629</v>
      </c>
      <c r="C11" s="715" t="s">
        <v>633</v>
      </c>
      <c r="D11" s="185" t="s">
        <v>632</v>
      </c>
      <c r="E11" s="183"/>
    </row>
    <row r="12" spans="2:5" ht="21" customHeight="1">
      <c r="B12" s="333" t="s">
        <v>182</v>
      </c>
      <c r="C12" s="715" t="s">
        <v>499</v>
      </c>
      <c r="D12" s="185" t="s">
        <v>475</v>
      </c>
      <c r="E12" s="188"/>
    </row>
    <row r="13" spans="2:5" ht="21" customHeight="1">
      <c r="B13" s="333" t="s">
        <v>222</v>
      </c>
      <c r="C13" s="716">
        <v>0</v>
      </c>
      <c r="D13" s="185" t="s">
        <v>488</v>
      </c>
      <c r="E13" s="188"/>
    </row>
    <row r="14" spans="2:5" ht="21" customHeight="1">
      <c r="B14" s="333" t="s">
        <v>221</v>
      </c>
      <c r="C14" s="716">
        <v>0</v>
      </c>
      <c r="D14" s="184" t="s">
        <v>181</v>
      </c>
      <c r="E14" s="183"/>
    </row>
    <row r="15" spans="2:5" ht="21" customHeight="1">
      <c r="B15" s="333" t="s">
        <v>224</v>
      </c>
      <c r="C15" s="716" t="s">
        <v>225</v>
      </c>
      <c r="D15" s="184" t="s">
        <v>729</v>
      </c>
      <c r="E15" s="186"/>
    </row>
    <row r="16" spans="2:5" ht="21" customHeight="1">
      <c r="B16" s="333" t="s">
        <v>223</v>
      </c>
      <c r="C16" s="716" t="s">
        <v>225</v>
      </c>
      <c r="D16" s="184" t="s">
        <v>729</v>
      </c>
      <c r="E16" s="186"/>
    </row>
    <row r="17" spans="2:5" ht="21" customHeight="1" thickBot="1">
      <c r="B17" s="334" t="s">
        <v>14</v>
      </c>
      <c r="C17" s="717" t="s">
        <v>15</v>
      </c>
      <c r="D17" s="180" t="s">
        <v>16</v>
      </c>
      <c r="E17" s="181"/>
    </row>
    <row r="18" spans="2:5" ht="15" customHeight="1" thickBot="1">
      <c r="B18" s="179"/>
      <c r="C18" s="179"/>
      <c r="D18" s="179"/>
      <c r="E18" s="179"/>
    </row>
    <row r="19" spans="2:5" ht="21" customHeight="1" thickBot="1">
      <c r="B19" s="335" t="s">
        <v>733</v>
      </c>
      <c r="C19" s="193"/>
      <c r="D19" s="193"/>
      <c r="E19" s="194"/>
    </row>
    <row r="20" spans="2:5" ht="21" customHeight="1">
      <c r="B20" s="108" t="s">
        <v>650</v>
      </c>
      <c r="C20" s="109" t="s">
        <v>730</v>
      </c>
      <c r="D20" s="195" t="s">
        <v>732</v>
      </c>
      <c r="E20" s="196"/>
    </row>
    <row r="21" spans="2:5" ht="21" customHeight="1">
      <c r="B21" s="336" t="s">
        <v>634</v>
      </c>
      <c r="C21" s="110" t="b">
        <v>1</v>
      </c>
      <c r="D21" s="337" t="s">
        <v>637</v>
      </c>
      <c r="E21" s="338"/>
    </row>
    <row r="22" spans="2:5" ht="21" customHeight="1">
      <c r="B22" s="339"/>
      <c r="C22" s="110" t="b">
        <v>0</v>
      </c>
      <c r="D22" s="337" t="s">
        <v>641</v>
      </c>
      <c r="E22" s="338"/>
    </row>
    <row r="23" spans="2:5" ht="21" customHeight="1">
      <c r="B23" s="339"/>
      <c r="C23" s="110" t="b">
        <v>0</v>
      </c>
      <c r="D23" s="337" t="s">
        <v>644</v>
      </c>
      <c r="E23" s="338"/>
    </row>
    <row r="24" spans="2:5" ht="21" customHeight="1">
      <c r="B24" s="339"/>
      <c r="C24" s="110" t="b">
        <v>0</v>
      </c>
      <c r="D24" s="337" t="s">
        <v>647</v>
      </c>
      <c r="E24" s="338"/>
    </row>
    <row r="25" spans="2:5" ht="21" customHeight="1">
      <c r="B25" s="336" t="s">
        <v>635</v>
      </c>
      <c r="C25" s="110" t="b">
        <v>1</v>
      </c>
      <c r="D25" s="337" t="s">
        <v>638</v>
      </c>
      <c r="E25" s="338"/>
    </row>
    <row r="26" spans="2:5" ht="21" customHeight="1">
      <c r="B26" s="339"/>
      <c r="C26" s="110" t="b">
        <v>0</v>
      </c>
      <c r="D26" s="337" t="s">
        <v>642</v>
      </c>
      <c r="E26" s="338"/>
    </row>
    <row r="27" spans="2:5" ht="21" customHeight="1">
      <c r="B27" s="339"/>
      <c r="C27" s="110" t="b">
        <v>0</v>
      </c>
      <c r="D27" s="337" t="s">
        <v>645</v>
      </c>
      <c r="E27" s="338"/>
    </row>
    <row r="28" spans="2:5" ht="21" customHeight="1">
      <c r="B28" s="339"/>
      <c r="C28" s="110" t="b">
        <v>0</v>
      </c>
      <c r="D28" s="337" t="s">
        <v>648</v>
      </c>
      <c r="E28" s="338"/>
    </row>
    <row r="29" spans="2:5" ht="21" customHeight="1">
      <c r="B29" s="336" t="s">
        <v>630</v>
      </c>
      <c r="C29" s="110" t="b">
        <v>0</v>
      </c>
      <c r="D29" s="337" t="s">
        <v>639</v>
      </c>
      <c r="E29" s="338"/>
    </row>
    <row r="30" spans="2:5" ht="21" customHeight="1">
      <c r="B30" s="339"/>
      <c r="C30" s="110" t="b">
        <v>1</v>
      </c>
      <c r="D30" s="337" t="s">
        <v>643</v>
      </c>
      <c r="E30" s="338"/>
    </row>
    <row r="31" spans="2:5" ht="21" customHeight="1">
      <c r="B31" s="339"/>
      <c r="C31" s="110" t="b">
        <v>0</v>
      </c>
      <c r="D31" s="337" t="s">
        <v>646</v>
      </c>
      <c r="E31" s="338"/>
    </row>
    <row r="32" spans="2:5" ht="21" customHeight="1">
      <c r="B32" s="339"/>
      <c r="C32" s="110" t="b">
        <v>0</v>
      </c>
      <c r="D32" s="337" t="s">
        <v>649</v>
      </c>
      <c r="E32" s="338"/>
    </row>
    <row r="33" spans="2:5" ht="21" customHeight="1" thickBot="1">
      <c r="B33" s="340" t="s">
        <v>636</v>
      </c>
      <c r="C33" s="133" t="b">
        <v>0</v>
      </c>
      <c r="D33" s="341" t="s">
        <v>640</v>
      </c>
      <c r="E33" s="342"/>
    </row>
    <row r="34" spans="2:5" ht="21" customHeight="1"/>
    <row r="35" spans="2:5" ht="20.25" customHeight="1">
      <c r="B35" s="172" t="s">
        <v>405</v>
      </c>
      <c r="C35" s="172"/>
      <c r="D35" s="172"/>
      <c r="E35" s="172"/>
    </row>
    <row r="36" spans="2:5" ht="9.9499999999999993" customHeight="1">
      <c r="B36" s="13"/>
      <c r="C36" s="13"/>
      <c r="D36" s="13"/>
    </row>
    <row r="37" spans="2:5" ht="17.25">
      <c r="B37" s="173" t="s">
        <v>406</v>
      </c>
      <c r="C37" s="173"/>
      <c r="D37" s="173"/>
      <c r="E37" s="173"/>
    </row>
    <row r="38" spans="2:5" ht="20.100000000000001" customHeight="1">
      <c r="B38" s="343" t="s">
        <v>407</v>
      </c>
      <c r="C38" s="344" t="s">
        <v>408</v>
      </c>
      <c r="D38" s="344"/>
      <c r="E38" s="344"/>
    </row>
    <row r="39" spans="2:5" ht="20.100000000000001" customHeight="1">
      <c r="B39" s="343" t="s">
        <v>409</v>
      </c>
      <c r="C39" s="344" t="s">
        <v>410</v>
      </c>
      <c r="D39" s="344"/>
      <c r="E39" s="344"/>
    </row>
    <row r="40" spans="2:5" ht="20.100000000000001" customHeight="1">
      <c r="B40" s="343" t="s">
        <v>411</v>
      </c>
      <c r="C40" s="344" t="s">
        <v>412</v>
      </c>
      <c r="D40" s="344"/>
      <c r="E40" s="344"/>
    </row>
    <row r="41" spans="2:5" ht="20.100000000000001" customHeight="1">
      <c r="B41" s="343" t="s">
        <v>413</v>
      </c>
      <c r="C41" s="344" t="s">
        <v>414</v>
      </c>
      <c r="D41" s="344"/>
      <c r="E41" s="344"/>
    </row>
    <row r="42" spans="2:5" ht="9.9499999999999993" customHeight="1">
      <c r="B42" s="13"/>
      <c r="C42" s="13"/>
      <c r="D42" s="13"/>
    </row>
    <row r="43" spans="2:5" ht="17.25">
      <c r="B43" s="173" t="s">
        <v>415</v>
      </c>
      <c r="C43" s="173"/>
      <c r="D43" s="173"/>
      <c r="E43" s="173"/>
    </row>
    <row r="44" spans="2:5" ht="15" customHeight="1">
      <c r="B44" s="174" t="s">
        <v>529</v>
      </c>
      <c r="C44" s="174"/>
      <c r="D44" s="174"/>
      <c r="E44" s="174"/>
    </row>
    <row r="45" spans="2:5" ht="15" customHeight="1">
      <c r="B45" s="174"/>
      <c r="C45" s="174"/>
      <c r="D45" s="174"/>
      <c r="E45" s="174"/>
    </row>
    <row r="46" spans="2:5" ht="15" customHeight="1">
      <c r="B46" s="174"/>
      <c r="C46" s="174"/>
      <c r="D46" s="174"/>
      <c r="E46" s="174"/>
    </row>
    <row r="47" spans="2:5" ht="9.9499999999999993" customHeight="1">
      <c r="B47" s="13"/>
      <c r="C47" s="13"/>
      <c r="D47" s="13"/>
    </row>
    <row r="48" spans="2:5" ht="18" customHeight="1">
      <c r="B48" s="175" t="s">
        <v>581</v>
      </c>
      <c r="C48" s="175"/>
      <c r="D48" s="175"/>
      <c r="E48" s="175"/>
    </row>
    <row r="49" spans="2:5">
      <c r="B49" s="345" t="s">
        <v>416</v>
      </c>
      <c r="C49" s="345" t="s">
        <v>417</v>
      </c>
      <c r="D49" s="346" t="s">
        <v>418</v>
      </c>
      <c r="E49" s="346"/>
    </row>
    <row r="50" spans="2:5" ht="20.100000000000001" customHeight="1">
      <c r="B50" s="347" t="s">
        <v>419</v>
      </c>
      <c r="C50" s="348" t="s">
        <v>420</v>
      </c>
      <c r="D50" s="349" t="s">
        <v>421</v>
      </c>
      <c r="E50" s="349"/>
    </row>
    <row r="51" spans="2:5" ht="29.25" customHeight="1">
      <c r="B51" s="347" t="s">
        <v>422</v>
      </c>
      <c r="C51" s="348" t="s">
        <v>423</v>
      </c>
      <c r="D51" s="349" t="s">
        <v>424</v>
      </c>
      <c r="E51" s="349"/>
    </row>
    <row r="52" spans="2:5" ht="20.100000000000001" customHeight="1">
      <c r="B52" s="347" t="s">
        <v>425</v>
      </c>
      <c r="C52" s="348" t="s">
        <v>426</v>
      </c>
      <c r="D52" s="349" t="s">
        <v>427</v>
      </c>
      <c r="E52" s="349"/>
    </row>
    <row r="53" spans="2:5" ht="27.75" customHeight="1">
      <c r="B53" s="347" t="s">
        <v>428</v>
      </c>
      <c r="C53" s="348" t="s">
        <v>429</v>
      </c>
      <c r="D53" s="349" t="s">
        <v>430</v>
      </c>
      <c r="E53" s="349"/>
    </row>
    <row r="54" spans="2:5" ht="20.100000000000001" customHeight="1">
      <c r="B54" s="347" t="s">
        <v>431</v>
      </c>
      <c r="C54" s="348" t="s">
        <v>432</v>
      </c>
      <c r="D54" s="349" t="s">
        <v>433</v>
      </c>
      <c r="E54" s="349"/>
    </row>
    <row r="55" spans="2:5" ht="20.100000000000001" customHeight="1">
      <c r="B55" s="347" t="s">
        <v>434</v>
      </c>
      <c r="C55" s="348" t="s">
        <v>435</v>
      </c>
      <c r="D55" s="349" t="s">
        <v>436</v>
      </c>
      <c r="E55" s="349"/>
    </row>
    <row r="56" spans="2:5" ht="9.9499999999999993" customHeight="1">
      <c r="B56" s="13"/>
      <c r="C56" s="13"/>
      <c r="D56" s="13"/>
    </row>
    <row r="57" spans="2:5" ht="18" customHeight="1">
      <c r="B57" s="176" t="s">
        <v>625</v>
      </c>
      <c r="C57" s="177"/>
      <c r="D57" s="177"/>
      <c r="E57" s="178"/>
    </row>
    <row r="58" spans="2:5" ht="20.100000000000001" customHeight="1">
      <c r="B58" s="169" t="s">
        <v>533</v>
      </c>
      <c r="C58" s="170"/>
      <c r="D58" s="170"/>
      <c r="E58" s="171"/>
    </row>
    <row r="59" spans="2:5" ht="9.9499999999999993" customHeight="1">
      <c r="B59" s="13"/>
      <c r="C59" s="13"/>
      <c r="D59" s="13"/>
    </row>
    <row r="60" spans="2:5" ht="17.25">
      <c r="B60" s="173" t="s">
        <v>437</v>
      </c>
      <c r="C60" s="173"/>
      <c r="D60" s="173"/>
      <c r="E60" s="173"/>
    </row>
    <row r="61" spans="2:5" ht="20.100000000000001" customHeight="1">
      <c r="B61" s="163" t="s">
        <v>623</v>
      </c>
      <c r="C61" s="164"/>
      <c r="D61" s="164"/>
      <c r="E61" s="165"/>
    </row>
    <row r="62" spans="2:5" ht="20.100000000000001" customHeight="1">
      <c r="B62" s="163" t="s">
        <v>438</v>
      </c>
      <c r="C62" s="164"/>
      <c r="D62" s="164"/>
      <c r="E62" s="165"/>
    </row>
    <row r="63" spans="2:5" ht="20.100000000000001" customHeight="1">
      <c r="B63" s="163" t="s">
        <v>439</v>
      </c>
      <c r="C63" s="164"/>
      <c r="D63" s="164"/>
      <c r="E63" s="165"/>
    </row>
    <row r="64" spans="2:5" ht="20.100000000000001" customHeight="1">
      <c r="B64" s="163" t="s">
        <v>440</v>
      </c>
      <c r="C64" s="164"/>
      <c r="D64" s="164"/>
      <c r="E64" s="165"/>
    </row>
    <row r="65" spans="2:5" ht="20.100000000000001" customHeight="1">
      <c r="B65" s="163" t="s">
        <v>441</v>
      </c>
      <c r="C65" s="164"/>
      <c r="D65" s="164"/>
      <c r="E65" s="165"/>
    </row>
    <row r="66" spans="2:5" ht="20.100000000000001" customHeight="1">
      <c r="B66" s="166" t="s">
        <v>442</v>
      </c>
      <c r="C66" s="167"/>
      <c r="D66" s="167"/>
      <c r="E66" s="168"/>
    </row>
  </sheetData>
  <mergeCells count="61">
    <mergeCell ref="D33:E33"/>
    <mergeCell ref="B21:B24"/>
    <mergeCell ref="D3:E3"/>
    <mergeCell ref="B18:E18"/>
    <mergeCell ref="D25:E25"/>
    <mergeCell ref="B25:B28"/>
    <mergeCell ref="B29:B32"/>
    <mergeCell ref="B19:E19"/>
    <mergeCell ref="D20:E20"/>
    <mergeCell ref="D21:E21"/>
    <mergeCell ref="D22:E22"/>
    <mergeCell ref="D23:E23"/>
    <mergeCell ref="D24:E24"/>
    <mergeCell ref="D26:E26"/>
    <mergeCell ref="B1:E1"/>
    <mergeCell ref="B2:E2"/>
    <mergeCell ref="D17:E17"/>
    <mergeCell ref="D5:E5"/>
    <mergeCell ref="D6:E6"/>
    <mergeCell ref="D14:E14"/>
    <mergeCell ref="D9:E9"/>
    <mergeCell ref="D15:E15"/>
    <mergeCell ref="D16:E16"/>
    <mergeCell ref="D10:E10"/>
    <mergeCell ref="D12:E12"/>
    <mergeCell ref="D8:E8"/>
    <mergeCell ref="D13:E13"/>
    <mergeCell ref="D11:E11"/>
    <mergeCell ref="D7:E7"/>
    <mergeCell ref="D4:E4"/>
    <mergeCell ref="D53:E53"/>
    <mergeCell ref="B61:E61"/>
    <mergeCell ref="B62:E62"/>
    <mergeCell ref="B63:E63"/>
    <mergeCell ref="B64:E64"/>
    <mergeCell ref="B60:E60"/>
    <mergeCell ref="D54:E54"/>
    <mergeCell ref="D55:E55"/>
    <mergeCell ref="B57:E57"/>
    <mergeCell ref="B65:E65"/>
    <mergeCell ref="B66:E66"/>
    <mergeCell ref="B58:E58"/>
    <mergeCell ref="B35:E35"/>
    <mergeCell ref="B37:E37"/>
    <mergeCell ref="C38:E38"/>
    <mergeCell ref="C39:E39"/>
    <mergeCell ref="C40:E40"/>
    <mergeCell ref="C41:E41"/>
    <mergeCell ref="B43:E43"/>
    <mergeCell ref="B44:E46"/>
    <mergeCell ref="B48:E48"/>
    <mergeCell ref="D49:E49"/>
    <mergeCell ref="D50:E50"/>
    <mergeCell ref="D51:E51"/>
    <mergeCell ref="D52:E52"/>
    <mergeCell ref="D32:E32"/>
    <mergeCell ref="D27:E27"/>
    <mergeCell ref="D28:E28"/>
    <mergeCell ref="D29:E29"/>
    <mergeCell ref="D30:E30"/>
    <mergeCell ref="D31:E31"/>
  </mergeCells>
  <phoneticPr fontId="5" type="noConversion"/>
  <dataValidations count="8">
    <dataValidation type="list" sqref="C9" xr:uid="{00000000-0002-0000-0100-000000000000}">
      <formula1>"학교,청사,의료시설,경찰서,대학·연구시설,공연·전시시설 (도서관 포함),기숙사,공장·창고,체육시설,소방시설,공동주택,기타 건축물,도로포장,도로(토공+교량),상수도,하수도"</formula1>
      <formula2>0</formula2>
    </dataValidation>
    <dataValidation type="list" sqref="C10" xr:uid="{00000000-0002-0000-0100-000001000000}">
      <formula1>"서울·경기·인천,강원,충북,충남·대전·세종,전북,전남·광주,경북·대구,경남·부산·울산,제주"</formula1>
      <formula2>0</formula2>
    </dataValidation>
    <dataValidation type="list" sqref="C34 C17" xr:uid="{00000000-0002-0000-0100-000003000000}">
      <formula1>"철근콘크리트공사,토공사·가시설공사,터널공사(옥내),철골공사,마감공사,기타"</formula1>
      <formula2>0</formula2>
    </dataValidation>
    <dataValidation type="list" allowBlank="1" showInputMessage="1" showErrorMessage="1" sqref="C12" xr:uid="{F4333F96-4ED2-4642-A5F4-8C0CAB81F409}">
      <formula1>"해당없음,등급 '가' 지역,등급 '나' 지역,등급 '다' 지역,등급 '라' 지역"</formula1>
    </dataValidation>
    <dataValidation type="list" allowBlank="1" showInputMessage="1" showErrorMessage="1" sqref="C7" xr:uid="{DED26F5C-4EBA-4261-A7B6-79EAC69E66D9}">
      <formula1>"콘크리트 경사지붕,콘크리트 평지붕,철골경사지붕"</formula1>
    </dataValidation>
    <dataValidation type="list" allowBlank="1" showInputMessage="1" showErrorMessage="1" sqref="C15:C16" xr:uid="{0D63F8EA-E502-4D4C-A163-92E38A8A5603}">
      <formula1>"해당,미해당"</formula1>
    </dataValidation>
    <dataValidation type="list" sqref="C15:C16" xr:uid="{00000000-0002-0000-0100-000002000000}">
      <formula1>"일반 (국가기관·광역자치단체·공기업),시·군·자치구"</formula1>
      <formula2>0</formula2>
    </dataValidation>
    <dataValidation type="list" allowBlank="1" showInputMessage="1" showErrorMessage="1" sqref="C11" xr:uid="{D53B9C88-7BD8-475A-89FA-8600533A7642}">
      <formula1>"광주,목포,여수,순천,완도,고흥,해남,진도,흑산"</formula1>
    </dataValidation>
  </dataValidations>
  <printOptions horizontalCentered="1"/>
  <pageMargins left="0.25" right="0.25" top="0.25" bottom="0.25" header="0.1111111111111111" footer="0.1111111111111111"/>
  <pageSetup paperSize="9" scale="8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7907-AA97-4C5F-8ACA-F337A45C6007}">
  <sheetPr>
    <pageSetUpPr fitToPage="1"/>
  </sheetPr>
  <dimension ref="B2:G41"/>
  <sheetViews>
    <sheetView showGridLines="0" zoomScale="115" zoomScaleNormal="115" workbookViewId="0">
      <selection activeCell="C48" sqref="C48"/>
    </sheetView>
  </sheetViews>
  <sheetFormatPr defaultRowHeight="15"/>
  <cols>
    <col min="1" max="1" width="2.140625" customWidth="1"/>
    <col min="2" max="3" width="16.7109375" customWidth="1"/>
    <col min="4" max="4" width="20.140625" customWidth="1"/>
    <col min="5" max="7" width="16.7109375" customWidth="1"/>
    <col min="8" max="8" width="2.140625" customWidth="1"/>
  </cols>
  <sheetData>
    <row r="2" spans="2:7" ht="36" customHeight="1">
      <c r="B2" s="350" t="s">
        <v>510</v>
      </c>
      <c r="C2" s="350"/>
      <c r="D2" s="350"/>
      <c r="E2" s="350"/>
      <c r="F2" s="350"/>
      <c r="G2" s="350"/>
    </row>
    <row r="4" spans="2:7" ht="20.100000000000001" customHeight="1" thickBot="1">
      <c r="B4" s="351" t="s">
        <v>128</v>
      </c>
      <c r="C4" s="351"/>
      <c r="D4" s="351"/>
      <c r="E4" s="58"/>
      <c r="F4" s="58"/>
      <c r="G4" s="58"/>
    </row>
    <row r="5" spans="2:7" ht="20.100000000000001" customHeight="1">
      <c r="B5" s="352" t="s">
        <v>519</v>
      </c>
      <c r="C5" s="353" t="str">
        <f>'1. 기본정보'!C3&amp;" "</f>
        <v xml:space="preserve">신안교육지원청사 이설공사 </v>
      </c>
      <c r="D5" s="354"/>
      <c r="E5" s="354"/>
      <c r="F5" s="354"/>
      <c r="G5" s="355"/>
    </row>
    <row r="6" spans="2:7" ht="20.100000000000001" customHeight="1">
      <c r="B6" s="356" t="s">
        <v>511</v>
      </c>
      <c r="C6" s="357" t="str">
        <f>'1. 기본정보'!C4&amp;" 억원"</f>
        <v>111 억원</v>
      </c>
      <c r="D6" s="357"/>
      <c r="E6" s="358" t="s">
        <v>512</v>
      </c>
      <c r="F6" s="359">
        <f>'1. 기본정보'!C5</f>
        <v>3669.46</v>
      </c>
      <c r="G6" s="360"/>
    </row>
    <row r="7" spans="2:7" ht="20.100000000000001" customHeight="1">
      <c r="B7" s="361" t="s">
        <v>513</v>
      </c>
      <c r="C7" s="362" t="str">
        <f>'1. 기본정보'!C6</f>
        <v>0/4</v>
      </c>
      <c r="D7" s="362"/>
      <c r="E7" s="363" t="s">
        <v>514</v>
      </c>
      <c r="F7" s="364" t="str">
        <f>TEXT('1. 기본정보'!C8,"yyyy.mm.dd")</f>
        <v>2027.01.01</v>
      </c>
      <c r="G7" s="365"/>
    </row>
    <row r="8" spans="2:7" ht="20.100000000000001" customHeight="1">
      <c r="B8" s="361" t="s">
        <v>2</v>
      </c>
      <c r="C8" s="364" t="str">
        <f>'1. 기본정보'!C9</f>
        <v>청사</v>
      </c>
      <c r="D8" s="364"/>
      <c r="E8" s="363" t="s">
        <v>3</v>
      </c>
      <c r="F8" s="364" t="str">
        <f>'1. 기본정보'!C10</f>
        <v>전남·광주</v>
      </c>
      <c r="G8" s="365"/>
    </row>
    <row r="9" spans="2:7" ht="20.100000000000001" customHeight="1">
      <c r="B9" s="361" t="s">
        <v>515</v>
      </c>
      <c r="C9" s="362" t="str">
        <f>'1. 기본정보'!C7</f>
        <v>콘크리트 평지붕</v>
      </c>
      <c r="D9" s="362"/>
      <c r="E9" s="363" t="s">
        <v>14</v>
      </c>
      <c r="F9" s="364" t="str">
        <f>'1. 기본정보'!C17</f>
        <v>철근콘크리트공사</v>
      </c>
      <c r="G9" s="365"/>
    </row>
    <row r="10" spans="2:7" ht="20.100000000000001" customHeight="1" thickBot="1">
      <c r="B10" s="366" t="s">
        <v>516</v>
      </c>
      <c r="C10" s="367" t="str">
        <f>'1. 기본정보'!C12</f>
        <v>해당없음</v>
      </c>
      <c r="D10" s="367"/>
      <c r="E10" s="368" t="s">
        <v>627</v>
      </c>
      <c r="F10" s="367" t="str">
        <f>TEXT('1. 기본정보'!C13,"#,##0")&amp;" / "&amp;TEXT('1. 기본정보'!C14,"#,##0")</f>
        <v>0 / 0</v>
      </c>
      <c r="G10" s="369"/>
    </row>
    <row r="11" spans="2:7" ht="15" customHeight="1">
      <c r="C11" s="370"/>
      <c r="D11" s="370"/>
      <c r="E11" s="370"/>
      <c r="F11" s="370"/>
      <c r="G11" s="370"/>
    </row>
    <row r="12" spans="2:7" ht="20.100000000000001" customHeight="1" thickBot="1">
      <c r="B12" s="220" t="s">
        <v>747</v>
      </c>
      <c r="C12" s="220"/>
      <c r="D12" s="220"/>
      <c r="E12" s="371"/>
      <c r="F12" s="372"/>
      <c r="G12" s="372"/>
    </row>
    <row r="13" spans="2:7" ht="26.1" customHeight="1">
      <c r="B13" s="111" t="s">
        <v>698</v>
      </c>
      <c r="C13" s="222" t="s">
        <v>758</v>
      </c>
      <c r="D13" s="222"/>
      <c r="E13" s="222" t="s">
        <v>759</v>
      </c>
      <c r="F13" s="222"/>
      <c r="G13" s="223"/>
    </row>
    <row r="14" spans="2:7" ht="39.950000000000003" customHeight="1">
      <c r="B14" s="373" t="s">
        <v>748</v>
      </c>
      <c r="C14" s="224" t="s">
        <v>754</v>
      </c>
      <c r="D14" s="374"/>
      <c r="E14" s="375" t="s">
        <v>752</v>
      </c>
      <c r="F14" s="375"/>
      <c r="G14" s="376"/>
    </row>
    <row r="15" spans="2:7" ht="39.950000000000003" customHeight="1">
      <c r="B15" s="373" t="s">
        <v>749</v>
      </c>
      <c r="C15" s="224" t="s">
        <v>755</v>
      </c>
      <c r="D15" s="374"/>
      <c r="E15" s="375" t="s">
        <v>753</v>
      </c>
      <c r="F15" s="375"/>
      <c r="G15" s="376"/>
    </row>
    <row r="16" spans="2:7" ht="39.950000000000003" customHeight="1" thickBot="1">
      <c r="B16" s="377" t="s">
        <v>750</v>
      </c>
      <c r="C16" s="221" t="s">
        <v>756</v>
      </c>
      <c r="D16" s="378"/>
      <c r="E16" s="379" t="s">
        <v>751</v>
      </c>
      <c r="F16" s="379"/>
      <c r="G16" s="380"/>
    </row>
    <row r="17" spans="2:7" ht="16.5" customHeight="1">
      <c r="B17" s="381"/>
      <c r="C17" s="381"/>
      <c r="E17" s="382"/>
      <c r="F17" s="382"/>
      <c r="G17" s="382"/>
    </row>
    <row r="18" spans="2:7" ht="21.95" customHeight="1" thickBot="1">
      <c r="B18" s="383" t="s">
        <v>757</v>
      </c>
      <c r="C18" s="383"/>
      <c r="D18" s="383"/>
      <c r="E18" s="58"/>
      <c r="F18" s="58"/>
      <c r="G18" s="58"/>
    </row>
    <row r="19" spans="2:7" ht="20.100000000000001" customHeight="1">
      <c r="B19" s="206" t="s">
        <v>517</v>
      </c>
      <c r="C19" s="207"/>
      <c r="D19" s="207" t="s">
        <v>518</v>
      </c>
      <c r="E19" s="207"/>
      <c r="F19" s="208" t="s">
        <v>626</v>
      </c>
      <c r="G19" s="209"/>
    </row>
    <row r="20" spans="2:7" ht="32.1" customHeight="1">
      <c r="B20" s="384" t="str">
        <f>TEXT('2-1. 공사기간 검토결과'!C17,"#,##0")&amp;"일"</f>
        <v>607일</v>
      </c>
      <c r="C20" s="385"/>
      <c r="D20" s="385" t="str">
        <f>TEXT('2-1. 공사기간 검토결과'!D17,"#,##0")&amp;"일"</f>
        <v>377일</v>
      </c>
      <c r="E20" s="385"/>
      <c r="F20" s="385" t="str">
        <f>TEXT('2-1. 공사기간 검토결과'!E17,"#,##0")&amp;"일"</f>
        <v>742일</v>
      </c>
      <c r="G20" s="386"/>
    </row>
    <row r="21" spans="2:7" ht="20.100000000000001" customHeight="1" thickBot="1">
      <c r="B21" s="213" t="str">
        <f>"("&amp;TEXT('2-1. 공사기간 검토결과'!C18,"0.0")&amp;"개월)"</f>
        <v>(20.2개월)</v>
      </c>
      <c r="C21" s="214"/>
      <c r="D21" s="214" t="str">
        <f>"("&amp;TEXT('2-1. 공사기간 검토결과'!D18,"0.0")&amp;"개월)"</f>
        <v>(12.6개월)</v>
      </c>
      <c r="E21" s="214"/>
      <c r="F21" s="214" t="str">
        <f>"("&amp;TEXT('2-1. 공사기간 검토결과'!E18,"0.0")&amp;"개월)"</f>
        <v>(24.7개월)</v>
      </c>
      <c r="G21" s="215"/>
    </row>
    <row r="22" spans="2:7" ht="15" customHeight="1">
      <c r="B22" s="216"/>
      <c r="C22" s="216"/>
      <c r="D22" s="216"/>
      <c r="E22" s="216"/>
      <c r="F22" s="216"/>
      <c r="G22" s="216"/>
    </row>
    <row r="23" spans="2:7" ht="21.95" customHeight="1" thickBot="1">
      <c r="B23" s="387" t="s">
        <v>520</v>
      </c>
      <c r="C23" s="387"/>
      <c r="D23" s="387"/>
      <c r="E23" s="58"/>
      <c r="F23" s="58"/>
      <c r="G23" s="58"/>
    </row>
    <row r="24" spans="2:7" ht="20.100000000000001" customHeight="1">
      <c r="B24" s="388" t="s">
        <v>505</v>
      </c>
      <c r="C24" s="693" t="str">
        <f>'2-1. 공사기간 검토결과'!C44</f>
        <v>검토2안 (총 공사기간 최소안)</v>
      </c>
      <c r="D24" s="693"/>
      <c r="E24" s="693"/>
      <c r="F24" s="693"/>
      <c r="G24" s="694"/>
    </row>
    <row r="25" spans="2:7" ht="20.100000000000001" customHeight="1">
      <c r="B25" s="361" t="s">
        <v>11</v>
      </c>
      <c r="C25" s="210" t="str">
        <f>'2-1. 공사기간 검토결과'!C45</f>
        <v>377일  (약 12.6개월)</v>
      </c>
      <c r="D25" s="210"/>
      <c r="E25" s="210"/>
      <c r="F25" s="210"/>
      <c r="G25" s="211"/>
    </row>
    <row r="26" spans="2:7" ht="20.100000000000001" customHeight="1" thickBot="1">
      <c r="B26" s="366" t="s">
        <v>506</v>
      </c>
      <c r="C26" s="389" t="str">
        <f>'2-1. 공사기간 검토결과'!C46</f>
        <v>3개 검토안 중 총 공사기간이 가장 짧아, 적정 공기 확보와 과다 산정 방지 측면에서 유리하여 채택함.</v>
      </c>
      <c r="D26" s="389"/>
      <c r="E26" s="389"/>
      <c r="F26" s="389"/>
      <c r="G26" s="390"/>
    </row>
    <row r="27" spans="2:7" ht="15" customHeight="1" thickBot="1">
      <c r="B27" s="216"/>
      <c r="C27" s="216"/>
      <c r="D27" s="216"/>
      <c r="E27" s="216"/>
      <c r="F27" s="216"/>
      <c r="G27" s="216"/>
    </row>
    <row r="28" spans="2:7" ht="21.95" customHeight="1" thickBot="1">
      <c r="B28" s="391" t="s">
        <v>628</v>
      </c>
      <c r="C28" s="391"/>
      <c r="D28" s="391"/>
      <c r="E28" s="58"/>
      <c r="F28" s="58"/>
      <c r="G28" s="58"/>
    </row>
    <row r="29" spans="2:7" ht="15.95" customHeight="1">
      <c r="B29" s="197" t="s">
        <v>11</v>
      </c>
      <c r="C29" s="198"/>
      <c r="D29" s="199"/>
      <c r="E29" s="197" t="s">
        <v>521</v>
      </c>
      <c r="F29" s="198"/>
      <c r="G29" s="199"/>
    </row>
    <row r="30" spans="2:7" ht="30" customHeight="1">
      <c r="B30" s="392">
        <f>MIN('2-1. 공사기간 검토결과'!$C$17:$E$17)</f>
        <v>377</v>
      </c>
      <c r="C30" s="152"/>
      <c r="D30" s="152"/>
      <c r="E30" s="393">
        <f>INDEX('2-1. 공사기간 검토결과'!$C$14:$E$14,MATCH(MIN('2-1. 공사기간 검토결과'!$C$17:$E$17),'2-1. 공사기간 검토결과'!$C$17:$E$17,0))</f>
        <v>282</v>
      </c>
      <c r="F30" s="152"/>
      <c r="G30" s="200"/>
    </row>
    <row r="31" spans="2:7" ht="14.1" customHeight="1">
      <c r="B31" s="201" t="str">
        <f>"약 "&amp;TEXT(MIN('2-1. 공사기간 검토결과'!$C$17:$E$17)/30,"0.0")&amp;"개월"</f>
        <v>약 12.6개월</v>
      </c>
      <c r="C31" s="152"/>
      <c r="D31" s="152"/>
      <c r="E31" s="201" t="str">
        <f>"전체의 "&amp;TEXT($E$30/$B$30,"0.0%")</f>
        <v>전체의 74.8%</v>
      </c>
      <c r="F31" s="152"/>
      <c r="G31" s="200"/>
    </row>
    <row r="32" spans="2:7" ht="8.1" customHeight="1">
      <c r="B32" s="205">
        <f>$B$30/$B$30</f>
        <v>1</v>
      </c>
      <c r="C32" s="152"/>
      <c r="D32" s="152"/>
      <c r="E32" s="205">
        <f>$E$30/$B$30</f>
        <v>0.74801061007957559</v>
      </c>
      <c r="F32" s="152"/>
      <c r="G32" s="200"/>
    </row>
    <row r="33" spans="2:7" ht="15.95" customHeight="1">
      <c r="B33" s="217" t="s">
        <v>522</v>
      </c>
      <c r="C33" s="218"/>
      <c r="D33" s="219"/>
      <c r="E33" s="217" t="s">
        <v>523</v>
      </c>
      <c r="F33" s="218"/>
      <c r="G33" s="219"/>
    </row>
    <row r="34" spans="2:7" ht="30" customHeight="1">
      <c r="B34" s="393" t="str">
        <f>INDEX('2-1. 공사기간 검토결과'!$C$13:$E$13,MATCH(MIN('2-1. 공사기간 검토결과'!$C$17:$E$17),'2-1. 공사기간 검토결과'!$C$17:$E$17,0))</f>
        <v>포함</v>
      </c>
      <c r="C34" s="152"/>
      <c r="D34" s="152"/>
      <c r="E34" s="393">
        <f>INDEX('2-1. 공사기간 검토결과'!$C$12:$E$12,MATCH(MIN('2-1. 공사기간 검토결과'!$C$17:$E$17),'2-1. 공사기간 검토결과'!$C$17:$E$17,0))+INDEX('2-1. 공사기간 검토결과'!$C$15:$E$15,MATCH(MIN('2-1. 공사기간 검토결과'!$C$17:$E$17),'2-1. 공사기간 검토결과'!$C$17:$E$17,0))</f>
        <v>95</v>
      </c>
      <c r="F34" s="152"/>
      <c r="G34" s="200"/>
    </row>
    <row r="35" spans="2:7" ht="14.1" customHeight="1">
      <c r="B35" s="201" t="str">
        <f>IF(ISNUMBER($B$34),"전체의 "&amp;TEXT($B$34/$B$30,"0.0%"),"작업일수에 포함")</f>
        <v>작업일수에 포함</v>
      </c>
      <c r="C35" s="152"/>
      <c r="D35" s="152"/>
      <c r="E35" s="201" t="str">
        <f>"전체의 "&amp;TEXT($E$34/$B$30,"0.0%")</f>
        <v>전체의 25.2%</v>
      </c>
      <c r="F35" s="152"/>
      <c r="G35" s="200"/>
    </row>
    <row r="36" spans="2:7" ht="8.1" customHeight="1" thickBot="1">
      <c r="B36" s="202">
        <f>IF(ISNUMBER($B$34),$B$34/$B$30,0)</f>
        <v>0</v>
      </c>
      <c r="C36" s="203"/>
      <c r="D36" s="203"/>
      <c r="E36" s="202">
        <f>$E$34/$B$30</f>
        <v>0.25198938992042441</v>
      </c>
      <c r="F36" s="203"/>
      <c r="G36" s="204"/>
    </row>
    <row r="41" spans="2:7">
      <c r="B41" s="212"/>
      <c r="C41" s="212"/>
      <c r="D41" s="212"/>
      <c r="E41" s="212"/>
      <c r="F41" s="212"/>
      <c r="G41" s="212"/>
    </row>
  </sheetData>
  <mergeCells count="54">
    <mergeCell ref="B36:D36"/>
    <mergeCell ref="E33:G33"/>
    <mergeCell ref="B12:D12"/>
    <mergeCell ref="B18:D18"/>
    <mergeCell ref="C16:D16"/>
    <mergeCell ref="E13:G13"/>
    <mergeCell ref="E14:G14"/>
    <mergeCell ref="E15:G15"/>
    <mergeCell ref="E16:G16"/>
    <mergeCell ref="C13:D13"/>
    <mergeCell ref="C14:D14"/>
    <mergeCell ref="C15:D15"/>
    <mergeCell ref="D20:E20"/>
    <mergeCell ref="F20:G20"/>
    <mergeCell ref="C25:G25"/>
    <mergeCell ref="C26:G26"/>
    <mergeCell ref="B41:G41"/>
    <mergeCell ref="B21:C21"/>
    <mergeCell ref="D21:E21"/>
    <mergeCell ref="F21:G21"/>
    <mergeCell ref="B22:G22"/>
    <mergeCell ref="C24:G24"/>
    <mergeCell ref="B29:D29"/>
    <mergeCell ref="B31:D31"/>
    <mergeCell ref="B33:D33"/>
    <mergeCell ref="B34:D34"/>
    <mergeCell ref="B27:G27"/>
    <mergeCell ref="B35:D35"/>
    <mergeCell ref="C5:G5"/>
    <mergeCell ref="B2:G2"/>
    <mergeCell ref="C6:D6"/>
    <mergeCell ref="F6:G6"/>
    <mergeCell ref="B4:D4"/>
    <mergeCell ref="E36:G36"/>
    <mergeCell ref="B32:D32"/>
    <mergeCell ref="E31:G31"/>
    <mergeCell ref="E32:G32"/>
    <mergeCell ref="C7:D7"/>
    <mergeCell ref="F7:G7"/>
    <mergeCell ref="C8:D8"/>
    <mergeCell ref="F8:G8"/>
    <mergeCell ref="C9:D9"/>
    <mergeCell ref="F9:G9"/>
    <mergeCell ref="C10:D10"/>
    <mergeCell ref="F10:G10"/>
    <mergeCell ref="B19:C19"/>
    <mergeCell ref="D19:E19"/>
    <mergeCell ref="F19:G19"/>
    <mergeCell ref="B20:C20"/>
    <mergeCell ref="B30:D30"/>
    <mergeCell ref="E29:G29"/>
    <mergeCell ref="E30:G30"/>
    <mergeCell ref="E34:G34"/>
    <mergeCell ref="E35:G35"/>
  </mergeCells>
  <phoneticPr fontId="5" type="noConversion"/>
  <conditionalFormatting sqref="B32">
    <cfRule type="dataBar" priority="14">
      <dataBar showValue="0">
        <cfvo type="num" val="0"/>
        <cfvo type="num" val="1"/>
        <color rgb="FF1A1A1A"/>
      </dataBar>
      <extLst>
        <ext xmlns:x14="http://schemas.microsoft.com/office/spreadsheetml/2009/9/main" uri="{B025F937-C7B1-47D3-B67F-A62EFF666E3E}">
          <x14:id>{EFC38FD6-B3BC-4C86-AAFF-5BC6195C864B}</x14:id>
        </ext>
      </extLst>
    </cfRule>
  </conditionalFormatting>
  <conditionalFormatting sqref="B36">
    <cfRule type="dataBar" priority="16">
      <dataBar showValue="0">
        <cfvo type="num" val="0"/>
        <cfvo type="num" val="1"/>
        <color rgb="FF1A1A1A"/>
      </dataBar>
      <extLst>
        <ext xmlns:x14="http://schemas.microsoft.com/office/spreadsheetml/2009/9/main" uri="{B025F937-C7B1-47D3-B67F-A62EFF666E3E}">
          <x14:id>{DA57CD78-17CB-479B-8156-B9C385052B0D}</x14:id>
        </ext>
      </extLst>
    </cfRule>
  </conditionalFormatting>
  <conditionalFormatting sqref="B13:C13 E13">
    <cfRule type="expression" dxfId="4" priority="1">
      <formula>ISNUMBER(SEARCH("검토1안",$C$24))</formula>
    </cfRule>
  </conditionalFormatting>
  <conditionalFormatting sqref="B19:C21">
    <cfRule type="expression" dxfId="3" priority="7">
      <formula>ISNUMBER(SEARCH("검토1안",$C$24))</formula>
    </cfRule>
  </conditionalFormatting>
  <conditionalFormatting sqref="D19:E21">
    <cfRule type="expression" dxfId="2" priority="8">
      <formula>ISNUMBER(SEARCH("검토2안",$C$24))</formula>
    </cfRule>
  </conditionalFormatting>
  <conditionalFormatting sqref="E32">
    <cfRule type="dataBar" priority="15">
      <dataBar showValue="0">
        <cfvo type="num" val="0"/>
        <cfvo type="num" val="1"/>
        <color rgb="FF1A1A1A"/>
      </dataBar>
      <extLst>
        <ext xmlns:x14="http://schemas.microsoft.com/office/spreadsheetml/2009/9/main" uri="{B025F937-C7B1-47D3-B67F-A62EFF666E3E}">
          <x14:id>{E288BAD8-8200-4EFA-BB87-F6EA25076D11}</x14:id>
        </ext>
      </extLst>
    </cfRule>
  </conditionalFormatting>
  <conditionalFormatting sqref="E36">
    <cfRule type="dataBar" priority="17">
      <dataBar showValue="0">
        <cfvo type="num" val="0"/>
        <cfvo type="num" val="1"/>
        <color rgb="FF1A1A1A"/>
      </dataBar>
      <extLst>
        <ext xmlns:x14="http://schemas.microsoft.com/office/spreadsheetml/2009/9/main" uri="{B025F937-C7B1-47D3-B67F-A62EFF666E3E}">
          <x14:id>{7AF0BA2F-084D-4BC9-9E5C-C62BCB5A65F3}</x14:id>
        </ext>
      </extLst>
    </cfRule>
  </conditionalFormatting>
  <conditionalFormatting sqref="F19:G21">
    <cfRule type="expression" dxfId="1" priority="9">
      <formula>ISNUMBER(SEARCH("검토3안",$C$24))</formula>
    </cfRule>
  </conditionalFormatting>
  <printOptions horizontalCentered="1"/>
  <pageMargins left="0.25" right="0.25" top="0.25" bottom="0.25" header="0.1111111111111111" footer="0.1111111111111111"/>
  <pageSetup paperSize="9" scale="9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C38FD6-B3BC-4C86-AAFF-5BC6195C864B}">
            <x14:dataBar minLength="0" maxLength="100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B32</xm:sqref>
        </x14:conditionalFormatting>
        <x14:conditionalFormatting xmlns:xm="http://schemas.microsoft.com/office/excel/2006/main">
          <x14:cfRule type="dataBar" id="{DA57CD78-17CB-479B-8156-B9C385052B0D}">
            <x14:dataBar minLength="0" maxLength="100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B36</xm:sqref>
        </x14:conditionalFormatting>
        <x14:conditionalFormatting xmlns:xm="http://schemas.microsoft.com/office/excel/2006/main">
          <x14:cfRule type="dataBar" id="{E288BAD8-8200-4EFA-BB87-F6EA25076D11}">
            <x14:dataBar minLength="0" maxLength="100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E32</xm:sqref>
        </x14:conditionalFormatting>
        <x14:conditionalFormatting xmlns:xm="http://schemas.microsoft.com/office/excel/2006/main">
          <x14:cfRule type="dataBar" id="{7AF0BA2F-084D-4BC9-9E5C-C62BCB5A65F3}">
            <x14:dataBar minLength="0" maxLength="100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E36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47"/>
  <sheetViews>
    <sheetView topLeftCell="A6" zoomScaleNormal="100" workbookViewId="0">
      <selection activeCell="L21" sqref="L21"/>
    </sheetView>
  </sheetViews>
  <sheetFormatPr defaultColWidth="8.7109375" defaultRowHeight="15"/>
  <cols>
    <col min="1" max="1" width="3" customWidth="1"/>
    <col min="2" max="2" width="22" customWidth="1"/>
    <col min="3" max="6" width="25.7109375" customWidth="1"/>
    <col min="7" max="7" width="3" customWidth="1"/>
  </cols>
  <sheetData>
    <row r="1" spans="2:6" ht="42" customHeight="1">
      <c r="B1" s="394" t="s">
        <v>509</v>
      </c>
      <c r="C1" s="394"/>
      <c r="D1" s="394"/>
      <c r="E1" s="394"/>
      <c r="F1" s="394"/>
    </row>
    <row r="2" spans="2:6" ht="19.5" customHeight="1">
      <c r="B2" s="226" t="s">
        <v>49</v>
      </c>
      <c r="C2" s="226"/>
      <c r="D2" s="226"/>
      <c r="E2" s="226"/>
      <c r="F2" s="226"/>
    </row>
    <row r="3" spans="2:6" ht="19.5" customHeight="1" thickBot="1">
      <c r="B3" s="387" t="s">
        <v>128</v>
      </c>
      <c r="C3" s="387"/>
      <c r="D3" s="225"/>
      <c r="E3" s="225"/>
      <c r="F3" s="225"/>
    </row>
    <row r="4" spans="2:6" ht="21.75" customHeight="1">
      <c r="B4" s="332" t="s">
        <v>0</v>
      </c>
      <c r="C4" s="395" t="str">
        <f>'1. 기본정보'!C3</f>
        <v>신안교육지원청사 이설공사</v>
      </c>
      <c r="D4" s="396"/>
      <c r="E4" s="396"/>
      <c r="F4" s="397"/>
    </row>
    <row r="5" spans="2:6" ht="21.75" customHeight="1">
      <c r="B5" s="333" t="s">
        <v>50</v>
      </c>
      <c r="C5" s="398">
        <f>'1. 기본정보'!C4</f>
        <v>111</v>
      </c>
      <c r="D5" s="399"/>
      <c r="E5" s="399"/>
      <c r="F5" s="400"/>
    </row>
    <row r="6" spans="2:6" ht="21.75" customHeight="1">
      <c r="B6" s="333" t="s">
        <v>1</v>
      </c>
      <c r="C6" s="401">
        <f>'1. 기본정보'!C8</f>
        <v>46388</v>
      </c>
      <c r="D6" s="402"/>
      <c r="E6" s="402"/>
      <c r="F6" s="403"/>
    </row>
    <row r="7" spans="2:6" ht="21.75" customHeight="1">
      <c r="B7" s="333" t="s">
        <v>2</v>
      </c>
      <c r="C7" s="404" t="str">
        <f>'1. 기본정보'!C9</f>
        <v>청사</v>
      </c>
      <c r="D7" s="405"/>
      <c r="E7" s="405"/>
      <c r="F7" s="406"/>
    </row>
    <row r="8" spans="2:6" ht="21.75" customHeight="1" thickBot="1">
      <c r="B8" s="334" t="s">
        <v>3</v>
      </c>
      <c r="C8" s="407" t="str">
        <f>'1. 기본정보'!C10</f>
        <v>전남·광주</v>
      </c>
      <c r="D8" s="408"/>
      <c r="E8" s="408"/>
      <c r="F8" s="409"/>
    </row>
    <row r="9" spans="2:6">
      <c r="C9" s="6"/>
    </row>
    <row r="10" spans="2:6" ht="19.5" customHeight="1" thickBot="1">
      <c r="B10" s="387" t="s">
        <v>495</v>
      </c>
      <c r="C10" s="387"/>
      <c r="D10" s="225"/>
      <c r="E10" s="225"/>
      <c r="F10" s="225"/>
    </row>
    <row r="11" spans="2:6" ht="19.5" customHeight="1">
      <c r="B11" s="7" t="s">
        <v>4</v>
      </c>
      <c r="C11" s="18" t="s">
        <v>481</v>
      </c>
      <c r="D11" s="18" t="s">
        <v>482</v>
      </c>
      <c r="E11" s="18" t="s">
        <v>483</v>
      </c>
      <c r="F11" s="19" t="s">
        <v>6</v>
      </c>
    </row>
    <row r="12" spans="2:6" ht="21.75" customHeight="1">
      <c r="B12" s="410" t="s">
        <v>7</v>
      </c>
      <c r="C12" s="30">
        <f>'(검토1안) 표준품셈 작업일수'!G41</f>
        <v>60</v>
      </c>
      <c r="D12" s="30">
        <f>'(검토2안) 공사기간'!G44</f>
        <v>65</v>
      </c>
      <c r="E12" s="30">
        <f>'(검토3안) 시설물별'!D28</f>
        <v>60</v>
      </c>
      <c r="F12" s="24"/>
    </row>
    <row r="13" spans="2:6" ht="21.75" customHeight="1">
      <c r="B13" s="411" t="s">
        <v>8</v>
      </c>
      <c r="C13" s="31">
        <f>'(검토1안) 표준품셈 작업일수'!G42</f>
        <v>118</v>
      </c>
      <c r="D13" s="25" t="s">
        <v>621</v>
      </c>
      <c r="E13" s="25" t="s">
        <v>621</v>
      </c>
      <c r="F13" s="26"/>
    </row>
    <row r="14" spans="2:6" ht="21.75" customHeight="1">
      <c r="B14" s="411" t="s">
        <v>9</v>
      </c>
      <c r="C14" s="31">
        <f>'(검토1안) 표준품셈 작업일수'!G43</f>
        <v>398.9</v>
      </c>
      <c r="D14" s="31">
        <f>'(검토2안) 공사기간'!G45</f>
        <v>282</v>
      </c>
      <c r="E14" s="31">
        <f>'(검토3안) 시설물별'!D27</f>
        <v>652</v>
      </c>
      <c r="F14" s="26"/>
    </row>
    <row r="15" spans="2:6" ht="21.75" customHeight="1">
      <c r="B15" s="411" t="s">
        <v>10</v>
      </c>
      <c r="C15" s="31">
        <f>'(검토1안) 표준품셈 작업일수'!G44</f>
        <v>30</v>
      </c>
      <c r="D15" s="31">
        <f>'(검토2안) 공사기간'!G46</f>
        <v>30</v>
      </c>
      <c r="E15" s="31">
        <f>'(검토3안) 시설물별'!D29</f>
        <v>30</v>
      </c>
      <c r="F15" s="26"/>
    </row>
    <row r="16" spans="2:6" ht="21.75" customHeight="1">
      <c r="B16" s="412" t="s">
        <v>492</v>
      </c>
      <c r="C16" s="27" t="s">
        <v>46</v>
      </c>
      <c r="D16" s="32">
        <f>'(검토2안) 공사기간'!G47</f>
        <v>0</v>
      </c>
      <c r="E16" s="28" t="s">
        <v>46</v>
      </c>
      <c r="F16" s="29"/>
    </row>
    <row r="17" spans="2:6" ht="21.75" customHeight="1">
      <c r="B17" s="413" t="s">
        <v>11</v>
      </c>
      <c r="C17" s="33">
        <f>'(검토1안) 표준품셈 작업일수'!G45</f>
        <v>606.9</v>
      </c>
      <c r="D17" s="33">
        <f>'(검토2안) 공사기간'!G48</f>
        <v>377</v>
      </c>
      <c r="E17" s="33">
        <f>'(검토3안) 시설물별'!D30</f>
        <v>742</v>
      </c>
      <c r="F17" s="718"/>
    </row>
    <row r="18" spans="2:6" ht="27.75" customHeight="1" thickBot="1">
      <c r="B18" s="40" t="s">
        <v>493</v>
      </c>
      <c r="C18" s="41">
        <f>ROUND(C17/30,1)</f>
        <v>20.2</v>
      </c>
      <c r="D18" s="41">
        <f>ROUND(D17/30,1)</f>
        <v>12.6</v>
      </c>
      <c r="E18" s="43">
        <f>ROUND(E17/30,1)</f>
        <v>24.7</v>
      </c>
      <c r="F18" s="42" t="s">
        <v>494</v>
      </c>
    </row>
    <row r="19" spans="2:6" ht="21.95" customHeight="1" thickBot="1"/>
    <row r="20" spans="2:6" ht="21.95" customHeight="1" thickBot="1">
      <c r="B20" s="227" t="s">
        <v>539</v>
      </c>
      <c r="C20" s="228"/>
      <c r="D20" s="225"/>
      <c r="E20" s="225"/>
      <c r="F20" s="225"/>
    </row>
    <row r="21" spans="2:6" ht="21.95" customHeight="1">
      <c r="B21" s="20" t="s">
        <v>4</v>
      </c>
      <c r="C21" s="21" t="s">
        <v>5</v>
      </c>
      <c r="D21" s="21" t="s">
        <v>51</v>
      </c>
      <c r="E21" s="21" t="s">
        <v>52</v>
      </c>
      <c r="F21" s="22" t="s">
        <v>6</v>
      </c>
    </row>
    <row r="22" spans="2:6" ht="21.75" customHeight="1">
      <c r="B22" s="414" t="s">
        <v>7</v>
      </c>
      <c r="C22" s="415" t="s">
        <v>484</v>
      </c>
      <c r="D22" s="34">
        <f>'(검토1안) 표준품셈 작업일수'!G41</f>
        <v>60</v>
      </c>
      <c r="E22" s="416">
        <f>D22/$D$26</f>
        <v>9.8863074641621362E-2</v>
      </c>
      <c r="F22" s="417" t="s">
        <v>535</v>
      </c>
    </row>
    <row r="23" spans="2:6" ht="21.75" customHeight="1">
      <c r="B23" s="414" t="s">
        <v>8</v>
      </c>
      <c r="C23" s="418" t="s">
        <v>53</v>
      </c>
      <c r="D23" s="34">
        <f>'(검토1안) 표준품셈 작업일수'!G42</f>
        <v>118</v>
      </c>
      <c r="E23" s="416">
        <f>D23/$D$26</f>
        <v>0.19443071346185534</v>
      </c>
      <c r="F23" s="417" t="s">
        <v>534</v>
      </c>
    </row>
    <row r="24" spans="2:6" ht="21.75" customHeight="1">
      <c r="B24" s="414" t="s">
        <v>485</v>
      </c>
      <c r="C24" s="415" t="s">
        <v>486</v>
      </c>
      <c r="D24" s="34">
        <f>'(검토1안) 표준품셈 작업일수'!G43</f>
        <v>398.9</v>
      </c>
      <c r="E24" s="416">
        <f>D24/$D$26</f>
        <v>0.65727467457571265</v>
      </c>
      <c r="F24" s="417"/>
    </row>
    <row r="25" spans="2:6" ht="21.75" customHeight="1" thickBot="1">
      <c r="B25" s="419" t="s">
        <v>10</v>
      </c>
      <c r="C25" s="420" t="s">
        <v>54</v>
      </c>
      <c r="D25" s="35">
        <f>'(검토1안) 표준품셈 작업일수'!G44</f>
        <v>30</v>
      </c>
      <c r="E25" s="421">
        <f>D25/$D$26</f>
        <v>4.9431537320810681E-2</v>
      </c>
      <c r="F25" s="422" t="s">
        <v>535</v>
      </c>
    </row>
    <row r="26" spans="2:6" ht="21.95" customHeight="1" thickBot="1">
      <c r="B26" s="423" t="s">
        <v>11</v>
      </c>
      <c r="C26" s="424"/>
      <c r="D26" s="36">
        <f>'(검토1안) 표준품셈 작업일수'!G45</f>
        <v>606.9</v>
      </c>
      <c r="E26" s="425">
        <f>ROUND(D26/30,1)</f>
        <v>20.2</v>
      </c>
      <c r="F26" s="426" t="s">
        <v>487</v>
      </c>
    </row>
    <row r="27" spans="2:6" ht="21.95" customHeight="1" thickBot="1">
      <c r="B27" s="17"/>
      <c r="C27" s="17"/>
      <c r="D27" s="17"/>
      <c r="E27" s="17"/>
      <c r="F27" s="17"/>
    </row>
    <row r="28" spans="2:6" ht="21.95" customHeight="1" thickBot="1">
      <c r="B28" s="227" t="s">
        <v>538</v>
      </c>
      <c r="C28" s="228"/>
      <c r="D28" s="225"/>
      <c r="E28" s="225"/>
      <c r="F28" s="225"/>
    </row>
    <row r="29" spans="2:6" ht="21.95" customHeight="1">
      <c r="B29" s="20" t="s">
        <v>4</v>
      </c>
      <c r="C29" s="21" t="s">
        <v>5</v>
      </c>
      <c r="D29" s="21" t="s">
        <v>51</v>
      </c>
      <c r="E29" s="21" t="s">
        <v>52</v>
      </c>
      <c r="F29" s="22" t="s">
        <v>6</v>
      </c>
    </row>
    <row r="30" spans="2:6" ht="21.75" customHeight="1">
      <c r="B30" s="414" t="s">
        <v>7</v>
      </c>
      <c r="C30" s="415" t="s">
        <v>496</v>
      </c>
      <c r="D30" s="34">
        <f>'(검토2안) 공사기간'!G44</f>
        <v>65</v>
      </c>
      <c r="E30" s="416">
        <f>D30/$D$34</f>
        <v>0.17241379310344829</v>
      </c>
      <c r="F30" s="427"/>
    </row>
    <row r="31" spans="2:6" ht="21.75" customHeight="1">
      <c r="B31" s="414" t="s">
        <v>489</v>
      </c>
      <c r="C31" s="415" t="s">
        <v>490</v>
      </c>
      <c r="D31" s="34">
        <f>'(검토2안) 공사기간'!G45</f>
        <v>282</v>
      </c>
      <c r="E31" s="416">
        <f>D31/$D$34</f>
        <v>0.74801061007957559</v>
      </c>
      <c r="F31" s="427"/>
    </row>
    <row r="32" spans="2:6" ht="21.75" customHeight="1">
      <c r="B32" s="414" t="s">
        <v>477</v>
      </c>
      <c r="C32" s="415" t="s">
        <v>497</v>
      </c>
      <c r="D32" s="34">
        <f>'(검토2안) 공사기간'!G46</f>
        <v>30</v>
      </c>
      <c r="E32" s="416">
        <f>D32/$D$34</f>
        <v>7.9575596816976124E-2</v>
      </c>
      <c r="F32" s="427"/>
    </row>
    <row r="33" spans="2:6" ht="21.75" customHeight="1" thickBot="1">
      <c r="B33" s="428" t="s">
        <v>478</v>
      </c>
      <c r="C33" s="429" t="s">
        <v>498</v>
      </c>
      <c r="D33" s="132">
        <f>'(검토2안) 공사기간'!G47</f>
        <v>0</v>
      </c>
      <c r="E33" s="430">
        <f>D33/$D$34</f>
        <v>0</v>
      </c>
      <c r="F33" s="431"/>
    </row>
    <row r="34" spans="2:6" ht="21.95" customHeight="1" thickBot="1">
      <c r="B34" s="423" t="s">
        <v>11</v>
      </c>
      <c r="C34" s="23"/>
      <c r="D34" s="36">
        <f>'(검토2안) 공사기간'!G48</f>
        <v>377</v>
      </c>
      <c r="E34" s="425">
        <f>ROUND(D34/30,1)</f>
        <v>12.6</v>
      </c>
      <c r="F34" s="426" t="s">
        <v>491</v>
      </c>
    </row>
    <row r="35" spans="2:6" ht="21.95" customHeight="1" thickBot="1"/>
    <row r="36" spans="2:6" ht="21.95" customHeight="1" thickBot="1">
      <c r="B36" s="229" t="s">
        <v>624</v>
      </c>
      <c r="C36" s="230"/>
      <c r="D36" s="225"/>
      <c r="E36" s="225"/>
      <c r="F36" s="225"/>
    </row>
    <row r="37" spans="2:6" ht="21.95" customHeight="1">
      <c r="B37" s="20" t="s">
        <v>4</v>
      </c>
      <c r="C37" s="21" t="s">
        <v>5</v>
      </c>
      <c r="D37" s="21" t="s">
        <v>51</v>
      </c>
      <c r="E37" s="21" t="s">
        <v>52</v>
      </c>
      <c r="F37" s="22" t="s">
        <v>6</v>
      </c>
    </row>
    <row r="38" spans="2:6" ht="21.75" customHeight="1">
      <c r="B38" s="414" t="s">
        <v>500</v>
      </c>
      <c r="C38" s="415" t="s">
        <v>536</v>
      </c>
      <c r="D38" s="34">
        <f>'(검토3안) 시설물별'!D27</f>
        <v>652</v>
      </c>
      <c r="E38" s="416">
        <f>D38/$D$41</f>
        <v>0.87870619946091644</v>
      </c>
      <c r="F38" s="427" t="s">
        <v>537</v>
      </c>
    </row>
    <row r="39" spans="2:6" ht="21.75" customHeight="1">
      <c r="B39" s="414" t="s">
        <v>501</v>
      </c>
      <c r="C39" s="415" t="s">
        <v>484</v>
      </c>
      <c r="D39" s="34">
        <f>'(검토3안) 시설물별'!D28</f>
        <v>60</v>
      </c>
      <c r="E39" s="416">
        <f>D39/$D$41</f>
        <v>8.0862533692722366E-2</v>
      </c>
      <c r="F39" s="427"/>
    </row>
    <row r="40" spans="2:6" ht="21.75" customHeight="1" thickBot="1">
      <c r="B40" s="419" t="s">
        <v>477</v>
      </c>
      <c r="C40" s="420" t="s">
        <v>54</v>
      </c>
      <c r="D40" s="35">
        <f>'(검토3안) 시설물별'!D29</f>
        <v>30</v>
      </c>
      <c r="E40" s="421">
        <f>D40/$D$41</f>
        <v>4.0431266846361183E-2</v>
      </c>
      <c r="F40" s="432"/>
    </row>
    <row r="41" spans="2:6" ht="21.95" customHeight="1" thickBot="1">
      <c r="B41" s="423" t="s">
        <v>11</v>
      </c>
      <c r="C41" s="23"/>
      <c r="D41" s="36">
        <f>'(검토3안) 시설물별'!D30</f>
        <v>742</v>
      </c>
      <c r="E41" s="425">
        <f>ROUND(D41/30,1)</f>
        <v>24.7</v>
      </c>
      <c r="F41" s="426" t="s">
        <v>502</v>
      </c>
    </row>
    <row r="42" spans="2:6" ht="15.75" thickBot="1">
      <c r="B42" s="17"/>
      <c r="C42" s="17"/>
      <c r="D42" s="17"/>
      <c r="E42" s="17"/>
      <c r="F42" s="17"/>
    </row>
    <row r="43" spans="2:6" ht="26.1" customHeight="1" thickBot="1">
      <c r="B43" s="433" t="s">
        <v>504</v>
      </c>
      <c r="C43" s="434"/>
      <c r="D43" s="434"/>
      <c r="E43" s="434"/>
      <c r="F43" s="435"/>
    </row>
    <row r="44" spans="2:6" ht="21.75" customHeight="1">
      <c r="B44" s="436" t="s">
        <v>505</v>
      </c>
      <c r="C44" s="437" t="str">
        <f>INDEX(C11:E11,MATCH(MIN(C17:E17),C17:E17,0))&amp;" (총 공사기간 최소안)"</f>
        <v>검토2안 (총 공사기간 최소안)</v>
      </c>
      <c r="D44" s="438"/>
      <c r="E44" s="438"/>
      <c r="F44" s="439"/>
    </row>
    <row r="45" spans="2:6" ht="21.75" customHeight="1">
      <c r="B45" s="440" t="s">
        <v>11</v>
      </c>
      <c r="C45" s="441" t="str">
        <f>TEXT(MIN(C17:E17),"#,##0")&amp;"일  (약 "&amp;TEXT(MIN(C17:E17)/30,"0.0")&amp;"개월)"</f>
        <v>377일  (약 12.6개월)</v>
      </c>
      <c r="D45" s="441"/>
      <c r="E45" s="441"/>
      <c r="F45" s="442"/>
    </row>
    <row r="46" spans="2:6" ht="21.75" customHeight="1">
      <c r="B46" s="440" t="s">
        <v>506</v>
      </c>
      <c r="C46" s="443" t="s">
        <v>507</v>
      </c>
      <c r="D46" s="443"/>
      <c r="E46" s="443"/>
      <c r="F46" s="444"/>
    </row>
    <row r="47" spans="2:6" ht="21.75" customHeight="1" thickBot="1">
      <c r="B47" s="445" t="s">
        <v>508</v>
      </c>
      <c r="C47" s="446" t="str">
        <f>"검토1안 "&amp;TEXT(C17,"#,##0")&amp;"일 · 검토2안 "&amp;TEXT(D17,"#,##0")&amp;"일 · 검토3안 "&amp;TEXT(E17,"#,##0")&amp;"일"</f>
        <v>검토1안 607일 · 검토2안 377일 · 검토3안 742일</v>
      </c>
      <c r="D47" s="446"/>
      <c r="E47" s="446"/>
      <c r="F47" s="447"/>
    </row>
  </sheetData>
  <mergeCells count="20">
    <mergeCell ref="B43:F43"/>
    <mergeCell ref="C44:F44"/>
    <mergeCell ref="C45:F45"/>
    <mergeCell ref="C46:F46"/>
    <mergeCell ref="C47:F47"/>
    <mergeCell ref="B20:C20"/>
    <mergeCell ref="B28:C28"/>
    <mergeCell ref="B36:C36"/>
    <mergeCell ref="D20:F20"/>
    <mergeCell ref="D28:F28"/>
    <mergeCell ref="D36:F36"/>
    <mergeCell ref="D10:F10"/>
    <mergeCell ref="B1:F1"/>
    <mergeCell ref="B2:F2"/>
    <mergeCell ref="D3:F3"/>
    <mergeCell ref="C4:F4"/>
    <mergeCell ref="C5:F5"/>
    <mergeCell ref="C6:F6"/>
    <mergeCell ref="C7:F7"/>
    <mergeCell ref="C8:F8"/>
  </mergeCells>
  <phoneticPr fontId="5" type="noConversion"/>
  <conditionalFormatting sqref="C17:E17">
    <cfRule type="expression" dxfId="0" priority="1">
      <formula>C17=MIN($C$17:$E$17)</formula>
    </cfRule>
  </conditionalFormatting>
  <hyperlinks>
    <hyperlink ref="B20" location="'(검토1안) 표준품셈 작업일수'!A1" tooltip="클릭하면 검토1안 시트로 이동합니다" display="🔗 ① 검토1안 — 표준품셈 방식 산정 요약" xr:uid="{E84710B0-E349-4552-BB47-2B3E3B5039F8}"/>
    <hyperlink ref="B28" location="'(검토2안) 공사기간'!A1" tooltip="클릭하면 검토2안 시트로 이동합니다" display="🔗 ② 검토2안 — 표준공기(기준일) 방식 산정 요약" xr:uid="{5AD27D19-F4DE-418B-82DE-975E49E22FBE}"/>
    <hyperlink ref="B36" location="'(검토3안) 시설물별'!A1" tooltip="클릭하면 검토3안 시트로 이동합니다" display="🔗 ③ 검토3안 — 시설물별 산정공식(부록5) 방식 산정 요약" xr:uid="{CF5A124A-7FA3-4381-9820-A18CA1CB4C33}"/>
  </hyperlinks>
  <printOptions horizontalCentered="1"/>
  <pageMargins left="0.25" right="0.25" top="0.25" bottom="0.25" header="0.1111111111111111" footer="0.1111111111111111"/>
  <pageSetup paperSize="9" scale="7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3C3D-4AC3-4B39-BE95-0F9DE595B0FE}">
  <sheetPr>
    <pageSetUpPr fitToPage="1"/>
  </sheetPr>
  <dimension ref="A1:L48"/>
  <sheetViews>
    <sheetView showGridLines="0" topLeftCell="A11" zoomScaleNormal="100" workbookViewId="0">
      <selection activeCell="N11" sqref="N11"/>
    </sheetView>
  </sheetViews>
  <sheetFormatPr defaultColWidth="9.140625" defaultRowHeight="16.5"/>
  <cols>
    <col min="1" max="1" width="6.85546875" style="12" customWidth="1"/>
    <col min="2" max="2" width="17.7109375" style="12" customWidth="1"/>
    <col min="3" max="3" width="25.7109375" style="12" customWidth="1"/>
    <col min="4" max="4" width="10.7109375" style="12" customWidth="1"/>
    <col min="5" max="5" width="6.85546875" style="12" customWidth="1"/>
    <col min="6" max="6" width="10.7109375" style="12" customWidth="1"/>
    <col min="7" max="7" width="8.7109375" style="12" customWidth="1"/>
    <col min="8" max="8" width="10.7109375" style="12" customWidth="1"/>
    <col min="9" max="11" width="8.7109375" style="12" customWidth="1"/>
    <col min="12" max="12" width="52.5703125" style="12" customWidth="1"/>
    <col min="13" max="16384" width="9.140625" style="12"/>
  </cols>
  <sheetData>
    <row r="1" spans="1:12" ht="35.1" customHeight="1">
      <c r="A1" s="448" t="s">
        <v>545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</row>
    <row r="2" spans="1:12" ht="32.1" customHeight="1">
      <c r="A2" s="244" t="s">
        <v>544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</row>
    <row r="3" spans="1:12" ht="33.950000000000003" customHeight="1" thickBot="1">
      <c r="A3" s="450" t="s">
        <v>394</v>
      </c>
      <c r="B3" s="451" t="s">
        <v>540</v>
      </c>
      <c r="C3" s="451" t="s">
        <v>541</v>
      </c>
      <c r="D3" s="451" t="s">
        <v>395</v>
      </c>
      <c r="E3" s="451" t="s">
        <v>41</v>
      </c>
      <c r="F3" s="451" t="s">
        <v>396</v>
      </c>
      <c r="G3" s="451" t="s">
        <v>397</v>
      </c>
      <c r="H3" s="451" t="s">
        <v>398</v>
      </c>
      <c r="I3" s="451" t="s">
        <v>399</v>
      </c>
      <c r="J3" s="451" t="s">
        <v>400</v>
      </c>
      <c r="K3" s="451" t="s">
        <v>401</v>
      </c>
      <c r="L3" s="452" t="s">
        <v>402</v>
      </c>
    </row>
    <row r="4" spans="1:12" ht="24.95" customHeight="1">
      <c r="A4" s="134">
        <f>IF(T_검토1안작업일수[[#This Row],[세부공종(B)]]="","",ROW()-ROW(T_검토1안작업일수[[#Headers],[순번]]))</f>
        <v>1</v>
      </c>
      <c r="B4" s="135" t="s">
        <v>231</v>
      </c>
      <c r="C4" s="135" t="s">
        <v>97</v>
      </c>
      <c r="D4" s="136">
        <v>7</v>
      </c>
      <c r="E4" s="137" t="str">
        <f>IF($C4="","",IFERROR(VLOOKUP(SUBSTITUTE($C4,"~","~~"),'(참고1)_1일작업량'!$B:$E,2,0),""))</f>
        <v>개</v>
      </c>
      <c r="F4" s="138">
        <f>IF($C4="","",IFERROR(VLOOKUP(SUBSTITUTE($C4,"~","~~"),'(참고1)_1일작업량'!$B:$E,3,0),""))</f>
        <v>8</v>
      </c>
      <c r="G4" s="139">
        <v>1</v>
      </c>
      <c r="H4" s="138">
        <f>IF(OR($F4="",$G4=""),"",$F4*$G4)</f>
        <v>8</v>
      </c>
      <c r="I4" s="140">
        <f>IF(OR($H4="",$H4=0,$D4=""),"",ROUNDUP($D4/$H4,0))</f>
        <v>1</v>
      </c>
      <c r="J4" s="141" t="s">
        <v>403</v>
      </c>
      <c r="K4" s="140">
        <f>IF($I4="","",IF($J4="Y",$I4,0))</f>
        <v>1</v>
      </c>
      <c r="L4" s="142" t="str">
        <f>IF($C4="","",IFERROR(IF(VLOOKUP(SUBSTITUTE($C4,"~","~~"),'(참고1)_1일작업량'!$B:$E,4,0)=0,"",VLOOKUP(SUBSTITUTE($C4,"~","~~"),'(참고1)_1일작업량'!$B:$E,4,0)),""))</f>
        <v>콘테이너 9m×3m, 비계공4·특별2·크레인10t</v>
      </c>
    </row>
    <row r="5" spans="1:12" ht="24.95" customHeight="1">
      <c r="A5" s="114">
        <f>IF(T_검토1안작업일수[[#This Row],[세부공종(B)]]="","",ROW()-ROW(T_검토1안작업일수[[#Headers],[순번]]))</f>
        <v>2</v>
      </c>
      <c r="B5" s="116" t="s">
        <v>231</v>
      </c>
      <c r="C5" s="116" t="s">
        <v>237</v>
      </c>
      <c r="D5" s="118">
        <v>430</v>
      </c>
      <c r="E5" s="120" t="str">
        <f>IF($C5="","",IFERROR(VLOOKUP(SUBSTITUTE($C5,"~","~~"),'(참고1)_1일작업량'!$B:$E,2,0),""))</f>
        <v>m</v>
      </c>
      <c r="F5" s="122">
        <f>IF($C5="","",IFERROR(VLOOKUP(SUBSTITUTE($C5,"~","~~"),'(참고1)_1일작업량'!$B:$E,3,0),""))</f>
        <v>115</v>
      </c>
      <c r="G5" s="124">
        <v>1</v>
      </c>
      <c r="H5" s="122">
        <f t="shared" ref="H5:H28" si="0">IF(OR($F5="",$G5=""),"",$F5*$G5)</f>
        <v>115</v>
      </c>
      <c r="I5" s="126">
        <f t="shared" ref="I5:I28" si="1">IF(OR($H5="",$H5=0,$D5=""),"",ROUNDUP($D5/$H5,0))</f>
        <v>4</v>
      </c>
      <c r="J5" s="128" t="s">
        <v>403</v>
      </c>
      <c r="K5" s="126">
        <f t="shared" ref="K5:K28" si="2">IF($I5="","",IF($J5="Y",$I5,0))</f>
        <v>4</v>
      </c>
      <c r="L5" s="112" t="str">
        <f>IF($C5="","",IFERROR(IF(VLOOKUP(SUBSTITUTE($C5,"~","~~"),'(참고1)_1일작업량'!$B:$E,4,0)=0,"",VLOOKUP(SUBSTITUTE($C5,"~","~~"),'(참고1)_1일작업량'!$B:$E,4,0)),""))</f>
        <v>높이3.0m이하, 비계공3·보통1</v>
      </c>
    </row>
    <row r="6" spans="1:12" ht="24.95" customHeight="1">
      <c r="A6" s="114">
        <f>IF(T_검토1안작업일수[[#This Row],[세부공종(B)]]="","",ROW()-ROW(T_검토1안작업일수[[#Headers],[순번]]))</f>
        <v>3</v>
      </c>
      <c r="B6" s="116" t="s">
        <v>231</v>
      </c>
      <c r="C6" s="116" t="s">
        <v>242</v>
      </c>
      <c r="D6" s="118">
        <f>1787+2004</f>
        <v>3791</v>
      </c>
      <c r="E6" s="120" t="str">
        <f>IF($C6="","",IFERROR(VLOOKUP(SUBSTITUTE($C6,"~","~~"),'(참고1)_1일작업량'!$B:$E,2,0),""))</f>
        <v>㎡</v>
      </c>
      <c r="F6" s="122">
        <f>IF($C6="","",IFERROR(VLOOKUP(SUBSTITUTE($C6,"~","~~"),'(참고1)_1일작업량'!$B:$E,3,0),""))</f>
        <v>100</v>
      </c>
      <c r="G6" s="124">
        <v>2</v>
      </c>
      <c r="H6" s="122">
        <f t="shared" si="0"/>
        <v>200</v>
      </c>
      <c r="I6" s="126">
        <f t="shared" si="1"/>
        <v>19</v>
      </c>
      <c r="J6" s="128" t="s">
        <v>403</v>
      </c>
      <c r="K6" s="126">
        <f t="shared" si="2"/>
        <v>19</v>
      </c>
      <c r="L6" s="112" t="str">
        <f>IF($C6="","",IFERROR(IF(VLOOKUP(SUBSTITUTE($C6,"~","~~"),'(참고1)_1일작업량'!$B:$E,4,0)=0,"",VLOOKUP(SUBSTITUTE($C6,"~","~~"),'(참고1)_1일작업량'!$B:$E,4,0)),""))</f>
        <v>10m이하, 비계공4·보통1</v>
      </c>
    </row>
    <row r="7" spans="1:12" ht="24.95" customHeight="1">
      <c r="A7" s="114">
        <f>IF(T_검토1안작업일수[[#This Row],[세부공종(B)]]="","",ROW()-ROW(T_검토1안작업일수[[#Headers],[순번]]))</f>
        <v>4</v>
      </c>
      <c r="B7" s="116" t="s">
        <v>231</v>
      </c>
      <c r="C7" s="116" t="s">
        <v>246</v>
      </c>
      <c r="D7" s="118">
        <v>9637</v>
      </c>
      <c r="E7" s="120" t="str">
        <f>IF($C7="","",IFERROR(VLOOKUP(SUBSTITUTE($C7,"~","~~"),'(참고1)_1일작업량'!$B:$E,2,0),""))</f>
        <v>㎡</v>
      </c>
      <c r="F7" s="122">
        <f>IF($C7="","",IFERROR(VLOOKUP(SUBSTITUTE($C7,"~","~~"),'(참고1)_1일작업량'!$B:$E,3,0),""))</f>
        <v>100</v>
      </c>
      <c r="G7" s="124">
        <v>4</v>
      </c>
      <c r="H7" s="122">
        <f t="shared" si="0"/>
        <v>400</v>
      </c>
      <c r="I7" s="126">
        <f t="shared" si="1"/>
        <v>25</v>
      </c>
      <c r="J7" s="128" t="s">
        <v>403</v>
      </c>
      <c r="K7" s="126">
        <f t="shared" si="2"/>
        <v>25</v>
      </c>
      <c r="L7" s="112" t="str">
        <f>IF($C7="","",IFERROR(IF(VLOOKUP(SUBSTITUTE($C7,"~","~~"),'(참고1)_1일작업량'!$B:$E,4,0)=0,"",VLOOKUP(SUBSTITUTE($C7,"~","~~"),'(참고1)_1일작업량'!$B:$E,4,0)),""))</f>
        <v>높이3.5m이하, 형틀목공5·보통1</v>
      </c>
    </row>
    <row r="8" spans="1:12" ht="24.95" customHeight="1">
      <c r="A8" s="114">
        <f>IF(T_검토1안작업일수[[#This Row],[세부공종(B)]]="","",ROW()-ROW(T_검토1안작업일수[[#Headers],[순번]]))</f>
        <v>5</v>
      </c>
      <c r="B8" s="116" t="s">
        <v>236</v>
      </c>
      <c r="C8" s="116" t="s">
        <v>255</v>
      </c>
      <c r="D8" s="118">
        <f>1073+2211</f>
        <v>3284</v>
      </c>
      <c r="E8" s="120" t="str">
        <f>IF($C8="","",IFERROR(VLOOKUP(SUBSTITUTE($C8,"~","~~"),'(참고1)_1일작업량'!$B:$E,2,0),""))</f>
        <v>㎥</v>
      </c>
      <c r="F8" s="122">
        <f>IF($C8="","",IFERROR(VLOOKUP(SUBSTITUTE($C8,"~","~~"),'(참고1)_1일작업량'!$B:$E,3,0),""))</f>
        <v>514</v>
      </c>
      <c r="G8" s="124">
        <v>1</v>
      </c>
      <c r="H8" s="122">
        <f t="shared" si="0"/>
        <v>514</v>
      </c>
      <c r="I8" s="126">
        <f t="shared" si="1"/>
        <v>7</v>
      </c>
      <c r="J8" s="128" t="s">
        <v>403</v>
      </c>
      <c r="K8" s="126">
        <f t="shared" si="2"/>
        <v>7</v>
      </c>
      <c r="L8" s="112" t="str">
        <f>IF($C8="","",IFERROR(IF(VLOOKUP(SUBSTITUTE($C8,"~","~~"),'(참고1)_1일작업량'!$B:$E,4,0)=0,"",VLOOKUP(SUBSTITUTE($C8,"~","~~"),'(참고1)_1일작업량'!$B:$E,4,0)),""))</f>
        <v>보통토사, 난이도 보통, 굴삭기1.0㎥ 1대</v>
      </c>
    </row>
    <row r="9" spans="1:12" ht="24.95" customHeight="1">
      <c r="A9" s="114">
        <f>IF(T_검토1안작업일수[[#This Row],[세부공종(B)]]="","",ROW()-ROW(T_검토1안작업일수[[#Headers],[순번]]))</f>
        <v>6</v>
      </c>
      <c r="B9" s="116" t="s">
        <v>241</v>
      </c>
      <c r="C9" s="116" t="s">
        <v>284</v>
      </c>
      <c r="D9" s="118">
        <f>94+156</f>
        <v>250</v>
      </c>
      <c r="E9" s="120" t="str">
        <f>IF($C9="","",IFERROR(VLOOKUP(SUBSTITUTE($C9,"~","~~"),'(참고1)_1일작업량'!$B:$E,2,0),""))</f>
        <v>ton</v>
      </c>
      <c r="F9" s="122">
        <f>IF($C9="","",IFERROR(VLOOKUP(SUBSTITUTE($C9,"~","~~"),'(참고1)_1일작업량'!$B:$E,3,0),""))</f>
        <v>3</v>
      </c>
      <c r="G9" s="124">
        <v>4</v>
      </c>
      <c r="H9" s="122">
        <f t="shared" si="0"/>
        <v>12</v>
      </c>
      <c r="I9" s="126">
        <f t="shared" si="1"/>
        <v>21</v>
      </c>
      <c r="J9" s="128" t="s">
        <v>403</v>
      </c>
      <c r="K9" s="126">
        <f t="shared" si="2"/>
        <v>21</v>
      </c>
      <c r="L9" s="112" t="str">
        <f>IF($C9="","",IFERROR(IF(VLOOKUP(SUBSTITUTE($C9,"~","~~"),'(참고1)_1일작업량'!$B:$E,4,0)=0,"",VLOOKUP(SUBSTITUTE($C9,"~","~~"),'(참고1)_1일작업량'!$B:$E,4,0)),""))</f>
        <v>φ13이하 50%이상, 철근공6·보통2</v>
      </c>
    </row>
    <row r="10" spans="1:12" ht="24.95" customHeight="1">
      <c r="A10" s="114">
        <f>IF(T_검토1안작업일수[[#This Row],[세부공종(B)]]="","",ROW()-ROW(T_검토1안작업일수[[#Headers],[순번]]))</f>
        <v>7</v>
      </c>
      <c r="B10" s="116" t="s">
        <v>244</v>
      </c>
      <c r="C10" s="116" t="s">
        <v>295</v>
      </c>
      <c r="D10" s="118">
        <f>3161+6291</f>
        <v>9452</v>
      </c>
      <c r="E10" s="120" t="str">
        <f>IF($C10="","",IFERROR(VLOOKUP(SUBSTITUTE($C10,"~","~~"),'(참고1)_1일작업량'!$B:$E,2,0),""))</f>
        <v>㎡</v>
      </c>
      <c r="F10" s="122">
        <f>IF($C10="","",IFERROR(VLOOKUP(SUBSTITUTE($C10,"~","~~"),'(참고1)_1일작업량'!$B:$E,3,0),""))</f>
        <v>50</v>
      </c>
      <c r="G10" s="124">
        <v>6</v>
      </c>
      <c r="H10" s="122">
        <f t="shared" si="0"/>
        <v>300</v>
      </c>
      <c r="I10" s="126">
        <f t="shared" si="1"/>
        <v>32</v>
      </c>
      <c r="J10" s="128" t="s">
        <v>403</v>
      </c>
      <c r="K10" s="126">
        <f t="shared" si="2"/>
        <v>32</v>
      </c>
      <c r="L10" s="112" t="str">
        <f>IF($C10="","",IFERROR(IF(VLOOKUP(SUBSTITUTE($C10,"~","~~"),'(참고1)_1일작업량'!$B:$E,4,0)=0,"",VLOOKUP(SUBSTITUTE($C10,"~","~~"),'(참고1)_1일작업량'!$B:$E,4,0)),""))</f>
        <v>수직고7m이하, 형틀목공4·보통1</v>
      </c>
    </row>
    <row r="11" spans="1:12" ht="24.95" customHeight="1">
      <c r="A11" s="114">
        <f>IF(T_검토1안작업일수[[#This Row],[세부공종(B)]]="","",ROW()-ROW(T_검토1안작업일수[[#Headers],[순번]]))</f>
        <v>8</v>
      </c>
      <c r="B11" s="116" t="s">
        <v>244</v>
      </c>
      <c r="C11" s="116" t="s">
        <v>290</v>
      </c>
      <c r="D11" s="118">
        <f>1521+2936</f>
        <v>4457</v>
      </c>
      <c r="E11" s="120" t="str">
        <f>IF($C11="","",IFERROR(VLOOKUP(SUBSTITUTE($C11,"~","~~"),'(참고1)_1일작업량'!$B:$E,2,0),""))</f>
        <v>㎡</v>
      </c>
      <c r="F11" s="122">
        <f>IF($C11="","",IFERROR(VLOOKUP(SUBSTITUTE($C11,"~","~~"),'(참고1)_1일작업량'!$B:$E,3,0),""))</f>
        <v>60</v>
      </c>
      <c r="G11" s="124">
        <v>4</v>
      </c>
      <c r="H11" s="122">
        <f t="shared" si="0"/>
        <v>240</v>
      </c>
      <c r="I11" s="126">
        <f t="shared" si="1"/>
        <v>19</v>
      </c>
      <c r="J11" s="128" t="s">
        <v>403</v>
      </c>
      <c r="K11" s="126">
        <f t="shared" si="2"/>
        <v>19</v>
      </c>
      <c r="L11" s="112" t="str">
        <f>IF($C11="","",IFERROR(IF(VLOOKUP(SUBSTITUTE($C11,"~","~~"),'(참고1)_1일작업량'!$B:$E,4,0)=0,"",VLOOKUP(SUBSTITUTE($C11,"~","~~"),'(참고1)_1일작업량'!$B:$E,4,0)),""))</f>
        <v>내수합판12mm, 형틀목공5·보통2</v>
      </c>
    </row>
    <row r="12" spans="1:12" ht="24.95" customHeight="1">
      <c r="A12" s="114">
        <f>IF(T_검토1안작업일수[[#This Row],[세부공종(B)]]="","",ROW()-ROW(T_검토1안작업일수[[#Headers],[순번]]))</f>
        <v>9</v>
      </c>
      <c r="B12" s="116" t="s">
        <v>245</v>
      </c>
      <c r="C12" s="116" t="s">
        <v>312</v>
      </c>
      <c r="D12" s="118">
        <f>469+687+80+671+1370</f>
        <v>3277</v>
      </c>
      <c r="E12" s="120" t="str">
        <f>IF($C12="","",IFERROR(VLOOKUP(SUBSTITUTE($C12,"~","~~"),'(참고1)_1일작업량'!$B:$E,2,0),""))</f>
        <v>㎥</v>
      </c>
      <c r="F12" s="122">
        <f>IF($C12="","",IFERROR(VLOOKUP(SUBSTITUTE($C12,"~","~~"),'(참고1)_1일작업량'!$B:$E,3,0),""))</f>
        <v>182</v>
      </c>
      <c r="G12" s="124">
        <v>1</v>
      </c>
      <c r="H12" s="122">
        <f t="shared" si="0"/>
        <v>182</v>
      </c>
      <c r="I12" s="126">
        <f t="shared" si="1"/>
        <v>19</v>
      </c>
      <c r="J12" s="128" t="s">
        <v>403</v>
      </c>
      <c r="K12" s="126">
        <f t="shared" si="2"/>
        <v>19</v>
      </c>
      <c r="L12" s="112" t="str">
        <f>IF($C12="","",IFERROR(IF(VLOOKUP(SUBSTITUTE($C12,"~","~~"),'(참고1)_1일작업량'!$B:$E,4,0)=0,"",VLOOKUP(SUBSTITUTE($C12,"~","~~"),'(참고1)_1일작업량'!$B:$E,4,0)),""))</f>
        <v>슬럼프15 시설Type-Ⅱ/현장Type-Ⅰ, 펌프차1대</v>
      </c>
    </row>
    <row r="13" spans="1:12" ht="24.95" customHeight="1">
      <c r="A13" s="114">
        <f>IF(T_검토1안작업일수[[#This Row],[세부공종(B)]]="","",ROW()-ROW(T_검토1안작업일수[[#Headers],[순번]]))</f>
        <v>10</v>
      </c>
      <c r="B13" s="116" t="s">
        <v>245</v>
      </c>
      <c r="C13" s="116" t="s">
        <v>310</v>
      </c>
      <c r="D13" s="118">
        <f>82+105</f>
        <v>187</v>
      </c>
      <c r="E13" s="120" t="str">
        <f>IF($C13="","",IFERROR(VLOOKUP(SUBSTITUTE($C13,"~","~~"),'(참고1)_1일작업량'!$B:$E,2,0),""))</f>
        <v>㎥</v>
      </c>
      <c r="F13" s="122">
        <f>IF($C13="","",IFERROR(VLOOKUP(SUBSTITUTE($C13,"~","~~"),'(참고1)_1일작업량'!$B:$E,3,0),""))</f>
        <v>189</v>
      </c>
      <c r="G13" s="124">
        <v>1</v>
      </c>
      <c r="H13" s="122">
        <f t="shared" si="0"/>
        <v>189</v>
      </c>
      <c r="I13" s="126">
        <f t="shared" si="1"/>
        <v>1</v>
      </c>
      <c r="J13" s="128" t="s">
        <v>403</v>
      </c>
      <c r="K13" s="126">
        <f t="shared" si="2"/>
        <v>1</v>
      </c>
      <c r="L13" s="112" t="str">
        <f>IF($C13="","",IFERROR(IF(VLOOKUP(SUBSTITUTE($C13,"~","~~"),'(참고1)_1일작업량'!$B:$E,4,0)=0,"",VLOOKUP(SUBSTITUTE($C13,"~","~~"),'(참고1)_1일작업량'!$B:$E,4,0)),""))</f>
        <v>펌프차80㎥/hr↑ 슬럼프15, 콘크리트공4·특별2·보통1</v>
      </c>
    </row>
    <row r="14" spans="1:12" ht="24.95" customHeight="1">
      <c r="A14" s="114">
        <f>IF(T_검토1안작업일수[[#This Row],[세부공종(B)]]="","",ROW()-ROW(T_검토1안작업일수[[#Headers],[순번]]))</f>
        <v>11</v>
      </c>
      <c r="B14" s="116" t="s">
        <v>43</v>
      </c>
      <c r="C14" s="116" t="s">
        <v>446</v>
      </c>
      <c r="D14" s="118">
        <v>3</v>
      </c>
      <c r="E14" s="120" t="str">
        <f>IF($C14="","",IFERROR(VLOOKUP(SUBSTITUTE($C14,"~","~~"),'(참고1)_1일작업량'!$B:$E,2,0),""))</f>
        <v>ton</v>
      </c>
      <c r="F14" s="122">
        <f>IF($C14="","",IFERROR(VLOOKUP(SUBSTITUTE($C14,"~","~~"),'(참고1)_1일작업량'!$B:$E,3,0),""))</f>
        <v>11.3</v>
      </c>
      <c r="G14" s="124">
        <v>1</v>
      </c>
      <c r="H14" s="122">
        <f t="shared" si="0"/>
        <v>11.3</v>
      </c>
      <c r="I14" s="126">
        <f t="shared" si="1"/>
        <v>1</v>
      </c>
      <c r="J14" s="128" t="s">
        <v>403</v>
      </c>
      <c r="K14" s="126">
        <f t="shared" si="2"/>
        <v>1</v>
      </c>
      <c r="L14" s="112" t="str">
        <f>IF($C14="","",IFERROR(IF(VLOOKUP(SUBSTITUTE($C14,"~","~~"),'(참고1)_1일작업량'!$B:$E,4,0)=0,"",VLOOKUP(SUBSTITUTE($C14,"~","~~"),'(참고1)_1일작업량'!$B:$E,4,0)),""))</f>
        <v>20층미만, 가공완료 철골 현장설치, 철골공5·비계공2·특별1·크레인1대</v>
      </c>
    </row>
    <row r="15" spans="1:12" ht="24.95" customHeight="1">
      <c r="A15" s="114">
        <f>IF(T_검토1안작업일수[[#This Row],[세부공종(B)]]="","",ROW()-ROW(T_검토1안작업일수[[#Headers],[순번]]))</f>
        <v>12</v>
      </c>
      <c r="B15" s="116" t="s">
        <v>248</v>
      </c>
      <c r="C15" s="116" t="s">
        <v>317</v>
      </c>
      <c r="D15" s="118">
        <f>220+5+8+98+11+370</f>
        <v>712</v>
      </c>
      <c r="E15" s="120" t="str">
        <f>IF($C15="","",IFERROR(VLOOKUP(SUBSTITUTE($C15,"~","~~"),'(참고1)_1일작업량'!$B:$E,2,0),""))</f>
        <v>㎡</v>
      </c>
      <c r="F15" s="122">
        <f>IF($C15="","",IFERROR(VLOOKUP(SUBSTITUTE($C15,"~","~~"),'(참고1)_1일작업량'!$B:$E,3,0),""))</f>
        <v>27</v>
      </c>
      <c r="G15" s="124">
        <v>1</v>
      </c>
      <c r="H15" s="122">
        <f t="shared" si="0"/>
        <v>27</v>
      </c>
      <c r="I15" s="126">
        <f t="shared" si="1"/>
        <v>27</v>
      </c>
      <c r="J15" s="128" t="s">
        <v>403</v>
      </c>
      <c r="K15" s="126">
        <f t="shared" si="2"/>
        <v>27</v>
      </c>
      <c r="L15" s="112" t="str">
        <f>IF($C15="","",IFERROR(IF(VLOOKUP(SUBSTITUTE($C15,"~","~~"),'(참고1)_1일작업량'!$B:$E,4,0)=0,"",VLOOKUP(SUBSTITUTE($C15,"~","~~"),'(참고1)_1일작업량'!$B:$E,4,0)),""))</f>
        <v>시멘트벽돌(19×9×5.7), 3.6m이하, 조적공3·보통1</v>
      </c>
    </row>
    <row r="16" spans="1:12" ht="24.95" customHeight="1">
      <c r="A16" s="114">
        <f>IF(T_검토1안작업일수[[#This Row],[세부공종(B)]]="","",ROW()-ROW(T_검토1안작업일수[[#Headers],[순번]]))</f>
        <v>13</v>
      </c>
      <c r="B16" s="116" t="s">
        <v>251</v>
      </c>
      <c r="C16" s="116" t="s">
        <v>106</v>
      </c>
      <c r="D16" s="118">
        <f>652+115+37+754+1882+128</f>
        <v>3568</v>
      </c>
      <c r="E16" s="120" t="str">
        <f>IF($C16="","",IFERROR(VLOOKUP(SUBSTITUTE($C16,"~","~~"),'(참고1)_1일작업량'!$B:$E,2,0),""))</f>
        <v>㎡</v>
      </c>
      <c r="F16" s="122">
        <f>IF($C16="","",IFERROR(VLOOKUP(SUBSTITUTE($C16,"~","~~"),'(참고1)_1일작업량'!$B:$E,3,0),""))</f>
        <v>42</v>
      </c>
      <c r="G16" s="124">
        <v>4</v>
      </c>
      <c r="H16" s="122">
        <f t="shared" si="0"/>
        <v>168</v>
      </c>
      <c r="I16" s="126">
        <f t="shared" si="1"/>
        <v>22</v>
      </c>
      <c r="J16" s="128" t="s">
        <v>403</v>
      </c>
      <c r="K16" s="126">
        <f t="shared" si="2"/>
        <v>22</v>
      </c>
      <c r="L16" s="112" t="str">
        <f>IF($C16="","",IFERROR(IF(VLOOKUP(SUBSTITUTE($C16,"~","~~"),'(참고1)_1일작업량'!$B:$E,4,0)=0,"",VLOOKUP(SUBSTITUTE($C16,"~","~~"),'(참고1)_1일작업량'!$B:$E,4,0)),""))</f>
        <v>24mm이하/2회 쇠흙손, 미장공3·보통1</v>
      </c>
    </row>
    <row r="17" spans="1:12" ht="24.95" customHeight="1">
      <c r="A17" s="114">
        <f>IF(T_검토1안작업일수[[#This Row],[세부공종(B)]]="","",ROW()-ROW(T_검토1안작업일수[[#Headers],[순번]]))</f>
        <v>14</v>
      </c>
      <c r="B17" s="116" t="s">
        <v>251</v>
      </c>
      <c r="C17" s="116" t="s">
        <v>107</v>
      </c>
      <c r="D17" s="118">
        <f>160+57+624+172</f>
        <v>1013</v>
      </c>
      <c r="E17" s="120" t="str">
        <f>IF($C17="","",IFERROR(VLOOKUP(SUBSTITUTE($C17,"~","~~"),'(참고1)_1일작업량'!$B:$E,2,0),""))</f>
        <v>㎡</v>
      </c>
      <c r="F17" s="122">
        <f>IF($C17="","",IFERROR(VLOOKUP(SUBSTITUTE($C17,"~","~~"),'(참고1)_1일작업량'!$B:$E,3,0),""))</f>
        <v>17</v>
      </c>
      <c r="G17" s="124">
        <v>2</v>
      </c>
      <c r="H17" s="122">
        <f t="shared" si="0"/>
        <v>34</v>
      </c>
      <c r="I17" s="126">
        <f t="shared" si="1"/>
        <v>30</v>
      </c>
      <c r="J17" s="128" t="s">
        <v>403</v>
      </c>
      <c r="K17" s="126">
        <f t="shared" si="2"/>
        <v>30</v>
      </c>
      <c r="L17" s="112" t="str">
        <f>IF($C17="","",IFERROR(IF(VLOOKUP(SUBSTITUTE($C17,"~","~~"),'(참고1)_1일작업량'!$B:$E,4,0)=0,"",VLOOKUP(SUBSTITUTE($C17,"~","~~"),'(참고1)_1일작업량'!$B:$E,4,0)),""))</f>
        <v>연마기 면정리, 미장공3·견출1·보통1</v>
      </c>
    </row>
    <row r="18" spans="1:12" ht="24.95" customHeight="1">
      <c r="A18" s="114">
        <f>IF(T_검토1안작업일수[[#This Row],[세부공종(B)]]="","",ROW()-ROW(T_검토1안작업일수[[#Headers],[순번]]))</f>
        <v>15</v>
      </c>
      <c r="B18" s="116" t="s">
        <v>254</v>
      </c>
      <c r="C18" s="116" t="s">
        <v>114</v>
      </c>
      <c r="D18" s="118">
        <f>331+163+623+218</f>
        <v>1335</v>
      </c>
      <c r="E18" s="120" t="str">
        <f>IF($C18="","",IFERROR(VLOOKUP(SUBSTITUTE($C18,"~","~~"),'(참고1)_1일작업량'!$B:$E,2,0),""))</f>
        <v>㎡</v>
      </c>
      <c r="F18" s="122">
        <f>IF($C18="","",IFERROR(VLOOKUP(SUBSTITUTE($C18,"~","~~"),'(참고1)_1일작업량'!$B:$E,3,0),""))</f>
        <v>40</v>
      </c>
      <c r="G18" s="124">
        <v>2</v>
      </c>
      <c r="H18" s="122">
        <f t="shared" si="0"/>
        <v>80</v>
      </c>
      <c r="I18" s="126">
        <f t="shared" si="1"/>
        <v>17</v>
      </c>
      <c r="J18" s="128" t="s">
        <v>403</v>
      </c>
      <c r="K18" s="126">
        <f t="shared" si="2"/>
        <v>17</v>
      </c>
      <c r="L18" s="112" t="str">
        <f>IF($C18="","",IFERROR(IF(VLOOKUP(SUBSTITUTE($C18,"~","~~"),'(참고1)_1일작업량'!$B:$E,4,0)=0,"",VLOOKUP(SUBSTITUTE($C18,"~","~~"),'(참고1)_1일작업량'!$B:$E,4,0)),""))</f>
        <v>시멘트페이스트 1·2차 바닥, 방수공3·보통1</v>
      </c>
    </row>
    <row r="19" spans="1:12" ht="24.95" customHeight="1">
      <c r="A19" s="114">
        <f>IF(T_검토1안작업일수[[#This Row],[세부공종(B)]]="","",ROW()-ROW(T_검토1안작업일수[[#Headers],[순번]]))</f>
        <v>16</v>
      </c>
      <c r="B19" s="116" t="s">
        <v>254</v>
      </c>
      <c r="C19" s="116" t="s">
        <v>112</v>
      </c>
      <c r="D19" s="118">
        <f>669+764</f>
        <v>1433</v>
      </c>
      <c r="E19" s="120" t="str">
        <f>IF($C19="","",IFERROR(VLOOKUP(SUBSTITUTE($C19,"~","~~"),'(참고1)_1일작업량'!$B:$E,2,0),""))</f>
        <v>㎡</v>
      </c>
      <c r="F19" s="122">
        <f>IF($C19="","",IFERROR(VLOOKUP(SUBSTITUTE($C19,"~","~~"),'(참고1)_1일작업량'!$B:$E,3,0),""))</f>
        <v>200</v>
      </c>
      <c r="G19" s="124">
        <v>1</v>
      </c>
      <c r="H19" s="122">
        <f t="shared" si="0"/>
        <v>200</v>
      </c>
      <c r="I19" s="126">
        <f t="shared" si="1"/>
        <v>8</v>
      </c>
      <c r="J19" s="128" t="s">
        <v>403</v>
      </c>
      <c r="K19" s="126">
        <f t="shared" si="2"/>
        <v>8</v>
      </c>
      <c r="L19" s="112" t="str">
        <f>IF($C19="","",IFERROR(IF(VLOOKUP(SUBSTITUTE($C19,"~","~~"),'(참고1)_1일작업량'!$B:$E,4,0)=0,"",VLOOKUP(SUBSTITUTE($C19,"~","~~"),'(참고1)_1일작업량'!$B:$E,4,0)),""))</f>
        <v>도막 1회 바닥, 방수공3·보통1</v>
      </c>
    </row>
    <row r="20" spans="1:12" ht="24.95" customHeight="1">
      <c r="A20" s="114">
        <f>IF(T_검토1안작업일수[[#This Row],[세부공종(B)]]="","",ROW()-ROW(T_검토1안작업일수[[#Headers],[순번]]))</f>
        <v>17</v>
      </c>
      <c r="B20" s="116" t="s">
        <v>257</v>
      </c>
      <c r="C20" s="116" t="s">
        <v>333</v>
      </c>
      <c r="D20" s="118">
        <f>166+133</f>
        <v>299</v>
      </c>
      <c r="E20" s="120" t="str">
        <f>IF($C20="","",IFERROR(VLOOKUP(SUBSTITUTE($C20,"~","~~"),'(참고1)_1일작업량'!$B:$E,2,0),""))</f>
        <v>㎡</v>
      </c>
      <c r="F20" s="122">
        <f>IF($C20="","",IFERROR(VLOOKUP(SUBSTITUTE($C20,"~","~~"),'(참고1)_1일작업량'!$B:$E,3,0),""))</f>
        <v>27</v>
      </c>
      <c r="G20" s="124">
        <v>1</v>
      </c>
      <c r="H20" s="122">
        <f t="shared" si="0"/>
        <v>27</v>
      </c>
      <c r="I20" s="126">
        <f t="shared" si="1"/>
        <v>12</v>
      </c>
      <c r="J20" s="128" t="s">
        <v>403</v>
      </c>
      <c r="K20" s="126">
        <f t="shared" si="2"/>
        <v>12</v>
      </c>
      <c r="L20" s="112" t="str">
        <f>IF($C20="","",IFERROR(IF(VLOOKUP(SUBSTITUTE($C20,"~","~~"),'(참고1)_1일작업량'!$B:$E,4,0)=0,"",VLOOKUP(SUBSTITUTE($C20,"~","~~"),'(참고1)_1일작업량'!$B:$E,4,0)),""))</f>
        <v>0.11~0.20㎡ 바닥, 타일공3·보통1·줄눈1</v>
      </c>
    </row>
    <row r="21" spans="1:12" ht="24.95" customHeight="1">
      <c r="A21" s="114">
        <f>IF(T_검토1안작업일수[[#This Row],[세부공종(B)]]="","",ROW()-ROW(T_검토1안작업일수[[#Headers],[순번]]))</f>
        <v>18</v>
      </c>
      <c r="B21" s="116" t="s">
        <v>257</v>
      </c>
      <c r="C21" s="116" t="s">
        <v>331</v>
      </c>
      <c r="D21" s="118">
        <f>280+382</f>
        <v>662</v>
      </c>
      <c r="E21" s="120" t="str">
        <f>IF($C21="","",IFERROR(VLOOKUP(SUBSTITUTE($C21,"~","~~"),'(참고1)_1일작업량'!$B:$E,2,0),""))</f>
        <v>㎡</v>
      </c>
      <c r="F21" s="122">
        <f>IF($C21="","",IFERROR(VLOOKUP(SUBSTITUTE($C21,"~","~~"),'(참고1)_1일작업량'!$B:$E,3,0),""))</f>
        <v>21</v>
      </c>
      <c r="G21" s="124">
        <v>2</v>
      </c>
      <c r="H21" s="122">
        <f t="shared" si="0"/>
        <v>42</v>
      </c>
      <c r="I21" s="126">
        <f t="shared" si="1"/>
        <v>16</v>
      </c>
      <c r="J21" s="128" t="s">
        <v>403</v>
      </c>
      <c r="K21" s="126">
        <f t="shared" si="2"/>
        <v>16</v>
      </c>
      <c r="L21" s="112" t="str">
        <f>IF($C21="","",IFERROR(IF(VLOOKUP(SUBSTITUTE($C21,"~","~~"),'(참고1)_1일작업량'!$B:$E,4,0)=0,"",VLOOKUP(SUBSTITUTE($C21,"~","~~"),'(참고1)_1일작업량'!$B:$E,4,0)),""))</f>
        <v>0.11~0.20㎡ 벽면, 타일공3·보통1·줄눈1</v>
      </c>
    </row>
    <row r="22" spans="1:12" ht="24.95" customHeight="1">
      <c r="A22" s="114">
        <f>IF(T_검토1안작업일수[[#This Row],[세부공종(B)]]="","",ROW()-ROW(T_검토1안작업일수[[#Headers],[순번]]))</f>
        <v>19</v>
      </c>
      <c r="B22" s="116" t="s">
        <v>260</v>
      </c>
      <c r="C22" s="116" t="s">
        <v>120</v>
      </c>
      <c r="D22" s="118">
        <f>24+312+101+8+95+263+22+16</f>
        <v>841</v>
      </c>
      <c r="E22" s="120" t="str">
        <f>IF($C22="","",IFERROR(VLOOKUP(SUBSTITUTE($C22,"~","~~"),'(참고1)_1일작업량'!$B:$E,2,0),""))</f>
        <v>㎡</v>
      </c>
      <c r="F22" s="122">
        <f>IF($C22="","",IFERROR(VLOOKUP(SUBSTITUTE($C22,"~","~~"),'(참고1)_1일작업량'!$B:$E,3,0),""))</f>
        <v>42</v>
      </c>
      <c r="G22" s="124">
        <v>1</v>
      </c>
      <c r="H22" s="122">
        <f t="shared" si="0"/>
        <v>42</v>
      </c>
      <c r="I22" s="126">
        <f t="shared" si="1"/>
        <v>21</v>
      </c>
      <c r="J22" s="128" t="s">
        <v>403</v>
      </c>
      <c r="K22" s="126">
        <f t="shared" si="2"/>
        <v>21</v>
      </c>
      <c r="L22" s="112" t="str">
        <f>IF($C22="","",IFERROR(IF(VLOOKUP(SUBSTITUTE($C22,"~","~~"),'(참고1)_1일작업량'!$B:$E,4,0)=0,"",VLOOKUP(SUBSTITUTE($C22,"~","~~"),'(참고1)_1일작업량'!$B:$E,4,0)),""))</f>
        <v>복층유리 18mm이하, 유리공5·보통1</v>
      </c>
    </row>
    <row r="23" spans="1:12" ht="24.95" customHeight="1">
      <c r="A23" s="114">
        <f>IF(T_검토1안작업일수[[#This Row],[세부공종(B)]]="","",ROW()-ROW(T_검토1안작업일수[[#Headers],[순번]]))</f>
        <v>20</v>
      </c>
      <c r="B23" s="116" t="s">
        <v>263</v>
      </c>
      <c r="C23" s="116" t="s">
        <v>116</v>
      </c>
      <c r="D23" s="118">
        <f>541+4+5+11+529+147+4+5+31+163+31</f>
        <v>1471</v>
      </c>
      <c r="E23" s="120" t="str">
        <f>IF($C23="","",IFERROR(VLOOKUP(SUBSTITUTE($C23,"~","~~"),'(참고1)_1일작업량'!$B:$E,2,0),""))</f>
        <v>㎡</v>
      </c>
      <c r="F23" s="122">
        <f>IF($C23="","",IFERROR(VLOOKUP(SUBSTITUTE($C23,"~","~~"),'(참고1)_1일작업량'!$B:$E,3,0),""))</f>
        <v>20</v>
      </c>
      <c r="G23" s="124">
        <v>4</v>
      </c>
      <c r="H23" s="122">
        <f t="shared" si="0"/>
        <v>80</v>
      </c>
      <c r="I23" s="126">
        <f t="shared" si="1"/>
        <v>19</v>
      </c>
      <c r="J23" s="128" t="s">
        <v>403</v>
      </c>
      <c r="K23" s="126">
        <f t="shared" si="2"/>
        <v>19</v>
      </c>
      <c r="L23" s="112" t="str">
        <f>IF($C23="","",IFERROR(IF(VLOOKUP(SUBSTITUTE($C23,"~","~~"),'(참고1)_1일작업량'!$B:$E,4,0)=0,"",VLOOKUP(SUBSTITUTE($C23,"~","~~"),'(참고1)_1일작업량'!$B:$E,4,0)),""))</f>
        <v>틀간격450~600mm, 건축목공2·보통1</v>
      </c>
    </row>
    <row r="24" spans="1:12" ht="24.95" customHeight="1">
      <c r="A24" s="114">
        <f>IF(T_검토1안작업일수[[#This Row],[세부공종(B)]]="","",ROW()-ROW(T_검토1안작업일수[[#Headers],[순번]]))</f>
        <v>21</v>
      </c>
      <c r="B24" s="116" t="s">
        <v>263</v>
      </c>
      <c r="C24" s="116" t="s">
        <v>451</v>
      </c>
      <c r="D24" s="118">
        <v>156</v>
      </c>
      <c r="E24" s="120" t="str">
        <f>IF($C24="","",IFERROR(VLOOKUP(SUBSTITUTE($C24,"~","~~"),'(참고1)_1일작업량'!$B:$E,2,0),""))</f>
        <v>ton</v>
      </c>
      <c r="F24" s="122">
        <f>IF($C24="","",IFERROR(VLOOKUP(SUBSTITUTE($C24,"~","~~"),'(참고1)_1일작업량'!$B:$E,3,0),""))</f>
        <v>0.9</v>
      </c>
      <c r="G24" s="124">
        <v>1</v>
      </c>
      <c r="H24" s="122">
        <f t="shared" si="0"/>
        <v>0.9</v>
      </c>
      <c r="I24" s="126">
        <f>IF(OR($C24="",$F24=""),"",$F24)</f>
        <v>0.9</v>
      </c>
      <c r="J24" s="128" t="s">
        <v>403</v>
      </c>
      <c r="K24" s="126">
        <f>IF($I24="","",IF($J24="Y",$I24,0))</f>
        <v>0.9</v>
      </c>
      <c r="L24" s="112" t="str">
        <f>IF($C24="","",IFERROR(IF(VLOOKUP(SUBSTITUTE($C24,"~","~~"),'(참고1)_1일작업량'!$B:$E,4,0)=0,"",VLOOKUP(SUBSTITUTE($C24,"~","~~"),'(참고1)_1일작업량'!$B:$E,4,0)),""))</f>
        <v>각관·형강 평구조, 철공8·용접공1·보통4</v>
      </c>
    </row>
    <row r="25" spans="1:12" ht="24.95" customHeight="1">
      <c r="A25" s="114">
        <f>IF(T_검토1안작업일수[[#This Row],[세부공종(B)]]="","",ROW()-ROW(T_검토1안작업일수[[#Headers],[순번]]))</f>
        <v>22</v>
      </c>
      <c r="B25" s="116" t="s">
        <v>263</v>
      </c>
      <c r="C25" s="116" t="s">
        <v>115</v>
      </c>
      <c r="D25" s="118">
        <v>156</v>
      </c>
      <c r="E25" s="120" t="str">
        <f>IF($C25="","",IFERROR(VLOOKUP(SUBSTITUTE($C25,"~","~~"),'(참고1)_1일작업량'!$B:$E,2,0),""))</f>
        <v>㎡</v>
      </c>
      <c r="F25" s="122">
        <f>IF($C25="","",IFERROR(VLOOKUP(SUBSTITUTE($C25,"~","~~"),'(참고1)_1일작업량'!$B:$E,3,0),""))</f>
        <v>17</v>
      </c>
      <c r="G25" s="124">
        <v>1</v>
      </c>
      <c r="H25" s="122">
        <f t="shared" si="0"/>
        <v>17</v>
      </c>
      <c r="I25" s="126">
        <f t="shared" si="1"/>
        <v>10</v>
      </c>
      <c r="J25" s="128" t="s">
        <v>403</v>
      </c>
      <c r="K25" s="126">
        <f t="shared" si="2"/>
        <v>10</v>
      </c>
      <c r="L25" s="112" t="str">
        <f>IF($C25="","",IFERROR(IF(VLOOKUP(SUBSTITUTE($C25,"~","~~"),'(참고1)_1일작업량'!$B:$E,4,0)=0,"",VLOOKUP(SUBSTITUTE($C25,"~","~~"),'(참고1)_1일작업량'!$B:$E,4,0)),""))</f>
        <v>볼트고정 평구조, 건축목공3·보통1</v>
      </c>
    </row>
    <row r="26" spans="1:12" ht="24.95" customHeight="1">
      <c r="A26" s="114">
        <f>IF(T_검토1안작업일수[[#This Row],[세부공종(B)]]="","",ROW()-ROW(T_검토1안작업일수[[#Headers],[순번]]))</f>
        <v>23</v>
      </c>
      <c r="B26" s="116" t="s">
        <v>263</v>
      </c>
      <c r="C26" s="116" t="s">
        <v>126</v>
      </c>
      <c r="D26" s="118">
        <f>321+190</f>
        <v>511</v>
      </c>
      <c r="E26" s="120" t="str">
        <f>IF($C26="","",IFERROR(VLOOKUP(SUBSTITUTE($C26,"~","~~"),'(참고1)_1일작업량'!$B:$E,2,0),""))</f>
        <v>㎡</v>
      </c>
      <c r="F26" s="122">
        <f>IF($C26="","",IFERROR(VLOOKUP(SUBSTITUTE($C26,"~","~~"),'(참고1)_1일작업량'!$B:$E,3,0),""))</f>
        <v>45</v>
      </c>
      <c r="G26" s="124">
        <v>1</v>
      </c>
      <c r="H26" s="122">
        <f t="shared" si="0"/>
        <v>45</v>
      </c>
      <c r="I26" s="126">
        <f t="shared" si="1"/>
        <v>12</v>
      </c>
      <c r="J26" s="128" t="s">
        <v>403</v>
      </c>
      <c r="K26" s="126">
        <f t="shared" si="2"/>
        <v>12</v>
      </c>
      <c r="L26" s="112" t="str">
        <f>IF($C26="","",IFERROR(IF(VLOOKUP(SUBSTITUTE($C26,"~","~~"),'(참고1)_1일작업량'!$B:$E,4,0)=0,"",VLOOKUP(SUBSTITUTE($C26,"~","~~"),'(참고1)_1일작업량'!$B:$E,4,0)),""))</f>
        <v>나사고정 천장1겹, 내장공2·보통1</v>
      </c>
    </row>
    <row r="27" spans="1:12" ht="24.95" customHeight="1">
      <c r="A27" s="114">
        <f>IF(T_검토1안작업일수[[#This Row],[세부공종(B)]]="","",ROW()-ROW(T_검토1안작업일수[[#Headers],[순번]]))</f>
        <v>24</v>
      </c>
      <c r="B27" s="116" t="s">
        <v>269</v>
      </c>
      <c r="C27" s="116" t="s">
        <v>353</v>
      </c>
      <c r="D27" s="118">
        <f>754+2547</f>
        <v>3301</v>
      </c>
      <c r="E27" s="120" t="str">
        <f>IF($C27="","",IFERROR(VLOOKUP(SUBSTITUTE($C27,"~","~~"),'(참고1)_1일작업량'!$B:$E,2,0),""))</f>
        <v>㎡</v>
      </c>
      <c r="F27" s="122">
        <f>IF($C27="","",IFERROR(VLOOKUP(SUBSTITUTE($C27,"~","~~"),'(참고1)_1일작업량'!$B:$E,3,0),""))</f>
        <v>40</v>
      </c>
      <c r="G27" s="124">
        <v>3</v>
      </c>
      <c r="H27" s="122">
        <f t="shared" si="0"/>
        <v>120</v>
      </c>
      <c r="I27" s="126">
        <f t="shared" si="1"/>
        <v>28</v>
      </c>
      <c r="J27" s="128" t="s">
        <v>403</v>
      </c>
      <c r="K27" s="126">
        <f t="shared" si="2"/>
        <v>28</v>
      </c>
      <c r="L27" s="112" t="str">
        <f>IF($C27="","",IFERROR(IF(VLOOKUP(SUBSTITUTE($C27,"~","~~"),'(참고1)_1일작업량'!$B:$E,4,0)=0,"",VLOOKUP(SUBSTITUTE($C27,"~","~~"),'(참고1)_1일작업량'!$B:$E,4,0)),""))</f>
        <v>PVC계 타일형, 내장공2·보통1</v>
      </c>
    </row>
    <row r="28" spans="1:12" ht="24.95" customHeight="1">
      <c r="A28" s="114">
        <f>IF(T_검토1안작업일수[[#This Row],[세부공종(B)]]="","",ROW()-ROW(T_검토1안작업일수[[#Headers],[순번]]))</f>
        <v>25</v>
      </c>
      <c r="B28" s="116" t="s">
        <v>269</v>
      </c>
      <c r="C28" s="116" t="s">
        <v>357</v>
      </c>
      <c r="D28" s="118">
        <f>23+47</f>
        <v>70</v>
      </c>
      <c r="E28" s="120" t="str">
        <f>IF($C28="","",IFERROR(VLOOKUP(SUBSTITUTE($C28,"~","~~"),'(참고1)_1일작업량'!$B:$E,2,0),""))</f>
        <v>㎡</v>
      </c>
      <c r="F28" s="122">
        <f>IF($C28="","",IFERROR(VLOOKUP(SUBSTITUTE($C28,"~","~~"),'(참고1)_1일작업량'!$B:$E,3,0),""))</f>
        <v>50</v>
      </c>
      <c r="G28" s="124">
        <v>1</v>
      </c>
      <c r="H28" s="122">
        <f t="shared" si="0"/>
        <v>50</v>
      </c>
      <c r="I28" s="126">
        <f t="shared" si="1"/>
        <v>2</v>
      </c>
      <c r="J28" s="128" t="s">
        <v>403</v>
      </c>
      <c r="K28" s="126">
        <f t="shared" si="2"/>
        <v>2</v>
      </c>
      <c r="L28" s="112" t="str">
        <f>IF($C28="","",IFERROR(IF(VLOOKUP(SUBSTITUTE($C28,"~","~~"),'(참고1)_1일작업량'!$B:$E,4,0)=0,"",VLOOKUP(SUBSTITUTE($C28,"~","~~"),'(참고1)_1일작업량'!$B:$E,4,0)),""))</f>
        <v>플로어링 마루, 내장공2·보통1</v>
      </c>
    </row>
    <row r="29" spans="1:12" ht="24.95" customHeight="1">
      <c r="A29" s="114">
        <f>IF(T_검토1안작업일수[[#This Row],[세부공종(B)]]="","",ROW()-ROW(T_검토1안작업일수[[#Headers],[순번]]))</f>
        <v>26</v>
      </c>
      <c r="B29" s="116" t="s">
        <v>271</v>
      </c>
      <c r="C29" s="116" t="s">
        <v>367</v>
      </c>
      <c r="D29" s="118">
        <f>316+122+263+112+38+52+31+25</f>
        <v>959</v>
      </c>
      <c r="E29" s="120" t="str">
        <f>IF($C29="","",IFERROR(VLOOKUP(SUBSTITUTE($C29,"~","~~"),'(참고1)_1일작업량'!$B:$E,2,0),""))</f>
        <v>m</v>
      </c>
      <c r="F29" s="122">
        <f>IF($C29="","",IFERROR(VLOOKUP(SUBSTITUTE($C29,"~","~~"),'(참고1)_1일작업량'!$B:$E,3,0),""))</f>
        <v>25.3</v>
      </c>
      <c r="G29" s="124">
        <v>2</v>
      </c>
      <c r="H29" s="122">
        <f>IF(OR($F29="",$G29=""),"",$F29*$G29)</f>
        <v>50.6</v>
      </c>
      <c r="I29" s="126">
        <f>IF(OR($H29="",$H29=0,$D29=""),"",ROUNDUP($D29/$H29,0))</f>
        <v>19</v>
      </c>
      <c r="J29" s="128" t="s">
        <v>403</v>
      </c>
      <c r="K29" s="126">
        <f>IF($I29="","",IF($J29="Y",$I29,0))</f>
        <v>19</v>
      </c>
      <c r="L29" s="112" t="str">
        <f>IF($C29="","",IFERROR(IF(VLOOKUP(SUBSTITUTE($C29,"~","~~"),'(참고1)_1일작업량'!$B:$E,4,0)=0,"",VLOOKUP(SUBSTITUTE($C29,"~","~~"),'(참고1)_1일작업량'!$B:$E,4,0)),""))</f>
        <v>TIG용접, 배관공2·용접1·보통1</v>
      </c>
    </row>
    <row r="30" spans="1:12" ht="24.95" customHeight="1">
      <c r="A30" s="114">
        <f>IF(T_검토1안작업일수[[#This Row],[세부공종(B)]]="","",ROW()-ROW(T_검토1안작업일수[[#Headers],[순번]]))</f>
        <v>27</v>
      </c>
      <c r="B30" s="116" t="s">
        <v>274</v>
      </c>
      <c r="C30" s="116" t="s">
        <v>382</v>
      </c>
      <c r="D30" s="118">
        <v>100</v>
      </c>
      <c r="E30" s="120" t="str">
        <f>IF($C30="","",IFERROR(VLOOKUP(SUBSTITUTE($C30,"~","~~"),'(참고1)_1일작업량'!$B:$E,2,0),""))</f>
        <v>주</v>
      </c>
      <c r="F30" s="122">
        <f>IF($C30="","",IFERROR(VLOOKUP(SUBSTITUTE($C30,"~","~~"),'(참고1)_1일작업량'!$B:$E,3,0),""))</f>
        <v>17</v>
      </c>
      <c r="G30" s="124">
        <v>1</v>
      </c>
      <c r="H30" s="122">
        <f>IF(OR($F30="",$G30=""),"",$F30*$G30)</f>
        <v>17</v>
      </c>
      <c r="I30" s="126">
        <f>IF(OR($H30="",$H30=0,$D30=""),"",ROUNDUP($D30/$H30,0))</f>
        <v>6</v>
      </c>
      <c r="J30" s="128" t="s">
        <v>403</v>
      </c>
      <c r="K30" s="126">
        <f>IF($I30="","",IF($J30="Y",$I30,0))</f>
        <v>6</v>
      </c>
      <c r="L30" s="112" t="str">
        <f>IF($C30="","",IFERROR(IF(VLOOKUP(SUBSTITUTE($C30,"~","~~"),'(참고1)_1일작업량'!$B:$E,4,0)=0,"",VLOOKUP(SUBSTITUTE($C30,"~","~~"),'(참고1)_1일작업량'!$B:$E,4,0)),""))</f>
        <v>근원9~11, 조경공3·보통1·굴삭기0.4</v>
      </c>
    </row>
    <row r="31" spans="1:12" ht="24.95" customHeight="1">
      <c r="A31" s="114" t="str">
        <f>IF(T_검토1안작업일수[[#This Row],[세부공종(B)]]="","",ROW()-ROW(T_검토1안작업일수[[#Headers],[순번]]))</f>
        <v/>
      </c>
      <c r="B31" s="116"/>
      <c r="C31" s="116"/>
      <c r="D31" s="118"/>
      <c r="E31" s="120" t="str">
        <f>IF($C31="","",IFERROR(VLOOKUP(SUBSTITUTE($C31,"~","~~"),'(참고1)_1일작업량'!$B:$E,2,0),""))</f>
        <v/>
      </c>
      <c r="F31" s="122" t="str">
        <f>IF($C31="","",IFERROR(VLOOKUP(SUBSTITUTE($C31,"~","~~"),'(참고1)_1일작업량'!$B:$E,3,0),""))</f>
        <v/>
      </c>
      <c r="G31" s="124">
        <v>1</v>
      </c>
      <c r="H31" s="122" t="str">
        <f>IF(OR($F31="",$G31=""),"",$F31*$G31)</f>
        <v/>
      </c>
      <c r="I31" s="126" t="str">
        <f>IF(OR($H31="",$H31=0,$D31=""),"",ROUNDUP($D31/$H31,0))</f>
        <v/>
      </c>
      <c r="J31" s="128"/>
      <c r="K31" s="126" t="str">
        <f>IF($I31="","",IF($J31="Y",$I31,0))</f>
        <v/>
      </c>
      <c r="L31" s="112" t="str">
        <f>IF($C31="","",IFERROR(IF(VLOOKUP(SUBSTITUTE($C31,"~","~~"),'(참고1)_1일작업량'!$B:$E,4,0)=0,"",VLOOKUP(SUBSTITUTE($C31,"~","~~"),'(참고1)_1일작업량'!$B:$E,4,0)),""))</f>
        <v/>
      </c>
    </row>
    <row r="32" spans="1:12" ht="24.95" customHeight="1">
      <c r="A32" s="115" t="str">
        <f>IF(T_검토1안작업일수[[#This Row],[세부공종(B)]]="","",ROW()-ROW(T_검토1안작업일수[[#Headers],[순번]]))</f>
        <v/>
      </c>
      <c r="B32" s="117"/>
      <c r="C32" s="117"/>
      <c r="D32" s="119"/>
      <c r="E32" s="121" t="str">
        <f>IF($C32="","",IFERROR(VLOOKUP(SUBSTITUTE($C32,"~","~~"),'(참고1)_1일작업량'!$B:$E,2,0),""))</f>
        <v/>
      </c>
      <c r="F32" s="123" t="str">
        <f>IF($C32="","",IFERROR(VLOOKUP(SUBSTITUTE($C32,"~","~~"),'(참고1)_1일작업량'!$B:$E,3,0),""))</f>
        <v/>
      </c>
      <c r="G32" s="125"/>
      <c r="H32" s="123" t="str">
        <f>IF(OR($F32="",$G32=""),"",$F32*$G32)</f>
        <v/>
      </c>
      <c r="I32" s="127" t="str">
        <f>IF(OR($H32="",$H32=0,$D32=""),"",ROUNDUP($D32/$H32,0))</f>
        <v/>
      </c>
      <c r="J32" s="129"/>
      <c r="K32" s="127" t="str">
        <f>IF($I32="","",IF($J32="Y",$I32,0))</f>
        <v/>
      </c>
      <c r="L32" s="113" t="str">
        <f>IF($C32="","",IFERROR(IF(VLOOKUP(SUBSTITUTE($C32,"~","~~"),'(참고1)_1일작업량'!$B:$E,4,0)=0,"",VLOOKUP(SUBSTITUTE($C32,"~","~~"),'(참고1)_1일작업량'!$B:$E,4,0)),""))</f>
        <v/>
      </c>
    </row>
    <row r="33" spans="1:12" ht="24.95" customHeight="1" thickBot="1">
      <c r="A33" s="246" t="s">
        <v>550</v>
      </c>
      <c r="B33" s="247"/>
      <c r="C33" s="247"/>
      <c r="D33" s="247"/>
      <c r="E33" s="247"/>
      <c r="F33" s="247"/>
      <c r="G33" s="247"/>
      <c r="H33" s="247"/>
      <c r="I33" s="247"/>
      <c r="J33" s="247"/>
      <c r="K33" s="130">
        <f>SUM(T_검토1안작업일수[CP반영
일수])</f>
        <v>398.9</v>
      </c>
      <c r="L33" s="131"/>
    </row>
    <row r="34" spans="1:12" ht="21.75" customHeight="1">
      <c r="A34" s="248" t="s">
        <v>543</v>
      </c>
      <c r="B34" s="249"/>
      <c r="C34" s="249"/>
      <c r="D34" s="249"/>
      <c r="E34" s="249"/>
      <c r="F34" s="249"/>
      <c r="G34" s="249"/>
      <c r="H34" s="249"/>
      <c r="I34" s="249"/>
      <c r="J34" s="249"/>
      <c r="K34" s="249"/>
      <c r="L34" s="250"/>
    </row>
    <row r="35" spans="1:12" ht="29.25" customHeight="1">
      <c r="A35" s="251"/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3"/>
    </row>
    <row r="36" spans="1:12" ht="19.5" customHeight="1">
      <c r="A36" s="251"/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3"/>
    </row>
    <row r="37" spans="1:12" ht="13.5" customHeight="1">
      <c r="A37" s="254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6"/>
    </row>
    <row r="38" spans="1:12" ht="23.25" customHeight="1" thickBot="1">
      <c r="A38" s="234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</row>
    <row r="39" spans="1:12" ht="24.95" customHeight="1" thickBot="1">
      <c r="A39" s="453" t="s">
        <v>551</v>
      </c>
      <c r="B39" s="454"/>
      <c r="C39" s="454"/>
      <c r="D39" s="454"/>
      <c r="E39" s="454"/>
      <c r="F39" s="454"/>
      <c r="G39" s="454"/>
      <c r="H39" s="454"/>
      <c r="I39" s="454"/>
      <c r="J39" s="454"/>
      <c r="K39" s="454"/>
      <c r="L39" s="455"/>
    </row>
    <row r="40" spans="1:12" ht="24.95" customHeight="1">
      <c r="A40" s="243" t="s">
        <v>4</v>
      </c>
      <c r="B40" s="241"/>
      <c r="C40" s="241" t="s">
        <v>5</v>
      </c>
      <c r="D40" s="241"/>
      <c r="E40" s="241"/>
      <c r="F40" s="241"/>
      <c r="G40" s="241" t="s">
        <v>51</v>
      </c>
      <c r="H40" s="241"/>
      <c r="I40" s="241" t="s">
        <v>52</v>
      </c>
      <c r="J40" s="241"/>
      <c r="K40" s="241" t="s">
        <v>6</v>
      </c>
      <c r="L40" s="242"/>
    </row>
    <row r="41" spans="1:12" ht="24.95" customHeight="1">
      <c r="A41" s="456" t="s">
        <v>7</v>
      </c>
      <c r="B41" s="457"/>
      <c r="C41" s="458" t="s">
        <v>468</v>
      </c>
      <c r="D41" s="458"/>
      <c r="E41" s="458"/>
      <c r="F41" s="458"/>
      <c r="G41" s="237">
        <f>부록1_준비·정리기간!C5</f>
        <v>60</v>
      </c>
      <c r="H41" s="237"/>
      <c r="I41" s="459">
        <f>IF($G$45=0,"",G41/$G$45)</f>
        <v>9.8863074641621362E-2</v>
      </c>
      <c r="J41" s="459"/>
      <c r="K41" s="235" t="s">
        <v>735</v>
      </c>
      <c r="L41" s="236"/>
    </row>
    <row r="42" spans="1:12" ht="24.95" customHeight="1">
      <c r="A42" s="456" t="s">
        <v>8</v>
      </c>
      <c r="B42" s="457"/>
      <c r="C42" s="458" t="s">
        <v>53</v>
      </c>
      <c r="D42" s="458"/>
      <c r="E42" s="458"/>
      <c r="F42" s="458"/>
      <c r="G42" s="237">
        <f>'부록3 비작업일수'!N55</f>
        <v>118</v>
      </c>
      <c r="H42" s="237"/>
      <c r="I42" s="459">
        <f>IF($G$45=0,"",G42/$G$45)</f>
        <v>0.19443071346185534</v>
      </c>
      <c r="J42" s="459"/>
      <c r="K42" s="235" t="s">
        <v>736</v>
      </c>
      <c r="L42" s="236"/>
    </row>
    <row r="43" spans="1:12" ht="24.95" customHeight="1">
      <c r="A43" s="456" t="s">
        <v>471</v>
      </c>
      <c r="B43" s="457"/>
      <c r="C43" s="458" t="s">
        <v>472</v>
      </c>
      <c r="D43" s="458"/>
      <c r="E43" s="458"/>
      <c r="F43" s="458"/>
      <c r="G43" s="237">
        <f>K33</f>
        <v>398.9</v>
      </c>
      <c r="H43" s="237"/>
      <c r="I43" s="459">
        <f>IF($G$45=0,"",G43/$G$45)</f>
        <v>0.65727467457571265</v>
      </c>
      <c r="J43" s="459"/>
      <c r="K43" s="235" t="s">
        <v>552</v>
      </c>
      <c r="L43" s="236"/>
    </row>
    <row r="44" spans="1:12" ht="24.95" customHeight="1">
      <c r="A44" s="456" t="s">
        <v>10</v>
      </c>
      <c r="B44" s="457"/>
      <c r="C44" s="458" t="s">
        <v>470</v>
      </c>
      <c r="D44" s="458"/>
      <c r="E44" s="458"/>
      <c r="F44" s="458"/>
      <c r="G44" s="237">
        <f>부록1_준비·정리기간!C10</f>
        <v>30</v>
      </c>
      <c r="H44" s="237"/>
      <c r="I44" s="459">
        <f>IF($G$45=0,"",G44/$G$45)</f>
        <v>4.9431537320810681E-2</v>
      </c>
      <c r="J44" s="459"/>
      <c r="K44" s="235" t="s">
        <v>737</v>
      </c>
      <c r="L44" s="236"/>
    </row>
    <row r="45" spans="1:12" ht="24.95" customHeight="1" thickBot="1">
      <c r="A45" s="460" t="s">
        <v>473</v>
      </c>
      <c r="B45" s="461"/>
      <c r="C45" s="461"/>
      <c r="D45" s="461"/>
      <c r="E45" s="461"/>
      <c r="F45" s="461"/>
      <c r="G45" s="462">
        <f>G41+G42+G43+G44</f>
        <v>606.9</v>
      </c>
      <c r="H45" s="462"/>
      <c r="I45" s="463">
        <f>ROUND(G45/30,1)</f>
        <v>20.2</v>
      </c>
      <c r="J45" s="463"/>
      <c r="K45" s="464" t="s">
        <v>474</v>
      </c>
      <c r="L45" s="465"/>
    </row>
    <row r="47" spans="1:12" ht="24.95" customHeight="1">
      <c r="A47" s="238" t="s">
        <v>404</v>
      </c>
      <c r="B47" s="239"/>
      <c r="C47" s="239"/>
      <c r="D47" s="239"/>
      <c r="E47" s="239"/>
      <c r="F47" s="239"/>
      <c r="G47" s="239"/>
      <c r="H47" s="239"/>
      <c r="I47" s="239"/>
      <c r="J47" s="239"/>
      <c r="K47" s="239"/>
      <c r="L47" s="240"/>
    </row>
    <row r="48" spans="1:12" ht="153" customHeight="1">
      <c r="A48" s="231" t="s">
        <v>542</v>
      </c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3"/>
    </row>
  </sheetData>
  <mergeCells count="37">
    <mergeCell ref="A1:L1"/>
    <mergeCell ref="A2:L2"/>
    <mergeCell ref="A33:J33"/>
    <mergeCell ref="A34:L37"/>
    <mergeCell ref="A39:L39"/>
    <mergeCell ref="A40:B40"/>
    <mergeCell ref="A41:B41"/>
    <mergeCell ref="A42:B42"/>
    <mergeCell ref="C40:F40"/>
    <mergeCell ref="G40:H40"/>
    <mergeCell ref="I40:J40"/>
    <mergeCell ref="K40:L40"/>
    <mergeCell ref="C41:F41"/>
    <mergeCell ref="G41:H41"/>
    <mergeCell ref="I41:J41"/>
    <mergeCell ref="K44:L44"/>
    <mergeCell ref="C42:F42"/>
    <mergeCell ref="G42:H42"/>
    <mergeCell ref="I42:J42"/>
    <mergeCell ref="A47:L47"/>
    <mergeCell ref="K42:L42"/>
    <mergeCell ref="A48:L48"/>
    <mergeCell ref="A38:L38"/>
    <mergeCell ref="A43:B43"/>
    <mergeCell ref="A44:B44"/>
    <mergeCell ref="A45:F45"/>
    <mergeCell ref="G45:H45"/>
    <mergeCell ref="I45:J45"/>
    <mergeCell ref="K41:L41"/>
    <mergeCell ref="K45:L45"/>
    <mergeCell ref="C43:F43"/>
    <mergeCell ref="G43:H43"/>
    <mergeCell ref="I43:J43"/>
    <mergeCell ref="K43:L43"/>
    <mergeCell ref="C44:F44"/>
    <mergeCell ref="G44:H44"/>
    <mergeCell ref="I44:J44"/>
  </mergeCells>
  <phoneticPr fontId="5" type="noConversion"/>
  <dataValidations count="3">
    <dataValidation type="list" allowBlank="1" showInputMessage="1" promptTitle="주공정(CP) 선택" prompt="Y=주공정(순작업 반영) / N=병행공종(제외)" sqref="J4:J32" xr:uid="{64C4EBEE-7662-453C-A931-5CDFB4082E55}">
      <formula1>"Y,N"</formula1>
    </dataValidation>
    <dataValidation type="whole" operator="greaterThanOrEqual" allowBlank="1" showInputMessage="1" showErrorMessage="1" errorTitle="입력 오류" error="물량은 0 이상의 정수(자연수)만 입력할 수 있습니다." promptTitle="물량 입력" prompt="정수로만 입력하세요 (소수 불가)." sqref="D4:D32" xr:uid="{774B93B8-1049-46F6-84CE-5D36303976CD}">
      <formula1>0</formula1>
    </dataValidation>
    <dataValidation type="list" allowBlank="1" showInputMessage="1" showErrorMessage="1" sqref="B4:B32" xr:uid="{98D4F7A1-A7D1-4476-8413-1147830BCB85}">
      <formula1>"가설공사,토공사,기초공사,철근공사,거푸집공사,콘크리트공사,철골공사,조적공사,미장공사,방수공사,타일공사,창호유리공사,수장공사,단열경량벽체,도배바닥재,기계설비,조경공사,철거공사,도서할증"</formula1>
    </dataValidation>
  </dataValidations>
  <printOptions horizontalCentered="1"/>
  <pageMargins left="0.25" right="0.25" top="0.25" bottom="0.25" header="0.1111111111111111" footer="0.1111111111111111"/>
  <pageSetup paperSize="9" scale="55"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151B3B-4F11-40A5-9CAC-5A39BAA5E222}">
          <x14:formula1>
            <xm:f>OFFSET('(참고1)_1일작업량'!$B$4,MATCH($B4,'(참고1)_1일작업량'!$A$4:$A$199,0)-1,0,COUNTIF('(참고1)_1일작업량'!$A$4:$A$199,$B4),1)</xm:f>
          </x14:formula1>
          <xm:sqref>C4:C32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AA78-9411-4119-83FA-FD14FF1A19C7}">
  <sheetPr>
    <tabColor rgb="FF1F3864"/>
    <pageSetUpPr fitToPage="1"/>
  </sheetPr>
  <dimension ref="A1:W79"/>
  <sheetViews>
    <sheetView tabSelected="1" workbookViewId="0">
      <selection activeCell="Z73" sqref="Z73"/>
    </sheetView>
  </sheetViews>
  <sheetFormatPr defaultRowHeight="15" outlineLevelRow="1" outlineLevelCol="1"/>
  <cols>
    <col min="1" max="1" width="2.7109375" customWidth="1"/>
    <col min="2" max="16" width="8" customWidth="1"/>
    <col min="17" max="18" width="9.140625" hidden="1" customWidth="1" outlineLevel="1"/>
    <col min="19" max="19" width="9.140625" collapsed="1"/>
    <col min="20" max="24" width="0" hidden="1" customWidth="1"/>
  </cols>
  <sheetData>
    <row r="1" spans="1:16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36" customHeight="1">
      <c r="A2" s="37"/>
      <c r="B2" s="549" t="s">
        <v>620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</row>
    <row r="3" spans="1:16" ht="6" customHeight="1" thickBo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6" ht="20.100000000000001" customHeight="1">
      <c r="A4" s="37"/>
      <c r="B4" s="260" t="s">
        <v>11</v>
      </c>
      <c r="C4" s="261"/>
      <c r="D4" s="262"/>
      <c r="E4" s="37"/>
      <c r="F4" s="260" t="s">
        <v>521</v>
      </c>
      <c r="G4" s="261"/>
      <c r="H4" s="262"/>
      <c r="I4" s="37"/>
      <c r="J4" s="260" t="s">
        <v>522</v>
      </c>
      <c r="K4" s="261"/>
      <c r="L4" s="262"/>
      <c r="M4" s="37"/>
      <c r="N4" s="260" t="s">
        <v>523</v>
      </c>
      <c r="O4" s="261"/>
      <c r="P4" s="262"/>
    </row>
    <row r="5" spans="1:16" ht="36" customHeight="1">
      <c r="A5" s="37"/>
      <c r="B5" s="697">
        <f>'(검토1안) 표준품셈 작업일수'!G45</f>
        <v>606.9</v>
      </c>
      <c r="C5" s="258"/>
      <c r="D5" s="259"/>
      <c r="E5" s="37"/>
      <c r="F5" s="697">
        <f>'(검토1안) 표준품셈 작업일수'!G43</f>
        <v>398.9</v>
      </c>
      <c r="G5" s="258"/>
      <c r="H5" s="259"/>
      <c r="I5" s="37"/>
      <c r="J5" s="698">
        <f>'(검토1안) 표준품셈 작업일수'!G42</f>
        <v>118</v>
      </c>
      <c r="K5" s="258"/>
      <c r="L5" s="259"/>
      <c r="M5" s="37"/>
      <c r="N5" s="697">
        <f>'(검토1안) 표준품셈 작업일수'!G41+'(검토1안) 표준품셈 작업일수'!G44</f>
        <v>90</v>
      </c>
      <c r="O5" s="258"/>
      <c r="P5" s="259"/>
    </row>
    <row r="6" spans="1:16" ht="18" customHeight="1">
      <c r="A6" s="37"/>
      <c r="B6" s="201" t="str">
        <f>"약 "&amp;TEXT('(검토1안) 표준품셈 작업일수'!I45,"0.0")&amp;"개월"</f>
        <v>약 20.2개월</v>
      </c>
      <c r="C6" s="258"/>
      <c r="D6" s="259"/>
      <c r="E6" s="37"/>
      <c r="F6" s="201" t="str">
        <f>"전체의 "&amp;TEXT('(검토1안) 표준품셈 작업일수'!G43/'(검토1안) 표준품셈 작업일수'!G45,"0.0%")</f>
        <v>전체의 65.7%</v>
      </c>
      <c r="G6" s="258"/>
      <c r="H6" s="259"/>
      <c r="I6" s="37"/>
      <c r="J6" s="201" t="str">
        <f>"전체의 "&amp;TEXT('(검토1안) 표준품셈 작업일수'!G42/'(검토1안) 표준품셈 작업일수'!G45,"0.0%")</f>
        <v>전체의 19.4%</v>
      </c>
      <c r="K6" s="258"/>
      <c r="L6" s="259"/>
      <c r="M6" s="37"/>
      <c r="N6" s="201" t="str">
        <f>"전체의 "&amp;TEXT(('(검토1안) 표준품셈 작업일수'!G41+'(검토1안) 표준품셈 작업일수'!G44)/'(검토1안) 표준품셈 작업일수'!G45,"0.0%")</f>
        <v>전체의 14.8%</v>
      </c>
      <c r="O6" s="258"/>
      <c r="P6" s="259"/>
    </row>
    <row r="7" spans="1:16" ht="12" customHeight="1" thickBot="1">
      <c r="A7" s="37"/>
      <c r="B7" s="202">
        <f>'(검토1안) 표준품셈 작업일수'!G45/'(검토1안) 표준품셈 작업일수'!G45</f>
        <v>1</v>
      </c>
      <c r="C7" s="203"/>
      <c r="D7" s="204"/>
      <c r="E7" s="37"/>
      <c r="F7" s="202">
        <f>'(검토1안) 표준품셈 작업일수'!G43/'(검토1안) 표준품셈 작업일수'!G45</f>
        <v>0.65727467457571265</v>
      </c>
      <c r="G7" s="203"/>
      <c r="H7" s="204"/>
      <c r="I7" s="37"/>
      <c r="J7" s="202">
        <f>'(검토1안) 표준품셈 작업일수'!G42/'(검토1안) 표준품셈 작업일수'!G45</f>
        <v>0.19443071346185534</v>
      </c>
      <c r="K7" s="203"/>
      <c r="L7" s="204"/>
      <c r="M7" s="37"/>
      <c r="N7" s="202">
        <f>('(검토1안) 표준품셈 작업일수'!G41+'(검토1안) 표준품셈 작업일수'!G44)/'(검토1안) 표준품셈 작업일수'!G45</f>
        <v>0.14829461196243204</v>
      </c>
      <c r="O7" s="203"/>
      <c r="P7" s="204"/>
    </row>
    <row r="8" spans="1:16" ht="14.1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 ht="21.95" customHeight="1">
      <c r="A9" s="37"/>
      <c r="B9" s="550" t="s">
        <v>524</v>
      </c>
      <c r="C9" s="550"/>
      <c r="D9" s="550"/>
      <c r="E9" s="550"/>
      <c r="F9" s="550"/>
      <c r="G9" s="550"/>
      <c r="H9" s="550"/>
      <c r="I9" s="550"/>
      <c r="J9" s="550"/>
      <c r="K9" s="550"/>
      <c r="L9" s="550"/>
      <c r="M9" s="550"/>
      <c r="N9" s="550"/>
      <c r="O9" s="550"/>
      <c r="P9" s="550"/>
    </row>
    <row r="10" spans="1:16" ht="6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 ht="24" customHeight="1">
      <c r="A11" s="37"/>
      <c r="B11" s="699"/>
      <c r="C11" s="700" t="s">
        <v>521</v>
      </c>
      <c r="D11" s="700"/>
      <c r="E11" s="700"/>
      <c r="F11" s="700"/>
      <c r="G11" s="700"/>
      <c r="H11" s="700"/>
      <c r="I11" s="700"/>
      <c r="J11" s="700"/>
      <c r="K11" s="700"/>
      <c r="L11" s="700"/>
      <c r="M11" s="700"/>
      <c r="N11" s="700"/>
      <c r="O11" s="701"/>
      <c r="P11" s="702"/>
    </row>
    <row r="12" spans="1:16" ht="8.1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</row>
    <row r="13" spans="1:16" ht="10.5" customHeight="1">
      <c r="A13" s="37"/>
      <c r="B13" s="703"/>
      <c r="C13" s="257" t="str">
        <f>"준비기간 "&amp;TEXT('(검토1안) 표준품셈 작업일수'!G41,"#,##0")&amp;"일"</f>
        <v>준비기간 60일</v>
      </c>
      <c r="D13" s="152"/>
      <c r="E13" s="152"/>
      <c r="F13" s="704"/>
      <c r="G13" s="257" t="str">
        <f>"작업일수 "&amp;TEXT('(검토1안) 표준품셈 작업일수'!G43,"#,##0")&amp;"일"</f>
        <v>작업일수 399일</v>
      </c>
      <c r="H13" s="152"/>
      <c r="I13" s="152"/>
      <c r="J13" s="705"/>
      <c r="K13" s="257" t="str">
        <f>"비작업일수 "&amp;TEXT('(검토1안) 표준품셈 작업일수'!G42,"#,##0")&amp;"일"</f>
        <v>비작업일수 118일</v>
      </c>
      <c r="L13" s="152"/>
      <c r="M13" s="152"/>
      <c r="N13" s="702"/>
      <c r="O13" s="257" t="str">
        <f>"정리기간 "&amp;TEXT('(검토1안) 표준품셈 작업일수'!G44,"#,##0")&amp;"일"</f>
        <v>정리기간 30일</v>
      </c>
      <c r="P13" s="257"/>
    </row>
    <row r="14" spans="1:16" ht="14.1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1:16" ht="14.1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</row>
    <row r="16" spans="1:16" ht="24.95" customHeight="1">
      <c r="A16" s="37"/>
      <c r="B16" s="550" t="s">
        <v>525</v>
      </c>
      <c r="C16" s="550"/>
      <c r="D16" s="550"/>
      <c r="E16" s="550"/>
      <c r="F16" s="550"/>
      <c r="G16" s="550"/>
      <c r="H16" s="550"/>
      <c r="I16" s="550"/>
      <c r="J16" s="550"/>
      <c r="K16" s="550"/>
      <c r="L16" s="550"/>
      <c r="M16" s="550"/>
      <c r="N16" s="550"/>
      <c r="O16" s="550"/>
      <c r="P16" s="550"/>
    </row>
    <row r="17" spans="1:16" ht="6" customHeight="1" thickBo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  <row r="18" spans="1:16" ht="24" customHeight="1">
      <c r="A18" s="37"/>
      <c r="B18" s="551" t="s">
        <v>526</v>
      </c>
      <c r="C18" s="552"/>
      <c r="D18" s="552"/>
      <c r="E18" s="552"/>
      <c r="F18" s="552"/>
      <c r="G18" s="552"/>
      <c r="H18" s="553"/>
      <c r="I18" s="37"/>
      <c r="J18" s="554" t="s">
        <v>532</v>
      </c>
      <c r="K18" s="555"/>
      <c r="L18" s="555"/>
      <c r="M18" s="555"/>
      <c r="N18" s="555"/>
      <c r="O18" s="555"/>
      <c r="P18" s="556"/>
    </row>
    <row r="19" spans="1:16" ht="18" customHeight="1">
      <c r="A19" s="37"/>
      <c r="B19" s="557" t="s">
        <v>527</v>
      </c>
      <c r="C19" s="558"/>
      <c r="D19" s="558"/>
      <c r="E19" s="559"/>
      <c r="F19" s="560" t="s">
        <v>528</v>
      </c>
      <c r="G19" s="560" t="s">
        <v>230</v>
      </c>
      <c r="H19" s="561" t="s">
        <v>521</v>
      </c>
      <c r="I19" s="37"/>
      <c r="J19" s="73"/>
      <c r="K19" s="37"/>
      <c r="L19" s="37"/>
      <c r="M19" s="37"/>
      <c r="N19" s="37"/>
      <c r="O19" s="37"/>
      <c r="P19" s="75"/>
    </row>
    <row r="20" spans="1:16" ht="15" customHeight="1">
      <c r="A20" s="37"/>
      <c r="B20" s="270" t="str">
        <f>IF('(검토1안) 표준품셈 작업일수'!C4="",'(검토1안) 표준품셈 작업일수'!B4,'(검토1안) 표준품셈 작업일수'!C4)</f>
        <v>콘테이너형 가설건축물 설치</v>
      </c>
      <c r="C20" s="271"/>
      <c r="D20" s="271"/>
      <c r="E20" s="272"/>
      <c r="F20" s="143" t="str">
        <f>TEXT('(검토1안) 표준품셈 작업일수'!D4,"#,##0")&amp;" "&amp;'(검토1안) 표준품셈 작업일수'!E4</f>
        <v>7 개</v>
      </c>
      <c r="G20" s="143" t="str">
        <f>TEXT('(검토1안) 표준품셈 작업일수'!H4,"#,##0")&amp;" "&amp;'(검토1안) 표준품셈 작업일수'!E4</f>
        <v>8 개</v>
      </c>
      <c r="H20" s="144">
        <f>'(검토1안) 표준품셈 작업일수'!I4</f>
        <v>1</v>
      </c>
      <c r="I20" s="37"/>
      <c r="J20" s="73"/>
      <c r="K20" s="37"/>
      <c r="L20" s="37"/>
      <c r="M20" s="37"/>
      <c r="N20" s="37"/>
      <c r="O20" s="37"/>
      <c r="P20" s="75"/>
    </row>
    <row r="21" spans="1:16" ht="15" customHeight="1">
      <c r="A21" s="37"/>
      <c r="B21" s="270" t="str">
        <f>IF('(검토1안) 표준품셈 작업일수'!C5="",'(검토1안) 표준품셈 작업일수'!B5,'(검토1안) 표준품셈 작업일수'!C5)</f>
        <v>가설울타리(EGI휀스) 설치</v>
      </c>
      <c r="C21" s="271"/>
      <c r="D21" s="271"/>
      <c r="E21" s="272"/>
      <c r="F21" s="143" t="str">
        <f>TEXT('(검토1안) 표준품셈 작업일수'!D5,"#,##0")&amp;" "&amp;'(검토1안) 표준품셈 작업일수'!E5</f>
        <v>430 m</v>
      </c>
      <c r="G21" s="143" t="str">
        <f>TEXT('(검토1안) 표준품셈 작업일수'!H5,"#,##0")&amp;" "&amp;'(검토1안) 표준품셈 작업일수'!E5</f>
        <v>115 m</v>
      </c>
      <c r="H21" s="144">
        <f>'(검토1안) 표준품셈 작업일수'!I5</f>
        <v>4</v>
      </c>
      <c r="I21" s="37"/>
      <c r="J21" s="73"/>
      <c r="K21" s="37"/>
      <c r="L21" s="37"/>
      <c r="M21" s="37"/>
      <c r="N21" s="37"/>
      <c r="O21" s="37"/>
      <c r="P21" s="75"/>
    </row>
    <row r="22" spans="1:16" ht="15" customHeight="1">
      <c r="A22" s="37"/>
      <c r="B22" s="270" t="str">
        <f>IF('(검토1안) 표준품셈 작업일수'!C6="",'(검토1안) 표준품셈 작업일수'!B6,'(검토1안) 표준품셈 작업일수'!C6)</f>
        <v>시스템비계 설치·해체</v>
      </c>
      <c r="C22" s="271"/>
      <c r="D22" s="271"/>
      <c r="E22" s="272"/>
      <c r="F22" s="143" t="str">
        <f>TEXT('(검토1안) 표준품셈 작업일수'!D6,"#,##0")&amp;" "&amp;'(검토1안) 표준품셈 작업일수'!E6</f>
        <v>3,791 ㎡</v>
      </c>
      <c r="G22" s="143" t="str">
        <f>TEXT('(검토1안) 표준품셈 작업일수'!H6,"#,##0")&amp;" "&amp;'(검토1안) 표준품셈 작업일수'!E6</f>
        <v>200 ㎡</v>
      </c>
      <c r="H22" s="144">
        <f>'(검토1안) 표준품셈 작업일수'!I6</f>
        <v>19</v>
      </c>
      <c r="I22" s="37"/>
      <c r="J22" s="73"/>
      <c r="K22" s="37"/>
      <c r="L22" s="37"/>
      <c r="M22" s="37"/>
      <c r="N22" s="37"/>
      <c r="O22" s="37"/>
      <c r="P22" s="75"/>
    </row>
    <row r="23" spans="1:16" ht="15" customHeight="1">
      <c r="A23" s="37"/>
      <c r="B23" s="270" t="str">
        <f>IF('(검토1안) 표준품셈 작업일수'!C7="",'(검토1안) 표준품셈 작업일수'!B7,'(검토1안) 표준품셈 작업일수'!C7)</f>
        <v>강관동바리 설치·해체(건축)</v>
      </c>
      <c r="C23" s="271"/>
      <c r="D23" s="271"/>
      <c r="E23" s="272"/>
      <c r="F23" s="143" t="str">
        <f>TEXT('(검토1안) 표준품셈 작업일수'!D7,"#,##0")&amp;" "&amp;'(검토1안) 표준품셈 작업일수'!E7</f>
        <v>9,637 ㎡</v>
      </c>
      <c r="G23" s="143" t="str">
        <f>TEXT('(검토1안) 표준품셈 작업일수'!H7,"#,##0")&amp;" "&amp;'(검토1안) 표준품셈 작업일수'!E7</f>
        <v>400 ㎡</v>
      </c>
      <c r="H23" s="144">
        <f>'(검토1안) 표준품셈 작업일수'!I7</f>
        <v>25</v>
      </c>
      <c r="I23" s="37"/>
      <c r="J23" s="73"/>
      <c r="K23" s="37"/>
      <c r="L23" s="37"/>
      <c r="M23" s="37"/>
      <c r="N23" s="37"/>
      <c r="O23" s="37"/>
      <c r="P23" s="75"/>
    </row>
    <row r="24" spans="1:16" ht="15" customHeight="1">
      <c r="A24" s="37"/>
      <c r="B24" s="270" t="str">
        <f>IF('(검토1안) 표준품셈 작업일수'!C8="",'(검토1안) 표준품셈 작업일수'!B8,'(검토1안) 표준품셈 작업일수'!C8)</f>
        <v>터파기(굴삭기1.0㎥·보통)</v>
      </c>
      <c r="C24" s="271"/>
      <c r="D24" s="271"/>
      <c r="E24" s="272"/>
      <c r="F24" s="143" t="str">
        <f>TEXT('(검토1안) 표준품셈 작업일수'!D8,"#,##0")&amp;" "&amp;'(검토1안) 표준품셈 작업일수'!E8</f>
        <v>3,284 ㎥</v>
      </c>
      <c r="G24" s="143" t="str">
        <f>TEXT('(검토1안) 표준품셈 작업일수'!H8,"#,##0")&amp;" "&amp;'(검토1안) 표준품셈 작업일수'!E8</f>
        <v>514 ㎥</v>
      </c>
      <c r="H24" s="144">
        <f>'(검토1안) 표준품셈 작업일수'!I8</f>
        <v>7</v>
      </c>
      <c r="I24" s="37"/>
      <c r="J24" s="73"/>
      <c r="K24" s="37"/>
      <c r="L24" s="37"/>
      <c r="M24" s="37"/>
      <c r="N24" s="37"/>
      <c r="O24" s="37"/>
      <c r="P24" s="75"/>
    </row>
    <row r="25" spans="1:16" ht="15" customHeight="1">
      <c r="A25" s="37"/>
      <c r="B25" s="270" t="str">
        <f>IF('(검토1안) 표준품셈 작업일수'!C9="",'(검토1안) 표준품셈 작업일수'!B9,'(검토1안) 표준품셈 작업일수'!C9)</f>
        <v>철근 현장조립(건축 TypeⅡ)</v>
      </c>
      <c r="C25" s="271"/>
      <c r="D25" s="271"/>
      <c r="E25" s="272"/>
      <c r="F25" s="143" t="str">
        <f>TEXT('(검토1안) 표준품셈 작업일수'!D9,"#,##0")&amp;" "&amp;'(검토1안) 표준품셈 작업일수'!E9</f>
        <v>250 ton</v>
      </c>
      <c r="G25" s="143" t="str">
        <f>TEXT('(검토1안) 표준품셈 작업일수'!H9,"#,##0")&amp;" "&amp;'(검토1안) 표준품셈 작업일수'!E9</f>
        <v>12 ton</v>
      </c>
      <c r="H25" s="144">
        <f>'(검토1안) 표준품셈 작업일수'!I9</f>
        <v>21</v>
      </c>
      <c r="I25" s="37"/>
      <c r="J25" s="73"/>
      <c r="K25" s="37"/>
      <c r="L25" s="37"/>
      <c r="M25" s="37"/>
      <c r="N25" s="37"/>
      <c r="O25" s="37"/>
      <c r="P25" s="75"/>
    </row>
    <row r="26" spans="1:16" ht="15" customHeight="1">
      <c r="A26" s="37"/>
      <c r="B26" s="270" t="str">
        <f>IF('(검토1안) 표준품셈 작업일수'!C10="",'(검토1안) 표준품셈 작업일수'!B10,'(검토1안) 표준품셈 작업일수'!C10)</f>
        <v>유로폼 설치(보통)</v>
      </c>
      <c r="C26" s="271"/>
      <c r="D26" s="271"/>
      <c r="E26" s="272"/>
      <c r="F26" s="143" t="str">
        <f>TEXT('(검토1안) 표준품셈 작업일수'!D10,"#,##0")&amp;" "&amp;'(검토1안) 표준품셈 작업일수'!E10</f>
        <v>9,452 ㎡</v>
      </c>
      <c r="G26" s="143" t="str">
        <f>TEXT('(검토1안) 표준품셈 작업일수'!H10,"#,##0")&amp;" "&amp;'(검토1안) 표준품셈 작업일수'!E10</f>
        <v>300 ㎡</v>
      </c>
      <c r="H26" s="144">
        <f>'(검토1안) 표준품셈 작업일수'!I10</f>
        <v>32</v>
      </c>
      <c r="I26" s="37"/>
      <c r="J26" s="73"/>
      <c r="K26" s="37"/>
      <c r="L26" s="37"/>
      <c r="M26" s="37"/>
      <c r="N26" s="37"/>
      <c r="O26" s="37"/>
      <c r="P26" s="75"/>
    </row>
    <row r="27" spans="1:16" ht="15" customHeight="1">
      <c r="A27" s="37"/>
      <c r="B27" s="270" t="str">
        <f>IF('(검토1안) 표준품셈 작업일수'!C11="",'(검토1안) 표준품셈 작업일수'!B11,'(검토1안) 표준품셈 작업일수'!C11)</f>
        <v>합판거푸집 설치(보통)</v>
      </c>
      <c r="C27" s="271"/>
      <c r="D27" s="271"/>
      <c r="E27" s="272"/>
      <c r="F27" s="143" t="str">
        <f>TEXT('(검토1안) 표준품셈 작업일수'!D11,"#,##0")&amp;" "&amp;'(검토1안) 표준품셈 작업일수'!E11</f>
        <v>4,457 ㎡</v>
      </c>
      <c r="G27" s="143" t="str">
        <f>TEXT('(검토1안) 표준품셈 작업일수'!H11,"#,##0")&amp;" "&amp;'(검토1안) 표준품셈 작업일수'!E11</f>
        <v>240 ㎡</v>
      </c>
      <c r="H27" s="144">
        <f>'(검토1안) 표준품셈 작업일수'!I11</f>
        <v>19</v>
      </c>
      <c r="I27" s="37"/>
      <c r="J27" s="73"/>
      <c r="K27" s="37"/>
      <c r="L27" s="37"/>
      <c r="M27" s="37"/>
      <c r="N27" s="37"/>
      <c r="O27" s="37"/>
      <c r="P27" s="75"/>
    </row>
    <row r="28" spans="1:16" ht="15" customHeight="1">
      <c r="A28" s="37"/>
      <c r="B28" s="270" t="str">
        <f>IF('(검토1안) 표준품셈 작업일수'!C12="",'(검토1안) 표준품셈 작업일수'!B12,'(검토1안) 표준품셈 작업일수'!C12)</f>
        <v>펌프카 타설(TypeⅡ/Ⅰ)</v>
      </c>
      <c r="C28" s="271"/>
      <c r="D28" s="271"/>
      <c r="E28" s="272"/>
      <c r="F28" s="143" t="str">
        <f>TEXT('(검토1안) 표준품셈 작업일수'!D12,"#,##0")&amp;" "&amp;'(검토1안) 표준품셈 작업일수'!E12</f>
        <v>3,277 ㎥</v>
      </c>
      <c r="G28" s="143" t="str">
        <f>TEXT('(검토1안) 표준품셈 작업일수'!H12,"#,##0")&amp;" "&amp;'(검토1안) 표준품셈 작업일수'!E12</f>
        <v>182 ㎥</v>
      </c>
      <c r="H28" s="144">
        <f>'(검토1안) 표준품셈 작업일수'!I12</f>
        <v>19</v>
      </c>
      <c r="I28" s="37"/>
      <c r="J28" s="73"/>
      <c r="K28" s="37"/>
      <c r="L28" s="37"/>
      <c r="M28" s="37"/>
      <c r="N28" s="37"/>
      <c r="O28" s="37"/>
      <c r="P28" s="75"/>
    </row>
    <row r="29" spans="1:16" ht="15" customHeight="1">
      <c r="A29" s="37"/>
      <c r="B29" s="270" t="str">
        <f>IF('(검토1안) 표준품셈 작업일수'!C13="",'(검토1안) 표준품셈 작업일수'!B13,'(검토1안) 표준품셈 작업일수'!C13)</f>
        <v>펌프카 타설(무근구조물)</v>
      </c>
      <c r="C29" s="271"/>
      <c r="D29" s="271"/>
      <c r="E29" s="272"/>
      <c r="F29" s="143" t="str">
        <f>TEXT('(검토1안) 표준품셈 작업일수'!D13,"#,##0")&amp;" "&amp;'(검토1안) 표준품셈 작업일수'!E13</f>
        <v>187 ㎥</v>
      </c>
      <c r="G29" s="143" t="str">
        <f>TEXT('(검토1안) 표준품셈 작업일수'!H13,"#,##0")&amp;" "&amp;'(검토1안) 표준품셈 작업일수'!E13</f>
        <v>189 ㎥</v>
      </c>
      <c r="H29" s="144">
        <f>'(검토1안) 표준품셈 작업일수'!I13</f>
        <v>1</v>
      </c>
      <c r="I29" s="37"/>
      <c r="J29" s="73"/>
      <c r="K29" s="37"/>
      <c r="L29" s="37"/>
      <c r="M29" s="37"/>
      <c r="N29" s="37"/>
      <c r="O29" s="37"/>
      <c r="P29" s="75"/>
    </row>
    <row r="30" spans="1:16" ht="15" customHeight="1">
      <c r="A30" s="37"/>
      <c r="B30" s="270" t="str">
        <f>IF('(검토1안) 표준품셈 작업일수'!C14="",'(검토1안) 표준품셈 작업일수'!B14,'(검토1안) 표준품셈 작업일수'!C14)</f>
        <v>철골 현장세우기</v>
      </c>
      <c r="C30" s="271"/>
      <c r="D30" s="271"/>
      <c r="E30" s="272"/>
      <c r="F30" s="143" t="str">
        <f>TEXT('(검토1안) 표준품셈 작업일수'!D14,"#,##0")&amp;" "&amp;'(검토1안) 표준품셈 작업일수'!E14</f>
        <v>3 ton</v>
      </c>
      <c r="G30" s="143" t="str">
        <f>TEXT('(검토1안) 표준품셈 작업일수'!H14,"#,##0")&amp;" "&amp;'(검토1안) 표준품셈 작업일수'!E14</f>
        <v>11 ton</v>
      </c>
      <c r="H30" s="144">
        <f>'(검토1안) 표준품셈 작업일수'!I14</f>
        <v>1</v>
      </c>
      <c r="I30" s="37"/>
      <c r="J30" s="73"/>
      <c r="K30" s="37"/>
      <c r="L30" s="37"/>
      <c r="M30" s="37"/>
      <c r="N30" s="37"/>
      <c r="O30" s="37"/>
      <c r="P30" s="75"/>
    </row>
    <row r="31" spans="1:16" ht="15" customHeight="1">
      <c r="A31" s="37"/>
      <c r="B31" s="270" t="str">
        <f>IF('(검토1안) 표준품셈 작업일수'!C15="",'(검토1안) 표준품셈 작업일수'!B15,'(검토1안) 표준품셈 작업일수'!C15)</f>
        <v>벽돌쌓기(0.5B)</v>
      </c>
      <c r="C31" s="271"/>
      <c r="D31" s="271"/>
      <c r="E31" s="272"/>
      <c r="F31" s="143" t="str">
        <f>TEXT('(검토1안) 표준품셈 작업일수'!D15,"#,##0")&amp;" "&amp;'(검토1안) 표준품셈 작업일수'!E15</f>
        <v>712 ㎡</v>
      </c>
      <c r="G31" s="143" t="str">
        <f>TEXT('(검토1안) 표준품셈 작업일수'!H15,"#,##0")&amp;" "&amp;'(검토1안) 표준품셈 작업일수'!E15</f>
        <v>27 ㎡</v>
      </c>
      <c r="H31" s="144">
        <f>'(검토1안) 표준품셈 작업일수'!I15</f>
        <v>27</v>
      </c>
      <c r="I31" s="37"/>
      <c r="J31" s="73"/>
      <c r="K31" s="37"/>
      <c r="L31" s="37"/>
      <c r="M31" s="37"/>
      <c r="N31" s="37"/>
      <c r="O31" s="37"/>
      <c r="P31" s="75"/>
    </row>
    <row r="32" spans="1:16" ht="15" customHeight="1">
      <c r="A32" s="37"/>
      <c r="B32" s="270" t="str">
        <f>IF('(검토1안) 표준품셈 작업일수'!C16="",'(검토1안) 표준품셈 작업일수'!B16,'(검토1안) 표준품셈 작업일수'!C16)</f>
        <v>시멘트 모르타르 바름</v>
      </c>
      <c r="C32" s="271"/>
      <c r="D32" s="271"/>
      <c r="E32" s="272"/>
      <c r="F32" s="143" t="str">
        <f>TEXT('(검토1안) 표준품셈 작업일수'!D16,"#,##0")&amp;" "&amp;'(검토1안) 표준품셈 작업일수'!E16</f>
        <v>3,568 ㎡</v>
      </c>
      <c r="G32" s="143" t="str">
        <f>TEXT('(검토1안) 표준품셈 작업일수'!H16,"#,##0")&amp;" "&amp;'(검토1안) 표준품셈 작업일수'!E16</f>
        <v>168 ㎡</v>
      </c>
      <c r="H32" s="144">
        <f>'(검토1안) 표준품셈 작업일수'!I16</f>
        <v>22</v>
      </c>
      <c r="I32" s="37"/>
      <c r="J32" s="73"/>
      <c r="K32" s="37"/>
      <c r="L32" s="37"/>
      <c r="M32" s="37"/>
      <c r="N32" s="37"/>
      <c r="O32" s="37"/>
      <c r="P32" s="75"/>
    </row>
    <row r="33" spans="1:20" ht="15" customHeight="1">
      <c r="A33" s="37"/>
      <c r="B33" s="270" t="str">
        <f>IF('(검토1안) 표준품셈 작업일수'!C17="",'(검토1안) 표준품셈 작업일수'!B17,'(검토1안) 표준품셈 작업일수'!C17)</f>
        <v>콘크리트면 마무리</v>
      </c>
      <c r="C33" s="271"/>
      <c r="D33" s="271"/>
      <c r="E33" s="272"/>
      <c r="F33" s="143" t="str">
        <f>TEXT('(검토1안) 표준품셈 작업일수'!D17,"#,##0")&amp;" "&amp;'(검토1안) 표준품셈 작업일수'!E17</f>
        <v>1,013 ㎡</v>
      </c>
      <c r="G33" s="143" t="str">
        <f>TEXT('(검토1안) 표준품셈 작업일수'!H17,"#,##0")&amp;" "&amp;'(검토1안) 표준품셈 작업일수'!E17</f>
        <v>34 ㎡</v>
      </c>
      <c r="H33" s="144">
        <f>'(검토1안) 표준품셈 작업일수'!I17</f>
        <v>30</v>
      </c>
      <c r="I33" s="37"/>
      <c r="J33" s="73"/>
      <c r="K33" s="37"/>
      <c r="L33" s="37"/>
      <c r="M33" s="37"/>
      <c r="N33" s="37"/>
      <c r="O33" s="37"/>
      <c r="P33" s="75"/>
    </row>
    <row r="34" spans="1:20" ht="15" customHeight="1">
      <c r="A34" s="37"/>
      <c r="B34" s="270" t="str">
        <f>IF('(검토1안) 표준품셈 작업일수'!C18="",'(검토1안) 표준품셈 작업일수'!B18,'(검토1안) 표준품셈 작업일수'!C18)</f>
        <v>시멘트 액체방수</v>
      </c>
      <c r="C34" s="271"/>
      <c r="D34" s="271"/>
      <c r="E34" s="272"/>
      <c r="F34" s="143" t="str">
        <f>TEXT('(검토1안) 표준품셈 작업일수'!D18,"#,##0")&amp;" "&amp;'(검토1안) 표준품셈 작업일수'!E18</f>
        <v>1,335 ㎡</v>
      </c>
      <c r="G34" s="143" t="str">
        <f>TEXT('(검토1안) 표준품셈 작업일수'!H18,"#,##0")&amp;" "&amp;'(검토1안) 표준품셈 작업일수'!E18</f>
        <v>80 ㎡</v>
      </c>
      <c r="H34" s="144">
        <f>'(검토1안) 표준품셈 작업일수'!I18</f>
        <v>17</v>
      </c>
      <c r="I34" s="37"/>
      <c r="J34" s="73"/>
      <c r="K34" s="37"/>
      <c r="L34" s="37"/>
      <c r="M34" s="37"/>
      <c r="N34" s="37"/>
      <c r="O34" s="37"/>
      <c r="P34" s="75"/>
    </row>
    <row r="35" spans="1:20" ht="15" customHeight="1">
      <c r="A35" s="37"/>
      <c r="B35" s="270" t="str">
        <f>IF('(검토1안) 표준품셈 작업일수'!C19="",'(검토1안) 표준품셈 작업일수'!B19,'(검토1안) 표준품셈 작업일수'!C19)</f>
        <v>도막방수</v>
      </c>
      <c r="C35" s="271"/>
      <c r="D35" s="271"/>
      <c r="E35" s="272"/>
      <c r="F35" s="143" t="str">
        <f>TEXT('(검토1안) 표준품셈 작업일수'!D19,"#,##0")&amp;" "&amp;'(검토1안) 표준품셈 작업일수'!E19</f>
        <v>1,433 ㎡</v>
      </c>
      <c r="G35" s="143" t="str">
        <f>TEXT('(검토1안) 표준품셈 작업일수'!H19,"#,##0")&amp;" "&amp;'(검토1안) 표준품셈 작업일수'!E19</f>
        <v>200 ㎡</v>
      </c>
      <c r="H35" s="144">
        <f>'(검토1안) 표준품셈 작업일수'!I19</f>
        <v>8</v>
      </c>
      <c r="I35" s="37"/>
      <c r="J35" s="73"/>
      <c r="K35" s="37"/>
      <c r="L35" s="37"/>
      <c r="M35" s="37"/>
      <c r="N35" s="37"/>
      <c r="O35" s="37"/>
      <c r="P35" s="75"/>
    </row>
    <row r="36" spans="1:20" ht="15" customHeight="1">
      <c r="A36" s="37"/>
      <c r="B36" s="270" t="str">
        <f>IF('(검토1안) 표준품셈 작업일수'!C20="",'(검토1안) 표준품셈 작업일수'!B20,'(검토1안) 표준품셈 작업일수'!C20)</f>
        <v>압착붙이기(바닥)</v>
      </c>
      <c r="C36" s="271"/>
      <c r="D36" s="271"/>
      <c r="E36" s="272"/>
      <c r="F36" s="143" t="str">
        <f>TEXT('(검토1안) 표준품셈 작업일수'!D20,"#,##0")&amp;" "&amp;'(검토1안) 표준품셈 작업일수'!E20</f>
        <v>299 ㎡</v>
      </c>
      <c r="G36" s="143" t="str">
        <f>TEXT('(검토1안) 표준품셈 작업일수'!H20,"#,##0")&amp;" "&amp;'(검토1안) 표준품셈 작업일수'!E20</f>
        <v>27 ㎡</v>
      </c>
      <c r="H36" s="144">
        <f>'(검토1안) 표준품셈 작업일수'!I20</f>
        <v>12</v>
      </c>
      <c r="I36" s="37"/>
      <c r="J36" s="73"/>
      <c r="K36" s="37"/>
      <c r="L36" s="37"/>
      <c r="M36" s="37"/>
      <c r="N36" s="37"/>
      <c r="O36" s="37"/>
      <c r="P36" s="75"/>
    </row>
    <row r="37" spans="1:20" ht="15" customHeight="1">
      <c r="A37" s="37"/>
      <c r="B37" s="270" t="str">
        <f>IF('(검토1안) 표준품셈 작업일수'!C21="",'(검토1안) 표준품셈 작업일수'!B21,'(검토1안) 표준품셈 작업일수'!C21)</f>
        <v>떠붙이기(벽)</v>
      </c>
      <c r="C37" s="271"/>
      <c r="D37" s="271"/>
      <c r="E37" s="272"/>
      <c r="F37" s="143" t="str">
        <f>TEXT('(검토1안) 표준품셈 작업일수'!D21,"#,##0")&amp;" "&amp;'(검토1안) 표준품셈 작업일수'!E21</f>
        <v>662 ㎡</v>
      </c>
      <c r="G37" s="143" t="str">
        <f>TEXT('(검토1안) 표준품셈 작업일수'!H21,"#,##0")&amp;" "&amp;'(검토1안) 표준품셈 작업일수'!E21</f>
        <v>42 ㎡</v>
      </c>
      <c r="H37" s="144">
        <f>'(검토1안) 표준품셈 작업일수'!I21</f>
        <v>16</v>
      </c>
      <c r="I37" s="37"/>
      <c r="J37" s="73"/>
      <c r="K37" s="37"/>
      <c r="L37" s="37"/>
      <c r="M37" s="37"/>
      <c r="N37" s="37"/>
      <c r="O37" s="37"/>
      <c r="P37" s="75"/>
    </row>
    <row r="38" spans="1:20" ht="15" customHeight="1">
      <c r="A38" s="37"/>
      <c r="B38" s="270" t="str">
        <f>IF('(검토1안) 표준품셈 작업일수'!C22="",'(검토1안) 표준품셈 작업일수'!B22,'(검토1안) 표준품셈 작업일수'!C22)</f>
        <v>창호유리 설치</v>
      </c>
      <c r="C38" s="271"/>
      <c r="D38" s="271"/>
      <c r="E38" s="272"/>
      <c r="F38" s="143" t="str">
        <f>TEXT('(검토1안) 표준품셈 작업일수'!D22,"#,##0")&amp;" "&amp;'(검토1안) 표준품셈 작업일수'!E22</f>
        <v>841 ㎡</v>
      </c>
      <c r="G38" s="143" t="str">
        <f>TEXT('(검토1안) 표준품셈 작업일수'!H22,"#,##0")&amp;" "&amp;'(검토1안) 표준품셈 작업일수'!E22</f>
        <v>42 ㎡</v>
      </c>
      <c r="H38" s="144">
        <f>'(검토1안) 표준품셈 작업일수'!I22</f>
        <v>21</v>
      </c>
      <c r="I38" s="37"/>
      <c r="J38" s="73"/>
      <c r="K38" s="37"/>
      <c r="L38" s="37"/>
      <c r="M38" s="37"/>
      <c r="N38" s="37"/>
      <c r="O38" s="37"/>
      <c r="P38" s="75"/>
    </row>
    <row r="39" spans="1:20" ht="15" customHeight="1">
      <c r="A39" s="37"/>
      <c r="B39" s="270" t="str">
        <f>IF('(검토1안) 표준품셈 작업일수'!C23="",'(검토1안) 표준품셈 작업일수'!B23,'(검토1안) 표준품셈 작업일수'!C23)</f>
        <v>칸막이벽틀</v>
      </c>
      <c r="C39" s="271"/>
      <c r="D39" s="271"/>
      <c r="E39" s="272"/>
      <c r="F39" s="143" t="str">
        <f>TEXT('(검토1안) 표준품셈 작업일수'!D23,"#,##0")&amp;" "&amp;'(검토1안) 표준품셈 작업일수'!E23</f>
        <v>1,471 ㎡</v>
      </c>
      <c r="G39" s="143" t="str">
        <f>TEXT('(검토1안) 표준품셈 작업일수'!H23,"#,##0")&amp;" "&amp;'(검토1안) 표준품셈 작업일수'!E23</f>
        <v>80 ㎡</v>
      </c>
      <c r="H39" s="144">
        <f>'(검토1안) 표준품셈 작업일수'!I23</f>
        <v>19</v>
      </c>
      <c r="I39" s="37"/>
      <c r="J39" s="73"/>
      <c r="K39" s="37"/>
      <c r="L39" s="37"/>
      <c r="M39" s="37"/>
      <c r="N39" s="37"/>
      <c r="O39" s="37"/>
      <c r="P39" s="75"/>
    </row>
    <row r="40" spans="1:20" ht="15" customHeight="1">
      <c r="A40" s="37"/>
      <c r="B40" s="270" t="str">
        <f>IF('(검토1안) 표준품셈 작업일수'!C24="",'(검토1안) 표준품셈 작업일수'!B24,'(검토1안) 표준품셈 작업일수'!C24)</f>
        <v>목재데크틀 설치</v>
      </c>
      <c r="C40" s="271"/>
      <c r="D40" s="271"/>
      <c r="E40" s="272"/>
      <c r="F40" s="143" t="str">
        <f>TEXT('(검토1안) 표준품셈 작업일수'!D24,"#,##0")&amp;" "&amp;'(검토1안) 표준품셈 작업일수'!E24</f>
        <v>156 ton</v>
      </c>
      <c r="G40" s="143" t="str">
        <f>TEXT('(검토1안) 표준품셈 작업일수'!H24,"#,##0")&amp;" "&amp;'(검토1안) 표준품셈 작업일수'!E24</f>
        <v>1 ton</v>
      </c>
      <c r="H40" s="144">
        <f>'(검토1안) 표준품셈 작업일수'!I24</f>
        <v>0.9</v>
      </c>
      <c r="I40" s="37"/>
      <c r="J40" s="73"/>
      <c r="K40" s="37"/>
      <c r="L40" s="37"/>
      <c r="M40" s="37"/>
      <c r="N40" s="37"/>
      <c r="O40" s="37"/>
      <c r="P40" s="75"/>
    </row>
    <row r="41" spans="1:20" ht="15" customHeight="1" thickBot="1">
      <c r="A41" s="37"/>
      <c r="B41" s="273" t="str">
        <f>IF('(검토1안) 표준품셈 작업일수'!C25="",'(검토1안) 표준품셈 작업일수'!B25,'(검토1안) 표준품셈 작업일수'!C25)</f>
        <v>목재데크 설치</v>
      </c>
      <c r="C41" s="274"/>
      <c r="D41" s="274"/>
      <c r="E41" s="275"/>
      <c r="F41" s="145" t="str">
        <f>TEXT('(검토1안) 표준품셈 작업일수'!D25,"#,##0")&amp;" "&amp;'(검토1안) 표준품셈 작업일수'!E25</f>
        <v>156 ㎡</v>
      </c>
      <c r="G41" s="145" t="str">
        <f>TEXT('(검토1안) 표준품셈 작업일수'!H25,"#,##0")&amp;" "&amp;'(검토1안) 표준품셈 작업일수'!E25</f>
        <v>17 ㎡</v>
      </c>
      <c r="H41" s="146">
        <f>'(검토1안) 표준품셈 작업일수'!I25</f>
        <v>10</v>
      </c>
      <c r="I41" s="37"/>
      <c r="J41" s="74"/>
      <c r="K41" s="72"/>
      <c r="L41" s="72"/>
      <c r="M41" s="72"/>
      <c r="N41" s="72"/>
      <c r="O41" s="72"/>
      <c r="P41" s="76"/>
    </row>
    <row r="42" spans="1:20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</row>
    <row r="43" spans="1:20" ht="24.95" customHeight="1">
      <c r="A43" s="37"/>
      <c r="B43" s="550" t="s">
        <v>607</v>
      </c>
      <c r="C43" s="550"/>
      <c r="D43" s="550"/>
      <c r="E43" s="550"/>
      <c r="F43" s="550"/>
      <c r="G43" s="550"/>
      <c r="H43" s="550"/>
      <c r="I43" s="550"/>
      <c r="J43" s="550"/>
      <c r="K43" s="550"/>
      <c r="L43" s="550"/>
      <c r="M43" s="550"/>
      <c r="N43" s="550"/>
      <c r="O43" s="550"/>
      <c r="P43" s="550"/>
    </row>
    <row r="44" spans="1:20" ht="6" customHeight="1" thickBo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</row>
    <row r="45" spans="1:20" ht="21.95" customHeight="1">
      <c r="A45" s="37"/>
      <c r="B45" s="554" t="s">
        <v>608</v>
      </c>
      <c r="C45" s="555"/>
      <c r="D45" s="555"/>
      <c r="E45" s="555"/>
      <c r="F45" s="555"/>
      <c r="G45" s="555"/>
      <c r="H45" s="556"/>
      <c r="I45" s="37"/>
      <c r="J45" s="554" t="s">
        <v>614</v>
      </c>
      <c r="K45" s="555"/>
      <c r="L45" s="555"/>
      <c r="M45" s="555"/>
      <c r="N45" s="555"/>
      <c r="O45" s="555"/>
      <c r="P45" s="556"/>
      <c r="Q45" t="s">
        <v>612</v>
      </c>
      <c r="R45" t="s">
        <v>613</v>
      </c>
      <c r="T45" t="s">
        <v>734</v>
      </c>
    </row>
    <row r="46" spans="1:20">
      <c r="A46" s="37"/>
      <c r="B46" s="73"/>
      <c r="C46" s="37"/>
      <c r="D46" s="37"/>
      <c r="E46" s="37"/>
      <c r="F46" s="37"/>
      <c r="G46" s="37"/>
      <c r="H46" s="75"/>
      <c r="I46" s="37"/>
      <c r="J46" s="73"/>
      <c r="K46" s="37"/>
      <c r="L46" s="37"/>
      <c r="M46" s="37"/>
      <c r="N46" s="37"/>
      <c r="O46" s="37"/>
      <c r="P46" s="75"/>
      <c r="Q46" t="s">
        <v>609</v>
      </c>
      <c r="R46">
        <f>$T$46</f>
        <v>77</v>
      </c>
      <c r="T46" cm="1">
        <f t="array" ref="T46">ROUND(SUMPRODUCT(((0*12+(COLUMN('부록3 비작업일수'!$C$10:$N$10)-2)-MONTH('부록3 비작업일수'!$C$3))&gt;=0)*((0*12+(COLUMN('부록3 비작업일수'!$C$10:$N$10)-2)-MONTH('부록3 비작업일수'!$C$3))&lt;'부록3 비작업일수'!$C$4)*'부록3 비작업일수'!$C$10:$N$10)+SUMPRODUCT(((1*12+(COLUMN('부록3 비작업일수'!$C$19:$N$19)-2)-MONTH('부록3 비작업일수'!$C$3))&gt;=0)*((1*12+(COLUMN('부록3 비작업일수'!$C$19:$N$19)-2)-MONTH('부록3 비작업일수'!$C$3))&lt;'부록3 비작업일수'!$C$4)*'부록3 비작업일수'!$C$19:$N$19)+SUMPRODUCT(((2*12+(COLUMN('부록3 비작업일수'!$C$28:$N$28)-2)-MONTH('부록3 비작업일수'!$C$3))&gt;=0)*((2*12+(COLUMN('부록3 비작업일수'!$C$28:$N$28)-2)-MONTH('부록3 비작업일수'!$C$3))&lt;'부록3 비작업일수'!$C$4)*'부록3 비작업일수'!$C$28:$N$28)+SUMPRODUCT(((3*12+(COLUMN('부록3 비작업일수'!$C$37:$N$37)-2)-MONTH('부록3 비작업일수'!$C$3))&gt;=0)*((3*12+(COLUMN('부록3 비작업일수'!$C$37:$N$37)-2)-MONTH('부록3 비작업일수'!$C$3))&lt;'부록3 비작업일수'!$C$4)*'부록3 비작업일수'!$C$37:$N$37)+SUMPRODUCT(((4*12+(COLUMN('부록3 비작업일수'!$C$46:$N$46)-2)-MONTH('부록3 비작업일수'!$C$3))&gt;=0)*((4*12+(COLUMN('부록3 비작업일수'!$C$46:$N$46)-2)-MONTH('부록3 비작업일수'!$C$3))&lt;'부록3 비작업일수'!$C$4)*'부록3 비작업일수'!$C$46:$N$46),0)</f>
        <v>77</v>
      </c>
    </row>
    <row r="47" spans="1:20" ht="18" customHeight="1">
      <c r="A47" s="37"/>
      <c r="B47" s="73"/>
      <c r="C47" s="37"/>
      <c r="D47" s="37"/>
      <c r="E47" s="706" t="s">
        <v>616</v>
      </c>
      <c r="F47" s="152"/>
      <c r="G47" s="707">
        <f>$T$46</f>
        <v>77</v>
      </c>
      <c r="H47" s="200"/>
      <c r="I47" s="37"/>
      <c r="J47" s="73"/>
      <c r="K47" s="37"/>
      <c r="L47" s="37"/>
      <c r="M47" s="37"/>
      <c r="N47" s="37"/>
      <c r="O47" s="37"/>
      <c r="P47" s="75"/>
      <c r="Q47" t="s">
        <v>610</v>
      </c>
      <c r="R47">
        <f>$T$47</f>
        <v>30</v>
      </c>
      <c r="T47" cm="1">
        <f t="array" ref="T47">ROUND(SUMPRODUCT(((0*12+(COLUMN('부록3 비작업일수'!$C$11:$N$11)-2)-MONTH('부록3 비작업일수'!$C$3))&gt;=0)*((0*12+(COLUMN('부록3 비작업일수'!$C$11:$N$11)-2)-MONTH('부록3 비작업일수'!$C$3))&lt;'부록3 비작업일수'!$C$4)*'부록3 비작업일수'!$C$11:$N$11)+SUMPRODUCT(((1*12+(COLUMN('부록3 비작업일수'!$C$20:$N$20)-2)-MONTH('부록3 비작업일수'!$C$3))&gt;=0)*((1*12+(COLUMN('부록3 비작업일수'!$C$20:$N$20)-2)-MONTH('부록3 비작업일수'!$C$3))&lt;'부록3 비작업일수'!$C$4)*'부록3 비작업일수'!$C$20:$N$20)+SUMPRODUCT(((2*12+(COLUMN('부록3 비작업일수'!$C$29:$N$29)-2)-MONTH('부록3 비작업일수'!$C$3))&gt;=0)*((2*12+(COLUMN('부록3 비작업일수'!$C$29:$N$29)-2)-MONTH('부록3 비작업일수'!$C$3))&lt;'부록3 비작업일수'!$C$4)*'부록3 비작업일수'!$C$29:$N$29)+SUMPRODUCT(((3*12+(COLUMN('부록3 비작업일수'!$C$38:$N$38)-2)-MONTH('부록3 비작업일수'!$C$3))&gt;=0)*((3*12+(COLUMN('부록3 비작업일수'!$C$38:$N$38)-2)-MONTH('부록3 비작업일수'!$C$3))&lt;'부록3 비작업일수'!$C$4)*'부록3 비작업일수'!$C$38:$N$38)+SUMPRODUCT(((4*12+(COLUMN('부록3 비작업일수'!$C$47:$N$47)-2)-MONTH('부록3 비작업일수'!$C$3))&gt;=0)*((4*12+(COLUMN('부록3 비작업일수'!$C$47:$N$47)-2)-MONTH('부록3 비작업일수'!$C$3))&lt;'부록3 비작업일수'!$C$4)*'부록3 비작업일수'!$C$47:$N$47),0)</f>
        <v>30</v>
      </c>
    </row>
    <row r="48" spans="1:20">
      <c r="A48" s="37"/>
      <c r="B48" s="73"/>
      <c r="C48" s="37"/>
      <c r="D48" s="37"/>
      <c r="E48" s="37"/>
      <c r="F48" s="37"/>
      <c r="G48" s="37"/>
      <c r="H48" s="75"/>
      <c r="I48" s="37"/>
      <c r="J48" s="73"/>
      <c r="K48" s="37"/>
      <c r="L48" s="37"/>
      <c r="M48" s="37"/>
      <c r="N48" s="37"/>
      <c r="O48" s="37"/>
      <c r="P48" s="75"/>
      <c r="T48" cm="1">
        <f t="array" ref="T48">ROUND(SUMPRODUCT(((0*12+(COLUMN('부록3 비작업일수'!$C$12:$N$12)-2)-MONTH('부록3 비작업일수'!$C$3))&gt;=0)*((0*12+(COLUMN('부록3 비작업일수'!$C$12:$N$12)-2)-MONTH('부록3 비작업일수'!$C$3))&lt;'부록3 비작업일수'!$C$4)*'부록3 비작업일수'!$C$12:$N$12)+SUMPRODUCT(((1*12+(COLUMN('부록3 비작업일수'!$C$21:$N$21)-2)-MONTH('부록3 비작업일수'!$C$3))&gt;=0)*((1*12+(COLUMN('부록3 비작업일수'!$C$21:$N$21)-2)-MONTH('부록3 비작업일수'!$C$3))&lt;'부록3 비작업일수'!$C$4)*'부록3 비작업일수'!$C$21:$N$21)+SUMPRODUCT(((2*12+(COLUMN('부록3 비작업일수'!$C$30:$N$30)-2)-MONTH('부록3 비작업일수'!$C$3))&gt;=0)*((2*12+(COLUMN('부록3 비작업일수'!$C$30:$N$30)-2)-MONTH('부록3 비작업일수'!$C$3))&lt;'부록3 비작업일수'!$C$4)*'부록3 비작업일수'!$C$30:$N$30)+SUMPRODUCT(((3*12+(COLUMN('부록3 비작업일수'!$C$39:$N$39)-2)-MONTH('부록3 비작업일수'!$C$3))&gt;=0)*((3*12+(COLUMN('부록3 비작업일수'!$C$39:$N$39)-2)-MONTH('부록3 비작업일수'!$C$3))&lt;'부록3 비작업일수'!$C$4)*'부록3 비작업일수'!$C$39:$N$39)+SUMPRODUCT(((4*12+(COLUMN('부록3 비작업일수'!$C$48:$N$48)-2)-MONTH('부록3 비작업일수'!$C$3))&gt;=0)*((4*12+(COLUMN('부록3 비작업일수'!$C$48:$N$48)-2)-MONTH('부록3 비작업일수'!$C$3))&lt;'부록3 비작업일수'!$C$4)*'부록3 비작업일수'!$C$48:$N$48),0)</f>
        <v>5</v>
      </c>
    </row>
    <row r="49" spans="1:23" ht="18" customHeight="1">
      <c r="A49" s="37"/>
      <c r="B49" s="73"/>
      <c r="C49" s="37"/>
      <c r="D49" s="37"/>
      <c r="E49" s="562" t="s">
        <v>617</v>
      </c>
      <c r="F49" s="152"/>
      <c r="G49" s="563">
        <f>$T$47</f>
        <v>30</v>
      </c>
      <c r="H49" s="200"/>
      <c r="I49" s="37"/>
      <c r="J49" s="73"/>
      <c r="K49" s="37"/>
      <c r="L49" s="37"/>
      <c r="M49" s="37"/>
      <c r="N49" s="37"/>
      <c r="O49" s="37"/>
      <c r="P49" s="75"/>
    </row>
    <row r="50" spans="1:23">
      <c r="A50" s="37"/>
      <c r="B50" s="73"/>
      <c r="C50" s="37"/>
      <c r="D50" s="37"/>
      <c r="E50" s="37"/>
      <c r="F50" s="37"/>
      <c r="G50" s="37"/>
      <c r="H50" s="75"/>
      <c r="I50" s="37"/>
      <c r="J50" s="73"/>
      <c r="K50" s="37"/>
      <c r="L50" s="37"/>
      <c r="M50" s="37"/>
      <c r="N50" s="37"/>
      <c r="O50" s="37"/>
      <c r="P50" s="75"/>
    </row>
    <row r="51" spans="1:23" ht="18" customHeight="1">
      <c r="A51" s="37"/>
      <c r="B51" s="73"/>
      <c r="C51" s="37"/>
      <c r="D51" s="37"/>
      <c r="E51" s="268" t="s">
        <v>618</v>
      </c>
      <c r="F51" s="152"/>
      <c r="G51" s="269">
        <f>-$T$48</f>
        <v>-5</v>
      </c>
      <c r="H51" s="200"/>
      <c r="I51" s="37"/>
      <c r="J51" s="73"/>
      <c r="K51" s="37"/>
      <c r="L51" s="37"/>
      <c r="M51" s="37"/>
      <c r="N51" s="37"/>
      <c r="O51" s="37"/>
      <c r="P51" s="75"/>
    </row>
    <row r="52" spans="1:23">
      <c r="A52" s="37"/>
      <c r="B52" s="73"/>
      <c r="C52" s="37"/>
      <c r="D52" s="37"/>
      <c r="E52" s="37"/>
      <c r="F52" s="37"/>
      <c r="G52" s="37"/>
      <c r="H52" s="75"/>
      <c r="I52" s="37"/>
      <c r="J52" s="73"/>
      <c r="K52" s="37"/>
      <c r="L52" s="37"/>
      <c r="M52" s="37"/>
      <c r="N52" s="37"/>
      <c r="O52" s="37"/>
      <c r="P52" s="75"/>
    </row>
    <row r="53" spans="1:23" ht="18" customHeight="1">
      <c r="A53" s="37"/>
      <c r="B53" s="73"/>
      <c r="C53" s="37"/>
      <c r="D53" s="37"/>
      <c r="E53" s="562" t="s">
        <v>619</v>
      </c>
      <c r="F53" s="152"/>
      <c r="G53" s="563">
        <f>'부록3 비작업일수'!N55</f>
        <v>118</v>
      </c>
      <c r="H53" s="200"/>
      <c r="I53" s="37"/>
      <c r="J53" s="73"/>
      <c r="K53" s="37"/>
      <c r="L53" s="37"/>
      <c r="M53" s="37"/>
      <c r="N53" s="37"/>
      <c r="O53" s="37"/>
      <c r="P53" s="75"/>
    </row>
    <row r="54" spans="1:23">
      <c r="A54" s="37"/>
      <c r="B54" s="73"/>
      <c r="C54" s="37"/>
      <c r="D54" s="37"/>
      <c r="E54" s="37"/>
      <c r="F54" s="37"/>
      <c r="G54" s="37"/>
      <c r="H54" s="75"/>
      <c r="I54" s="37"/>
      <c r="J54" s="73"/>
      <c r="K54" s="37"/>
      <c r="L54" s="37"/>
      <c r="M54" s="37"/>
      <c r="N54" s="37"/>
      <c r="O54" s="37"/>
      <c r="P54" s="75"/>
    </row>
    <row r="55" spans="1:23" ht="18" customHeight="1" thickBot="1">
      <c r="A55" s="37"/>
      <c r="B55" s="74"/>
      <c r="C55" s="72"/>
      <c r="D55" s="72"/>
      <c r="E55" s="708" t="s">
        <v>611</v>
      </c>
      <c r="F55" s="203"/>
      <c r="G55" s="203"/>
      <c r="H55" s="204"/>
      <c r="I55" s="37"/>
      <c r="J55" s="74"/>
      <c r="K55" s="72"/>
      <c r="L55" s="72"/>
      <c r="M55" s="72"/>
      <c r="N55" s="72"/>
      <c r="O55" s="72"/>
      <c r="P55" s="76"/>
    </row>
    <row r="56" spans="1:23" ht="20.100000000000001" customHeight="1">
      <c r="A56" s="37"/>
      <c r="B56" s="709" t="s">
        <v>615</v>
      </c>
      <c r="C56" s="258"/>
      <c r="D56" s="258"/>
      <c r="E56" s="258"/>
      <c r="F56" s="258"/>
      <c r="G56" s="258"/>
      <c r="H56" s="258"/>
      <c r="I56" s="264"/>
      <c r="J56" s="258"/>
      <c r="K56" s="258"/>
      <c r="L56" s="258"/>
      <c r="M56" s="258"/>
      <c r="N56" s="258"/>
      <c r="O56" s="258"/>
      <c r="P56" s="265"/>
    </row>
    <row r="57" spans="1:23" ht="21.95" customHeight="1">
      <c r="A57" s="37"/>
      <c r="B57" s="564" t="str">
        <f>"A(기상) "&amp;TEXT($T$47,"#,##0")&amp;"일    +    B(법정공휴일) "&amp;TEXT($T$46,"#,##0")&amp;"일    −    C(중복) "&amp;TEXT($T$48,"#,##0")&amp;"일    →    적용(주40H 하한 반영) "&amp;TEXT('부록3 비작업일수'!N55,"#,##0")&amp;"일     ·     전체 공사기간 "&amp;TEXT('부록3 비작업일수'!C4,"0.0")&amp;"개월"</f>
        <v>A(기상) 30일    +    B(법정공휴일) 77일    −    C(중복) 5일    →    적용(주40H 하한 반영) 118일     ·     전체 공사기간 12.6개월</v>
      </c>
      <c r="C57" s="266"/>
      <c r="D57" s="266"/>
      <c r="E57" s="266"/>
      <c r="F57" s="266"/>
      <c r="G57" s="266"/>
      <c r="H57" s="266"/>
      <c r="I57" s="266"/>
      <c r="J57" s="266"/>
      <c r="K57" s="266"/>
      <c r="L57" s="266"/>
      <c r="M57" s="266"/>
      <c r="N57" s="266"/>
      <c r="O57" s="266"/>
      <c r="P57" s="267"/>
    </row>
    <row r="58" spans="1:23" hidden="1" outlineLevel="1">
      <c r="A58" s="37"/>
      <c r="B58" s="263" t="s">
        <v>530</v>
      </c>
      <c r="C58" s="152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</row>
    <row r="59" spans="1:23" hidden="1" outlineLevel="1">
      <c r="A59" s="37"/>
      <c r="B59" s="38" t="s">
        <v>531</v>
      </c>
      <c r="C59" s="38" t="s">
        <v>521</v>
      </c>
      <c r="D59" s="37"/>
      <c r="E59" s="565" t="s">
        <v>762</v>
      </c>
      <c r="F59" s="565" t="s">
        <v>521</v>
      </c>
      <c r="G59" s="37"/>
      <c r="H59" s="37"/>
      <c r="I59" s="37"/>
      <c r="J59" s="37"/>
      <c r="K59" s="37"/>
      <c r="L59" s="37"/>
      <c r="M59" s="37"/>
      <c r="N59" s="37"/>
      <c r="O59" s="37"/>
      <c r="P59" s="37"/>
    </row>
    <row r="60" spans="1:23" hidden="1" outlineLevel="1">
      <c r="A60" s="37"/>
      <c r="B60" s="37" t="s">
        <v>271</v>
      </c>
      <c r="C60" s="39">
        <f>SUMIF('(검토1안) 표준품셈 작업일수'!$B$4:$B$25,B60,'(검토1안) 표준품셈 작업일수'!$I$4:$I$25)</f>
        <v>0</v>
      </c>
      <c r="D60" s="37"/>
      <c r="E60" s="37" t="str" cm="1">
        <f t="array" ref="E60:F73">_xlfn._xlws.SORT(_xlfn._xlws.FILTER(V60:W85,(W60:W85&gt;=5)*(V60:V85&lt;&gt;"")),2,-1)</f>
        <v>미장공사</v>
      </c>
      <c r="F60" s="37">
        <v>52</v>
      </c>
      <c r="G60" s="37"/>
      <c r="H60" s="37"/>
      <c r="I60" s="37"/>
      <c r="J60" s="37"/>
      <c r="K60" s="37"/>
      <c r="L60" s="37"/>
      <c r="M60" s="37"/>
      <c r="N60" s="37"/>
      <c r="O60" s="37"/>
      <c r="P60" s="37"/>
      <c r="V60" t="str" cm="1">
        <f t="array" ref="V60:V74">_xlfn.UNIQUE(_xlfn._xlws.FILTER('(검토1안) 표준품셈 작업일수'!$B$4:$B$38,'(검토1안) 표준품셈 작업일수'!$B$4:$B$38&lt;&gt;""))</f>
        <v>가설공사</v>
      </c>
      <c r="W60" cm="1">
        <f t="array" ref="W60:W74">SUMIF('(검토1안) 표준품셈 작업일수'!$B$4:$B$38,_xlfn.ANCHORARRAY(V60),'(검토1안) 표준품셈 작업일수'!$I$4:$I$38)</f>
        <v>49</v>
      </c>
    </row>
    <row r="61" spans="1:23" hidden="1" outlineLevel="1">
      <c r="A61" s="37"/>
      <c r="B61" s="37" t="s">
        <v>244</v>
      </c>
      <c r="C61" s="39">
        <f>SUMIF('(검토1안) 표준품셈 작업일수'!$B$4:$B$25,B61,'(검토1안) 표준품셈 작업일수'!$I$4:$I$25)</f>
        <v>51</v>
      </c>
      <c r="D61" s="37"/>
      <c r="E61" s="37" t="str">
        <v>거푸집공사</v>
      </c>
      <c r="F61" s="37">
        <v>51</v>
      </c>
      <c r="G61" s="37"/>
      <c r="H61" s="37"/>
      <c r="I61" s="37"/>
      <c r="J61" s="37"/>
      <c r="K61" s="37"/>
      <c r="L61" s="37"/>
      <c r="M61" s="37"/>
      <c r="N61" s="37"/>
      <c r="O61" s="37"/>
      <c r="P61" s="37"/>
      <c r="V61" t="str">
        <v>토공사</v>
      </c>
      <c r="W61">
        <v>7</v>
      </c>
    </row>
    <row r="62" spans="1:23" hidden="1" outlineLevel="1">
      <c r="A62" s="37"/>
      <c r="B62" s="37" t="s">
        <v>257</v>
      </c>
      <c r="C62" s="39">
        <f>SUMIF('(검토1안) 표준품셈 작업일수'!$B$4:$B$25,B62,'(검토1안) 표준품셈 작업일수'!$I$4:$I$25)</f>
        <v>28</v>
      </c>
      <c r="D62" s="37"/>
      <c r="E62" s="37" t="str">
        <v>가설공사</v>
      </c>
      <c r="F62" s="37">
        <v>49</v>
      </c>
      <c r="G62" s="37"/>
      <c r="H62" s="37"/>
      <c r="I62" s="37"/>
      <c r="J62" s="37"/>
      <c r="K62" s="37"/>
      <c r="L62" s="37"/>
      <c r="M62" s="37"/>
      <c r="N62" s="37"/>
      <c r="O62" s="37"/>
      <c r="P62" s="37"/>
      <c r="V62" t="str">
        <v>철근공사</v>
      </c>
      <c r="W62">
        <v>21</v>
      </c>
    </row>
    <row r="63" spans="1:23" hidden="1" outlineLevel="1">
      <c r="A63" s="37"/>
      <c r="B63" s="37" t="s">
        <v>248</v>
      </c>
      <c r="C63" s="39">
        <f>SUMIF('(검토1안) 표준품셈 작업일수'!$B$4:$B$25,B63,'(검토1안) 표준품셈 작업일수'!$I$4:$I$25)</f>
        <v>27</v>
      </c>
      <c r="D63" s="37"/>
      <c r="E63" s="37" t="str">
        <v>수장공사</v>
      </c>
      <c r="F63" s="37">
        <v>41.9</v>
      </c>
      <c r="G63" s="37"/>
      <c r="H63" s="37"/>
      <c r="I63" s="37"/>
      <c r="J63" s="37"/>
      <c r="K63" s="37"/>
      <c r="L63" s="37"/>
      <c r="M63" s="37"/>
      <c r="N63" s="37"/>
      <c r="O63" s="37"/>
      <c r="P63" s="37"/>
      <c r="V63" t="str">
        <v>거푸집공사</v>
      </c>
      <c r="W63">
        <v>51</v>
      </c>
    </row>
    <row r="64" spans="1:23" hidden="1" outlineLevel="1">
      <c r="A64" s="37"/>
      <c r="B64" s="37" t="s">
        <v>239</v>
      </c>
      <c r="C64" s="39">
        <f>SUMIF('(검토1안) 표준품셈 작업일수'!$B$4:$B$25,B64,'(검토1안) 표준품셈 작업일수'!$I$4:$I$25)</f>
        <v>0</v>
      </c>
      <c r="D64" s="37"/>
      <c r="E64" s="37" t="str">
        <v>도배바닥재</v>
      </c>
      <c r="F64" s="37">
        <v>30</v>
      </c>
      <c r="G64" s="37"/>
      <c r="H64" s="37"/>
      <c r="I64" s="37"/>
      <c r="J64" s="37"/>
      <c r="K64" s="37"/>
      <c r="L64" s="37"/>
      <c r="M64" s="37"/>
      <c r="N64" s="37"/>
      <c r="O64" s="37"/>
      <c r="P64" s="37"/>
      <c r="V64" t="str">
        <v>콘크리트공사</v>
      </c>
      <c r="W64">
        <v>20</v>
      </c>
    </row>
    <row r="65" spans="1:23" hidden="1" outlineLevel="1">
      <c r="A65" s="37"/>
      <c r="B65" s="37" t="s">
        <v>241</v>
      </c>
      <c r="C65" s="39">
        <f>SUMIF('(검토1안) 표준품셈 작업일수'!$B$4:$B$25,B65,'(검토1안) 표준품셈 작업일수'!$I$4:$I$25)</f>
        <v>21</v>
      </c>
      <c r="D65" s="37"/>
      <c r="E65" s="37" t="str">
        <v>타일공사</v>
      </c>
      <c r="F65" s="37">
        <v>28</v>
      </c>
      <c r="G65" s="37"/>
      <c r="H65" s="37"/>
      <c r="I65" s="37"/>
      <c r="J65" s="37"/>
      <c r="K65" s="37"/>
      <c r="L65" s="37"/>
      <c r="M65" s="37"/>
      <c r="N65" s="37"/>
      <c r="O65" s="37"/>
      <c r="P65" s="37"/>
      <c r="V65" t="str">
        <v>철골공사</v>
      </c>
      <c r="W65">
        <v>1</v>
      </c>
    </row>
    <row r="66" spans="1:23" hidden="1" outlineLevel="1">
      <c r="A66" s="37"/>
      <c r="B66" s="37" t="s">
        <v>245</v>
      </c>
      <c r="C66" s="39">
        <f>SUMIF('(검토1안) 표준품셈 작업일수'!$B$4:$B$25,B66,'(검토1안) 표준품셈 작업일수'!$I$4:$I$25)</f>
        <v>20</v>
      </c>
      <c r="D66" s="37"/>
      <c r="E66" s="37" t="str">
        <v>조적공사</v>
      </c>
      <c r="F66" s="37">
        <v>27</v>
      </c>
      <c r="G66" s="37"/>
      <c r="H66" s="37"/>
      <c r="I66" s="37"/>
      <c r="J66" s="37"/>
      <c r="K66" s="37"/>
      <c r="L66" s="37"/>
      <c r="M66" s="37"/>
      <c r="N66" s="37"/>
      <c r="O66" s="37"/>
      <c r="P66" s="37"/>
      <c r="V66" t="str">
        <v>조적공사</v>
      </c>
      <c r="W66">
        <v>27</v>
      </c>
    </row>
    <row r="67" spans="1:23" hidden="1" outlineLevel="1">
      <c r="A67" s="37"/>
      <c r="B67" s="37" t="s">
        <v>43</v>
      </c>
      <c r="C67" s="39">
        <f>SUMIF('(검토1안) 표준품셈 작업일수'!$B$4:$B$25,B67,'(검토1안) 표준품셈 작업일수'!$I$4:$I$25)</f>
        <v>1</v>
      </c>
      <c r="D67" s="37"/>
      <c r="E67" s="37" t="str">
        <v>방수공사</v>
      </c>
      <c r="F67" s="37">
        <v>25</v>
      </c>
      <c r="G67" s="37"/>
      <c r="H67" s="37"/>
      <c r="I67" s="37"/>
      <c r="J67" s="37"/>
      <c r="K67" s="37"/>
      <c r="L67" s="37"/>
      <c r="M67" s="37"/>
      <c r="N67" s="37"/>
      <c r="O67" s="37"/>
      <c r="P67" s="37"/>
      <c r="V67" t="str">
        <v>미장공사</v>
      </c>
      <c r="W67">
        <v>52</v>
      </c>
    </row>
    <row r="68" spans="1:23" collapsed="1">
      <c r="A68" s="37"/>
      <c r="B68" s="37"/>
      <c r="C68" s="37"/>
      <c r="D68" s="37"/>
      <c r="E68" s="37" t="str">
        <v>철근공사</v>
      </c>
      <c r="F68" s="37">
        <v>21</v>
      </c>
      <c r="G68" s="37"/>
      <c r="H68" s="37"/>
      <c r="I68" s="37"/>
      <c r="J68" s="37"/>
      <c r="K68" s="37"/>
      <c r="L68" s="37"/>
      <c r="M68" s="37"/>
      <c r="N68" s="37"/>
      <c r="O68" s="37"/>
      <c r="P68" s="37"/>
      <c r="V68" t="str">
        <v>방수공사</v>
      </c>
      <c r="W68">
        <v>25</v>
      </c>
    </row>
    <row r="69" spans="1:23">
      <c r="A69" s="37"/>
      <c r="B69" s="37"/>
      <c r="C69" s="37"/>
      <c r="D69" s="37"/>
      <c r="E69" s="37" t="str">
        <v>창호유리공사</v>
      </c>
      <c r="F69" s="37">
        <v>21</v>
      </c>
      <c r="G69" s="37"/>
      <c r="H69" s="37"/>
      <c r="I69" s="37"/>
      <c r="J69" s="37"/>
      <c r="K69" s="37"/>
      <c r="L69" s="37"/>
      <c r="M69" s="37"/>
      <c r="N69" s="37"/>
      <c r="O69" s="37"/>
      <c r="P69" s="37"/>
      <c r="V69" t="str">
        <v>타일공사</v>
      </c>
      <c r="W69">
        <v>28</v>
      </c>
    </row>
    <row r="70" spans="1:23">
      <c r="A70" s="37"/>
      <c r="B70" s="37"/>
      <c r="C70" s="37"/>
      <c r="D70" s="37"/>
      <c r="E70" s="37" t="str">
        <v>콘크리트공사</v>
      </c>
      <c r="F70" s="37">
        <v>20</v>
      </c>
      <c r="G70" s="37"/>
      <c r="H70" s="37"/>
      <c r="I70" s="37"/>
      <c r="J70" s="37"/>
      <c r="K70" s="37"/>
      <c r="L70" s="37"/>
      <c r="M70" s="37"/>
      <c r="N70" s="37"/>
      <c r="O70" s="37"/>
      <c r="P70" s="37"/>
      <c r="V70" t="str">
        <v>창호유리공사</v>
      </c>
      <c r="W70">
        <v>21</v>
      </c>
    </row>
    <row r="71" spans="1:23">
      <c r="A71" s="37"/>
      <c r="B71" s="37"/>
      <c r="C71" s="37"/>
      <c r="D71" s="37"/>
      <c r="E71" s="37" t="str">
        <v>기계설비</v>
      </c>
      <c r="F71" s="37">
        <v>19</v>
      </c>
      <c r="G71" s="37"/>
      <c r="H71" s="37"/>
      <c r="I71" s="37"/>
      <c r="J71" s="37"/>
      <c r="K71" s="37"/>
      <c r="L71" s="37"/>
      <c r="M71" s="37"/>
      <c r="N71" s="37"/>
      <c r="O71" s="37"/>
      <c r="P71" s="37"/>
      <c r="V71" t="str">
        <v>수장공사</v>
      </c>
      <c r="W71">
        <v>41.9</v>
      </c>
    </row>
    <row r="72" spans="1:23">
      <c r="A72" s="37"/>
      <c r="B72" s="37"/>
      <c r="C72" s="37"/>
      <c r="D72" s="37"/>
      <c r="E72" s="37" t="str">
        <v>토공사</v>
      </c>
      <c r="F72" s="37">
        <v>7</v>
      </c>
      <c r="G72" s="37"/>
      <c r="H72" s="37"/>
      <c r="I72" s="37"/>
      <c r="J72" s="37"/>
      <c r="K72" s="37"/>
      <c r="L72" s="37"/>
      <c r="M72" s="37"/>
      <c r="N72" s="37"/>
      <c r="O72" s="37"/>
      <c r="P72" s="37"/>
      <c r="V72" t="str">
        <v>도배바닥재</v>
      </c>
      <c r="W72">
        <v>30</v>
      </c>
    </row>
    <row r="73" spans="1:23">
      <c r="A73" s="37"/>
      <c r="B73" s="37"/>
      <c r="C73" s="37"/>
      <c r="D73" s="37"/>
      <c r="E73" s="37" t="str">
        <v>조경공사</v>
      </c>
      <c r="F73" s="37">
        <v>6</v>
      </c>
      <c r="G73" s="37"/>
      <c r="H73" s="37"/>
      <c r="I73" s="37"/>
      <c r="J73" s="37"/>
      <c r="K73" s="37"/>
      <c r="L73" s="37"/>
      <c r="M73" s="37"/>
      <c r="N73" s="37"/>
      <c r="O73" s="37"/>
      <c r="P73" s="37"/>
      <c r="V73" t="str">
        <v>기계설비</v>
      </c>
      <c r="W73">
        <v>19</v>
      </c>
    </row>
    <row r="74" spans="1:2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V74" t="str">
        <v>조경공사</v>
      </c>
      <c r="W74">
        <v>6</v>
      </c>
    </row>
    <row r="75" spans="1:2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</row>
    <row r="76" spans="1:2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</row>
    <row r="77" spans="1:2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</row>
    <row r="78" spans="1:2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</row>
    <row r="79" spans="1:2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</row>
  </sheetData>
  <mergeCells count="64">
    <mergeCell ref="B38:E38"/>
    <mergeCell ref="B39:E39"/>
    <mergeCell ref="B40:E40"/>
    <mergeCell ref="B41:E41"/>
    <mergeCell ref="B31:E31"/>
    <mergeCell ref="B32:E32"/>
    <mergeCell ref="B33:E33"/>
    <mergeCell ref="B34:E34"/>
    <mergeCell ref="B35:E35"/>
    <mergeCell ref="B27:E27"/>
    <mergeCell ref="B28:E28"/>
    <mergeCell ref="B19:E19"/>
    <mergeCell ref="B20:E20"/>
    <mergeCell ref="B21:E21"/>
    <mergeCell ref="B22:E22"/>
    <mergeCell ref="B23:E23"/>
    <mergeCell ref="B29:E29"/>
    <mergeCell ref="B30:E30"/>
    <mergeCell ref="B36:E36"/>
    <mergeCell ref="B37:E37"/>
    <mergeCell ref="J4:L4"/>
    <mergeCell ref="B4:D4"/>
    <mergeCell ref="B5:D5"/>
    <mergeCell ref="B6:D6"/>
    <mergeCell ref="B7:D7"/>
    <mergeCell ref="F4:H4"/>
    <mergeCell ref="F5:H5"/>
    <mergeCell ref="F6:H6"/>
    <mergeCell ref="F7:H7"/>
    <mergeCell ref="B24:E24"/>
    <mergeCell ref="B25:E25"/>
    <mergeCell ref="B26:E26"/>
    <mergeCell ref="B58:C58"/>
    <mergeCell ref="J18:P18"/>
    <mergeCell ref="B45:H45"/>
    <mergeCell ref="C13:E13"/>
    <mergeCell ref="G13:I13"/>
    <mergeCell ref="K13:M13"/>
    <mergeCell ref="E55:H55"/>
    <mergeCell ref="J45:P45"/>
    <mergeCell ref="B56:P56"/>
    <mergeCell ref="B57:P57"/>
    <mergeCell ref="E47:F47"/>
    <mergeCell ref="G47:H47"/>
    <mergeCell ref="E49:F49"/>
    <mergeCell ref="G49:H49"/>
    <mergeCell ref="E51:F51"/>
    <mergeCell ref="G51:H51"/>
    <mergeCell ref="E53:F53"/>
    <mergeCell ref="G53:H53"/>
    <mergeCell ref="B2:P2"/>
    <mergeCell ref="B9:P9"/>
    <mergeCell ref="B16:P16"/>
    <mergeCell ref="B43:P43"/>
    <mergeCell ref="C11:N11"/>
    <mergeCell ref="O13:P13"/>
    <mergeCell ref="B18:H18"/>
    <mergeCell ref="J5:L5"/>
    <mergeCell ref="J6:L6"/>
    <mergeCell ref="J7:L7"/>
    <mergeCell ref="N4:P4"/>
    <mergeCell ref="N5:P5"/>
    <mergeCell ref="N6:P6"/>
    <mergeCell ref="N7:P7"/>
  </mergeCells>
  <phoneticPr fontId="5" type="noConversion"/>
  <conditionalFormatting sqref="B7">
    <cfRule type="dataBar" priority="1">
      <dataBar showValue="0">
        <cfvo type="num" val="0"/>
        <cfvo type="num" val="1"/>
        <color rgb="FF1A1A1A"/>
      </dataBar>
      <extLst>
        <ext xmlns:x14="http://schemas.microsoft.com/office/spreadsheetml/2009/9/main" uri="{B025F937-C7B1-47D3-B67F-A62EFF666E3E}">
          <x14:id>{D5CEEF8F-84DE-43E1-A376-3F0805692C23}</x14:id>
        </ext>
      </extLst>
    </cfRule>
  </conditionalFormatting>
  <conditionalFormatting sqref="F7">
    <cfRule type="dataBar" priority="2">
      <dataBar showValue="0">
        <cfvo type="num" val="0"/>
        <cfvo type="num" val="1"/>
        <color rgb="FF1A1A1A"/>
      </dataBar>
      <extLst>
        <ext xmlns:x14="http://schemas.microsoft.com/office/spreadsheetml/2009/9/main" uri="{B025F937-C7B1-47D3-B67F-A62EFF666E3E}">
          <x14:id>{5075AE93-BED9-4EFC-B02A-275900BBE90C}</x14:id>
        </ext>
      </extLst>
    </cfRule>
  </conditionalFormatting>
  <conditionalFormatting sqref="J7">
    <cfRule type="dataBar" priority="3">
      <dataBar showValue="0">
        <cfvo type="num" val="0"/>
        <cfvo type="num" val="1"/>
        <color rgb="FF1A1A1A"/>
      </dataBar>
      <extLst>
        <ext xmlns:x14="http://schemas.microsoft.com/office/spreadsheetml/2009/9/main" uri="{B025F937-C7B1-47D3-B67F-A62EFF666E3E}">
          <x14:id>{EF48DA9D-F8E5-4941-BE97-60BA9150F592}</x14:id>
        </ext>
      </extLst>
    </cfRule>
  </conditionalFormatting>
  <conditionalFormatting sqref="N7">
    <cfRule type="dataBar" priority="4">
      <dataBar showValue="0">
        <cfvo type="num" val="0"/>
        <cfvo type="num" val="1"/>
        <color rgb="FF1A1A1A"/>
      </dataBar>
      <extLst>
        <ext xmlns:x14="http://schemas.microsoft.com/office/spreadsheetml/2009/9/main" uri="{B025F937-C7B1-47D3-B67F-A62EFF666E3E}">
          <x14:id>{57B06B24-5A5F-4814-B86D-9CFA1D4881A8}</x14:id>
        </ext>
      </extLst>
    </cfRule>
  </conditionalFormatting>
  <printOptions horizontalCentered="1"/>
  <pageMargins left="0.25" right="0.25" top="0.25" bottom="0.25" header="0.1111111111111111" footer="0.1111111111111111"/>
  <pageSetup paperSize="9" scale="8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CEEF8F-84DE-43E1-A376-3F0805692C23}">
            <x14:dataBar minLength="0" maxLength="100" border="1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  <x14:borderColor rgb="FF2563EB"/>
            </x14:dataBar>
          </x14:cfRule>
          <xm:sqref>B7</xm:sqref>
        </x14:conditionalFormatting>
        <x14:conditionalFormatting xmlns:xm="http://schemas.microsoft.com/office/excel/2006/main">
          <x14:cfRule type="dataBar" id="{5075AE93-BED9-4EFC-B02A-275900BBE90C}">
            <x14:dataBar minLength="0" maxLength="100" border="1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  <x14:borderColor rgb="FF4F46E5"/>
            </x14:dataBar>
          </x14:cfRule>
          <xm:sqref>F7</xm:sqref>
        </x14:conditionalFormatting>
        <x14:conditionalFormatting xmlns:xm="http://schemas.microsoft.com/office/excel/2006/main">
          <x14:cfRule type="dataBar" id="{EF48DA9D-F8E5-4941-BE97-60BA9150F592}">
            <x14:dataBar minLength="0" maxLength="100" border="1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  <x14:borderColor rgb="FFF59E0B"/>
            </x14:dataBar>
          </x14:cfRule>
          <xm:sqref>J7</xm:sqref>
        </x14:conditionalFormatting>
        <x14:conditionalFormatting xmlns:xm="http://schemas.microsoft.com/office/excel/2006/main">
          <x14:cfRule type="dataBar" id="{57B06B24-5A5F-4814-B86D-9CFA1D4881A8}">
            <x14:dataBar minLength="0" maxLength="100" border="1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  <x14:borderColor rgb="FF10B981"/>
            </x14:dataBar>
          </x14:cfRule>
          <xm:sqref>N7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894A-D34A-4AD0-AD35-2CB90E5C2E84}">
  <sheetPr>
    <pageSetUpPr fitToPage="1"/>
  </sheetPr>
  <dimension ref="A1:M93"/>
  <sheetViews>
    <sheetView view="pageBreakPreview" zoomScale="85" zoomScaleNormal="100" zoomScaleSheetLayoutView="85" workbookViewId="0">
      <selection activeCell="Q9" sqref="Q9"/>
    </sheetView>
  </sheetViews>
  <sheetFormatPr defaultColWidth="9.140625" defaultRowHeight="15.75"/>
  <cols>
    <col min="1" max="1" width="8.42578125" style="11" customWidth="1"/>
    <col min="2" max="2" width="10.140625" style="11" customWidth="1"/>
    <col min="3" max="4" width="5.28515625" style="11" customWidth="1"/>
    <col min="5" max="5" width="12.140625" style="11" customWidth="1"/>
    <col min="6" max="6" width="29.42578125" style="11" customWidth="1"/>
    <col min="7" max="7" width="9.7109375" style="11" customWidth="1"/>
    <col min="8" max="8" width="10.85546875" style="11" customWidth="1"/>
    <col min="9" max="9" width="9.7109375" style="11" customWidth="1"/>
    <col min="10" max="10" width="8.7109375" style="11" customWidth="1"/>
    <col min="11" max="16384" width="9.140625" style="11"/>
  </cols>
  <sheetData>
    <row r="1" spans="1:13" s="9" customFormat="1" ht="30" customHeight="1">
      <c r="A1" s="466" t="s">
        <v>546</v>
      </c>
      <c r="B1" s="467"/>
      <c r="C1" s="467"/>
      <c r="D1" s="467"/>
      <c r="E1" s="467"/>
      <c r="F1" s="467"/>
      <c r="G1" s="467"/>
      <c r="H1" s="467"/>
      <c r="I1" s="467"/>
      <c r="J1" s="468"/>
      <c r="K1" s="280"/>
      <c r="L1" s="280"/>
      <c r="M1" s="280"/>
    </row>
    <row r="2" spans="1:13" s="9" customFormat="1" ht="18" thickBot="1">
      <c r="A2" s="469" t="s">
        <v>549</v>
      </c>
      <c r="B2" s="469"/>
      <c r="C2" s="469"/>
      <c r="D2" s="469"/>
      <c r="E2" s="469"/>
      <c r="F2" s="469"/>
      <c r="G2" s="469"/>
      <c r="H2" s="469"/>
      <c r="I2" s="469"/>
      <c r="J2" s="469"/>
      <c r="K2" s="8"/>
      <c r="L2" s="8"/>
      <c r="M2" s="8"/>
    </row>
    <row r="3" spans="1:13" s="10" customFormat="1" ht="34.5" customHeight="1">
      <c r="A3" s="470" t="s">
        <v>155</v>
      </c>
      <c r="B3" s="471"/>
      <c r="C3" s="471"/>
      <c r="D3" s="471" t="s">
        <v>156</v>
      </c>
      <c r="E3" s="471"/>
      <c r="F3" s="472" t="s">
        <v>157</v>
      </c>
      <c r="G3" s="473" t="s">
        <v>548</v>
      </c>
      <c r="H3" s="473" t="s">
        <v>158</v>
      </c>
      <c r="I3" s="473" t="s">
        <v>547</v>
      </c>
      <c r="J3" s="474" t="s">
        <v>159</v>
      </c>
    </row>
    <row r="4" spans="1:13" s="10" customFormat="1" ht="18.95" customHeight="1">
      <c r="A4" s="475" t="s">
        <v>160</v>
      </c>
      <c r="B4" s="476"/>
      <c r="C4" s="476"/>
      <c r="D4" s="476" t="s">
        <v>161</v>
      </c>
      <c r="E4" s="476"/>
      <c r="F4" s="477" t="s">
        <v>162</v>
      </c>
      <c r="G4" s="44">
        <v>10</v>
      </c>
      <c r="H4" s="49" t="str">
        <f>IF('1. 기본정보'!$C$4&lt;10,"O","X")</f>
        <v>X</v>
      </c>
      <c r="I4" s="44">
        <f t="shared" ref="I4:I12" si="0">IF(H4="O",G4,0)</f>
        <v>0</v>
      </c>
      <c r="J4" s="478"/>
    </row>
    <row r="5" spans="1:13" s="10" customFormat="1" ht="18.95" customHeight="1">
      <c r="A5" s="475"/>
      <c r="B5" s="476"/>
      <c r="C5" s="476"/>
      <c r="D5" s="476"/>
      <c r="E5" s="476"/>
      <c r="F5" s="477" t="s">
        <v>163</v>
      </c>
      <c r="G5" s="44">
        <v>20</v>
      </c>
      <c r="H5" s="49" t="str">
        <f>IF('1. 기본정보'!$C$4&gt;=10,"O","X")</f>
        <v>O</v>
      </c>
      <c r="I5" s="44">
        <f t="shared" si="0"/>
        <v>20</v>
      </c>
      <c r="J5" s="478"/>
    </row>
    <row r="6" spans="1:13" s="10" customFormat="1" ht="18.95" customHeight="1">
      <c r="A6" s="475"/>
      <c r="B6" s="476"/>
      <c r="C6" s="476"/>
      <c r="D6" s="476"/>
      <c r="E6" s="476"/>
      <c r="F6" s="477" t="s">
        <v>183</v>
      </c>
      <c r="G6" s="479">
        <v>45</v>
      </c>
      <c r="H6" s="50" t="s">
        <v>503</v>
      </c>
      <c r="I6" s="479">
        <f t="shared" si="0"/>
        <v>45</v>
      </c>
      <c r="J6" s="478"/>
    </row>
    <row r="7" spans="1:13" s="10" customFormat="1" ht="18.95" customHeight="1">
      <c r="A7" s="475" t="s">
        <v>184</v>
      </c>
      <c r="B7" s="476"/>
      <c r="C7" s="476"/>
      <c r="D7" s="476" t="s">
        <v>185</v>
      </c>
      <c r="E7" s="476"/>
      <c r="F7" s="477" t="s">
        <v>186</v>
      </c>
      <c r="G7" s="479">
        <v>10</v>
      </c>
      <c r="H7" s="50" t="s">
        <v>180</v>
      </c>
      <c r="I7" s="479">
        <f t="shared" si="0"/>
        <v>0</v>
      </c>
      <c r="J7" s="480"/>
    </row>
    <row r="8" spans="1:13" s="10" customFormat="1" ht="18.95" customHeight="1">
      <c r="A8" s="475"/>
      <c r="B8" s="476"/>
      <c r="C8" s="476"/>
      <c r="D8" s="476" t="s">
        <v>187</v>
      </c>
      <c r="E8" s="476"/>
      <c r="F8" s="477" t="s">
        <v>188</v>
      </c>
      <c r="G8" s="479">
        <v>10</v>
      </c>
      <c r="H8" s="50" t="s">
        <v>180</v>
      </c>
      <c r="I8" s="479">
        <f t="shared" si="0"/>
        <v>0</v>
      </c>
      <c r="J8" s="478"/>
    </row>
    <row r="9" spans="1:13" s="10" customFormat="1" ht="18.95" customHeight="1">
      <c r="A9" s="475"/>
      <c r="B9" s="476"/>
      <c r="C9" s="476"/>
      <c r="D9" s="476"/>
      <c r="E9" s="476"/>
      <c r="F9" s="477" t="s">
        <v>189</v>
      </c>
      <c r="G9" s="479">
        <v>20</v>
      </c>
      <c r="H9" s="50" t="s">
        <v>180</v>
      </c>
      <c r="I9" s="479">
        <f t="shared" si="0"/>
        <v>0</v>
      </c>
      <c r="J9" s="478"/>
    </row>
    <row r="10" spans="1:13" s="10" customFormat="1" ht="18.95" customHeight="1">
      <c r="A10" s="481" t="s">
        <v>190</v>
      </c>
      <c r="B10" s="482" t="s">
        <v>191</v>
      </c>
      <c r="C10" s="482"/>
      <c r="D10" s="476" t="s">
        <v>192</v>
      </c>
      <c r="E10" s="476"/>
      <c r="F10" s="477" t="s">
        <v>193</v>
      </c>
      <c r="G10" s="479">
        <v>40</v>
      </c>
      <c r="H10" s="50" t="s">
        <v>180</v>
      </c>
      <c r="I10" s="479">
        <f t="shared" si="0"/>
        <v>0</v>
      </c>
      <c r="J10" s="478"/>
    </row>
    <row r="11" spans="1:13" s="10" customFormat="1" ht="18.95" customHeight="1">
      <c r="A11" s="481"/>
      <c r="B11" s="482"/>
      <c r="C11" s="482"/>
      <c r="D11" s="476"/>
      <c r="E11" s="476"/>
      <c r="F11" s="477" t="s">
        <v>194</v>
      </c>
      <c r="G11" s="479">
        <v>80</v>
      </c>
      <c r="H11" s="50" t="s">
        <v>180</v>
      </c>
      <c r="I11" s="479">
        <f t="shared" si="0"/>
        <v>0</v>
      </c>
      <c r="J11" s="478"/>
    </row>
    <row r="12" spans="1:13" s="10" customFormat="1" ht="18.95" customHeight="1">
      <c r="A12" s="481"/>
      <c r="B12" s="482"/>
      <c r="C12" s="482"/>
      <c r="D12" s="476" t="s">
        <v>195</v>
      </c>
      <c r="E12" s="476"/>
      <c r="F12" s="477"/>
      <c r="G12" s="479">
        <v>11</v>
      </c>
      <c r="H12" s="50" t="s">
        <v>503</v>
      </c>
      <c r="I12" s="479">
        <f t="shared" si="0"/>
        <v>11</v>
      </c>
      <c r="J12" s="480"/>
    </row>
    <row r="13" spans="1:13" s="10" customFormat="1" ht="18.95" customHeight="1">
      <c r="A13" s="481"/>
      <c r="B13" s="482" t="s">
        <v>196</v>
      </c>
      <c r="C13" s="482" t="s">
        <v>197</v>
      </c>
      <c r="D13" s="476" t="s">
        <v>198</v>
      </c>
      <c r="E13" s="476"/>
      <c r="F13" s="477" t="s">
        <v>186</v>
      </c>
      <c r="G13" s="479">
        <v>31</v>
      </c>
      <c r="H13" s="49" t="str">
        <f>VALUE(LEFT('1. 기본정보'!$C$6,FIND("/",'1. 기본정보'!$C$6)-1))&amp;"층"</f>
        <v>0층</v>
      </c>
      <c r="I13" s="479">
        <f>IFERROR(G13*VALUE(SUBSTITUTE(H13,"층","")),0)</f>
        <v>0</v>
      </c>
      <c r="J13" s="478"/>
    </row>
    <row r="14" spans="1:13" s="10" customFormat="1" ht="18.95" customHeight="1">
      <c r="A14" s="481"/>
      <c r="B14" s="482"/>
      <c r="C14" s="482"/>
      <c r="D14" s="476" t="s">
        <v>199</v>
      </c>
      <c r="E14" s="476"/>
      <c r="F14" s="477" t="s">
        <v>200</v>
      </c>
      <c r="G14" s="479">
        <v>10</v>
      </c>
      <c r="H14" s="50" t="s">
        <v>180</v>
      </c>
      <c r="I14" s="479">
        <f>IF(H14="O",G14,0)</f>
        <v>0</v>
      </c>
      <c r="J14" s="478"/>
    </row>
    <row r="15" spans="1:13" s="10" customFormat="1" ht="18.95" customHeight="1">
      <c r="A15" s="481"/>
      <c r="B15" s="482"/>
      <c r="C15" s="482"/>
      <c r="D15" s="476"/>
      <c r="E15" s="476"/>
      <c r="F15" s="477" t="s">
        <v>201</v>
      </c>
      <c r="G15" s="479">
        <v>20</v>
      </c>
      <c r="H15" s="50" t="s">
        <v>180</v>
      </c>
      <c r="I15" s="479">
        <f>IF(H15="O",G15,0)</f>
        <v>0</v>
      </c>
      <c r="J15" s="478"/>
    </row>
    <row r="16" spans="1:13" s="10" customFormat="1" ht="18.95" customHeight="1">
      <c r="A16" s="481"/>
      <c r="B16" s="482"/>
      <c r="C16" s="482" t="s">
        <v>202</v>
      </c>
      <c r="D16" s="482" t="s">
        <v>203</v>
      </c>
      <c r="E16" s="483" t="s">
        <v>204</v>
      </c>
      <c r="F16" s="477" t="s">
        <v>204</v>
      </c>
      <c r="G16" s="479">
        <v>30</v>
      </c>
      <c r="H16" s="49" t="str">
        <f>IF(VALUE(MID('1. 기본정보'!$C$6,FIND("/",'1. 기본정보'!$C$6)+1,10))&gt;=1,"1층","-")</f>
        <v>1층</v>
      </c>
      <c r="I16" s="479">
        <f>IF(H16="1층",G16,0)</f>
        <v>30</v>
      </c>
      <c r="J16" s="478"/>
    </row>
    <row r="17" spans="1:10" s="10" customFormat="1" ht="18.95" customHeight="1">
      <c r="A17" s="481"/>
      <c r="B17" s="482"/>
      <c r="C17" s="482"/>
      <c r="D17" s="482"/>
      <c r="E17" s="483" t="s">
        <v>219</v>
      </c>
      <c r="F17" s="477" t="s">
        <v>219</v>
      </c>
      <c r="G17" s="479">
        <v>21</v>
      </c>
      <c r="H17" s="49" t="str">
        <f>VALUE(MID('1. 기본정보'!$C$6,FIND("/",'1. 기본정보'!$C$6)+1,10))&amp;"층"</f>
        <v>4층</v>
      </c>
      <c r="I17" s="479">
        <f>IFERROR(G17*(VALUE(SUBSTITUTE(H17,"층",""))-1),0)</f>
        <v>63</v>
      </c>
      <c r="J17" s="478"/>
    </row>
    <row r="18" spans="1:10" s="10" customFormat="1" ht="18.95" customHeight="1">
      <c r="A18" s="481"/>
      <c r="B18" s="482"/>
      <c r="C18" s="482"/>
      <c r="D18" s="482"/>
      <c r="E18" s="483" t="s">
        <v>205</v>
      </c>
      <c r="F18" s="477" t="s">
        <v>206</v>
      </c>
      <c r="G18" s="479">
        <v>1</v>
      </c>
      <c r="H18" s="49" t="str">
        <f>VALUE(MID('1. 기본정보'!$C$6,FIND("/",'1. 기본정보'!$C$6)+1,10))&amp;"층"</f>
        <v>4층</v>
      </c>
      <c r="I18" s="479">
        <f>IFERROR(G18*VALUE(SUBSTITUTE(H18,"층","")),0)</f>
        <v>4</v>
      </c>
      <c r="J18" s="480"/>
    </row>
    <row r="19" spans="1:10" s="10" customFormat="1" ht="18.95" customHeight="1">
      <c r="A19" s="481"/>
      <c r="B19" s="482"/>
      <c r="C19" s="482"/>
      <c r="D19" s="476" t="s">
        <v>207</v>
      </c>
      <c r="E19" s="476"/>
      <c r="F19" s="477" t="s">
        <v>208</v>
      </c>
      <c r="G19" s="479">
        <v>15</v>
      </c>
      <c r="H19" s="49" t="str">
        <f>IF('1. 기본정보'!$C$7=F19,"O","X")</f>
        <v>X</v>
      </c>
      <c r="I19" s="479">
        <f>IF(H19="O",G19,0)</f>
        <v>0</v>
      </c>
      <c r="J19" s="478"/>
    </row>
    <row r="20" spans="1:10" s="10" customFormat="1" ht="18.95" customHeight="1">
      <c r="A20" s="481"/>
      <c r="B20" s="482"/>
      <c r="C20" s="482"/>
      <c r="D20" s="476"/>
      <c r="E20" s="476"/>
      <c r="F20" s="477" t="s">
        <v>209</v>
      </c>
      <c r="G20" s="479">
        <v>12</v>
      </c>
      <c r="H20" s="49" t="str">
        <f>IF('1. 기본정보'!$C$7=F20,"O","X")</f>
        <v>O</v>
      </c>
      <c r="I20" s="479">
        <f>IF(H20="O",G20,0)</f>
        <v>12</v>
      </c>
      <c r="J20" s="478"/>
    </row>
    <row r="21" spans="1:10" s="10" customFormat="1" ht="18.95" customHeight="1">
      <c r="A21" s="481"/>
      <c r="B21" s="482"/>
      <c r="C21" s="482"/>
      <c r="D21" s="476"/>
      <c r="E21" s="476"/>
      <c r="F21" s="477" t="s">
        <v>210</v>
      </c>
      <c r="G21" s="479">
        <v>10</v>
      </c>
      <c r="H21" s="49" t="str">
        <f>IF('1. 기본정보'!$C$7=F21,"O","X")</f>
        <v>X</v>
      </c>
      <c r="I21" s="479">
        <f>IF(H21="O",G21,0)</f>
        <v>0</v>
      </c>
      <c r="J21" s="478"/>
    </row>
    <row r="22" spans="1:10" s="10" customFormat="1" ht="18.95" customHeight="1">
      <c r="A22" s="481"/>
      <c r="B22" s="476" t="s">
        <v>167</v>
      </c>
      <c r="C22" s="476"/>
      <c r="D22" s="476"/>
      <c r="E22" s="476"/>
      <c r="F22" s="477" t="s">
        <v>211</v>
      </c>
      <c r="G22" s="479">
        <v>5</v>
      </c>
      <c r="H22" s="49" t="str">
        <f>VALUE(MID('1. 기본정보'!$C$6,FIND("/",'1. 기본정보'!$C$6)+1,10))&amp;"층"</f>
        <v>4층</v>
      </c>
      <c r="I22" s="479">
        <f t="shared" ref="I22:I28" si="1">IFERROR(G22*VALUE(SUBSTITUTE(H22,"층","")),0)</f>
        <v>20</v>
      </c>
      <c r="J22" s="484"/>
    </row>
    <row r="23" spans="1:10" s="10" customFormat="1" ht="18.95" customHeight="1">
      <c r="A23" s="481"/>
      <c r="B23" s="476"/>
      <c r="C23" s="476"/>
      <c r="D23" s="476"/>
      <c r="E23" s="476"/>
      <c r="F23" s="477" t="s">
        <v>212</v>
      </c>
      <c r="G23" s="479">
        <v>7</v>
      </c>
      <c r="H23" s="49" t="str">
        <f>VALUE(MID('1. 기본정보'!$C$6,FIND("/",'1. 기본정보'!$C$6)+1,10))&amp;"층"</f>
        <v>4층</v>
      </c>
      <c r="I23" s="479">
        <f t="shared" si="1"/>
        <v>28</v>
      </c>
      <c r="J23" s="484"/>
    </row>
    <row r="24" spans="1:10" s="10" customFormat="1" ht="18.95" customHeight="1">
      <c r="A24" s="481"/>
      <c r="B24" s="476"/>
      <c r="C24" s="476"/>
      <c r="D24" s="476"/>
      <c r="E24" s="476"/>
      <c r="F24" s="477" t="s">
        <v>213</v>
      </c>
      <c r="G24" s="479">
        <v>6</v>
      </c>
      <c r="H24" s="49" t="str">
        <f>VALUE(MID('1. 기본정보'!$C$6,FIND("/",'1. 기본정보'!$C$6)+1,10))&amp;"층"</f>
        <v>4층</v>
      </c>
      <c r="I24" s="479">
        <f t="shared" si="1"/>
        <v>24</v>
      </c>
      <c r="J24" s="484"/>
    </row>
    <row r="25" spans="1:10" s="10" customFormat="1" ht="18.95" customHeight="1">
      <c r="A25" s="481"/>
      <c r="B25" s="476"/>
      <c r="C25" s="476"/>
      <c r="D25" s="476"/>
      <c r="E25" s="476"/>
      <c r="F25" s="477" t="s">
        <v>214</v>
      </c>
      <c r="G25" s="479">
        <v>3</v>
      </c>
      <c r="H25" s="49" t="str">
        <f>VALUE(MID('1. 기본정보'!$C$6,FIND("/",'1. 기본정보'!$C$6)+1,10))&amp;"층"</f>
        <v>4층</v>
      </c>
      <c r="I25" s="479">
        <f t="shared" si="1"/>
        <v>12</v>
      </c>
      <c r="J25" s="484"/>
    </row>
    <row r="26" spans="1:10" s="10" customFormat="1" ht="18.95" customHeight="1">
      <c r="A26" s="481"/>
      <c r="B26" s="476"/>
      <c r="C26" s="476"/>
      <c r="D26" s="476"/>
      <c r="E26" s="476"/>
      <c r="F26" s="477" t="s">
        <v>215</v>
      </c>
      <c r="G26" s="479">
        <v>2</v>
      </c>
      <c r="H26" s="49" t="str">
        <f>VALUE(MID('1. 기본정보'!$C$6,FIND("/",'1. 기본정보'!$C$6)+1,10))&amp;"층"</f>
        <v>4층</v>
      </c>
      <c r="I26" s="479">
        <f t="shared" si="1"/>
        <v>8</v>
      </c>
      <c r="J26" s="484"/>
    </row>
    <row r="27" spans="1:10" s="10" customFormat="1" ht="18.95" customHeight="1">
      <c r="A27" s="481"/>
      <c r="B27" s="476"/>
      <c r="C27" s="476"/>
      <c r="D27" s="476"/>
      <c r="E27" s="476"/>
      <c r="F27" s="477" t="s">
        <v>216</v>
      </c>
      <c r="G27" s="479">
        <v>7</v>
      </c>
      <c r="H27" s="49" t="str">
        <f>VALUE(MID('1. 기본정보'!$C$6,FIND("/",'1. 기본정보'!$C$6)+1,10))&amp;"층"</f>
        <v>4층</v>
      </c>
      <c r="I27" s="479">
        <f t="shared" si="1"/>
        <v>28</v>
      </c>
      <c r="J27" s="484"/>
    </row>
    <row r="28" spans="1:10" s="10" customFormat="1" ht="18.95" customHeight="1">
      <c r="A28" s="481"/>
      <c r="B28" s="476"/>
      <c r="C28" s="476"/>
      <c r="D28" s="476"/>
      <c r="E28" s="476"/>
      <c r="F28" s="477" t="s">
        <v>217</v>
      </c>
      <c r="G28" s="479">
        <v>3</v>
      </c>
      <c r="H28" s="49" t="str">
        <f>VALUE(MID('1. 기본정보'!$C$6,FIND("/",'1. 기본정보'!$C$6)+1,10))&amp;"층"</f>
        <v>4층</v>
      </c>
      <c r="I28" s="479">
        <f t="shared" si="1"/>
        <v>12</v>
      </c>
      <c r="J28" s="484"/>
    </row>
    <row r="29" spans="1:10" s="10" customFormat="1" ht="18.95" customHeight="1">
      <c r="A29" s="475" t="s">
        <v>218</v>
      </c>
      <c r="B29" s="476"/>
      <c r="C29" s="476"/>
      <c r="D29" s="476"/>
      <c r="E29" s="476"/>
      <c r="F29" s="477" t="s">
        <v>168</v>
      </c>
      <c r="G29" s="479">
        <v>15</v>
      </c>
      <c r="H29" s="49" t="str">
        <f>'1. 기본정보'!$C$15</f>
        <v>해당</v>
      </c>
      <c r="I29" s="479">
        <f>IF(H29="해당",G29,0)</f>
        <v>15</v>
      </c>
      <c r="J29" s="480"/>
    </row>
    <row r="30" spans="1:10" s="10" customFormat="1" ht="18.95" customHeight="1">
      <c r="A30" s="475"/>
      <c r="B30" s="476"/>
      <c r="C30" s="476"/>
      <c r="D30" s="476"/>
      <c r="E30" s="476"/>
      <c r="F30" s="477" t="s">
        <v>169</v>
      </c>
      <c r="G30" s="479">
        <v>15</v>
      </c>
      <c r="H30" s="49" t="str">
        <f>'1. 기본정보'!$C$16</f>
        <v>해당</v>
      </c>
      <c r="I30" s="479">
        <f>IF(H30="해당",G30,0)</f>
        <v>15</v>
      </c>
      <c r="J30" s="480"/>
    </row>
    <row r="31" spans="1:10" s="10" customFormat="1" ht="18.95" customHeight="1">
      <c r="A31" s="475" t="s">
        <v>164</v>
      </c>
      <c r="B31" s="476"/>
      <c r="C31" s="476"/>
      <c r="D31" s="476"/>
      <c r="E31" s="476"/>
      <c r="F31" s="477" t="s">
        <v>165</v>
      </c>
      <c r="G31" s="479">
        <v>1</v>
      </c>
      <c r="H31" s="49" t="str">
        <f>IF(IFERROR(VALUE('1. 기본정보'!$C$13),0)&gt;0,"O","X")</f>
        <v>X</v>
      </c>
      <c r="I31" s="479">
        <f>IF(H31="O",G31*ROUNDUP(IFERROR(VALUE('1. 기본정보'!$C$13),0)/90,0),0)</f>
        <v>0</v>
      </c>
      <c r="J31" s="484"/>
    </row>
    <row r="32" spans="1:10" s="10" customFormat="1" ht="18.95" customHeight="1">
      <c r="A32" s="475"/>
      <c r="B32" s="476"/>
      <c r="C32" s="476"/>
      <c r="D32" s="476"/>
      <c r="E32" s="476"/>
      <c r="F32" s="477" t="s">
        <v>166</v>
      </c>
      <c r="G32" s="479">
        <v>1</v>
      </c>
      <c r="H32" s="49" t="str">
        <f>IF(IFERROR(VALUE('1. 기본정보'!$C$13),0)&gt;0,"O","X")</f>
        <v>X</v>
      </c>
      <c r="I32" s="479">
        <f>IF(H32="O",G32*ROUNDUP(IFERROR(VALUE('1. 기본정보'!$C$13),0)/90,0),0)</f>
        <v>0</v>
      </c>
      <c r="J32" s="484"/>
    </row>
    <row r="33" spans="1:10" s="10" customFormat="1" ht="18.95" customHeight="1">
      <c r="A33" s="475"/>
      <c r="B33" s="476"/>
      <c r="C33" s="476"/>
      <c r="D33" s="476"/>
      <c r="E33" s="476"/>
      <c r="F33" s="477" t="s">
        <v>179</v>
      </c>
      <c r="G33" s="479">
        <v>7</v>
      </c>
      <c r="H33" s="49" t="str">
        <f>IF(IFERROR(VALUE('1. 기본정보'!$C$14),0)&gt;0,"O","X")</f>
        <v>X</v>
      </c>
      <c r="I33" s="479">
        <f>IF(H33="O",G33+MAX(ROUNDUP(IFERROR(VALUE('1. 기본정보'!$C$14),0)/400,0)-1,0),0)</f>
        <v>0</v>
      </c>
      <c r="J33" s="478"/>
    </row>
    <row r="34" spans="1:10" s="10" customFormat="1" ht="18.95" customHeight="1">
      <c r="A34" s="475" t="s">
        <v>170</v>
      </c>
      <c r="B34" s="476"/>
      <c r="C34" s="476"/>
      <c r="D34" s="476"/>
      <c r="E34" s="476" t="s">
        <v>171</v>
      </c>
      <c r="F34" s="477" t="s">
        <v>172</v>
      </c>
      <c r="G34" s="479">
        <v>15</v>
      </c>
      <c r="H34" s="49" t="str">
        <f>IF('1. 기본정보'!$C$4&lt;10,"O","X")</f>
        <v>X</v>
      </c>
      <c r="I34" s="479">
        <f t="shared" ref="I34:I39" si="2">IF(H34="O",G34,0)</f>
        <v>0</v>
      </c>
      <c r="J34" s="478"/>
    </row>
    <row r="35" spans="1:10" s="10" customFormat="1" ht="18.95" customHeight="1">
      <c r="A35" s="475"/>
      <c r="B35" s="476"/>
      <c r="C35" s="476"/>
      <c r="D35" s="476"/>
      <c r="E35" s="476"/>
      <c r="F35" s="477" t="s">
        <v>146</v>
      </c>
      <c r="G35" s="479">
        <v>30</v>
      </c>
      <c r="H35" s="49" t="str">
        <f>IF('1. 기본정보'!$C$4&gt;=10,"O","X")</f>
        <v>O</v>
      </c>
      <c r="I35" s="479">
        <f t="shared" si="2"/>
        <v>30</v>
      </c>
      <c r="J35" s="478"/>
    </row>
    <row r="36" spans="1:10" s="10" customFormat="1" ht="18.95" customHeight="1">
      <c r="A36" s="475" t="s">
        <v>173</v>
      </c>
      <c r="B36" s="476"/>
      <c r="C36" s="476"/>
      <c r="D36" s="476"/>
      <c r="E36" s="476"/>
      <c r="F36" s="477" t="s">
        <v>174</v>
      </c>
      <c r="G36" s="479">
        <v>60</v>
      </c>
      <c r="H36" s="49" t="str">
        <f>IF('1. 기본정보'!$C$12=F36,"O","X")</f>
        <v>X</v>
      </c>
      <c r="I36" s="479">
        <f t="shared" si="2"/>
        <v>0</v>
      </c>
      <c r="J36" s="480"/>
    </row>
    <row r="37" spans="1:10" s="10" customFormat="1" ht="18.95" customHeight="1">
      <c r="A37" s="475"/>
      <c r="B37" s="476"/>
      <c r="C37" s="476"/>
      <c r="D37" s="476"/>
      <c r="E37" s="476"/>
      <c r="F37" s="477" t="s">
        <v>175</v>
      </c>
      <c r="G37" s="479">
        <v>45</v>
      </c>
      <c r="H37" s="49" t="str">
        <f>IF('1. 기본정보'!$C$12=F37,"O","X")</f>
        <v>X</v>
      </c>
      <c r="I37" s="479">
        <f t="shared" si="2"/>
        <v>0</v>
      </c>
      <c r="J37" s="480"/>
    </row>
    <row r="38" spans="1:10" s="10" customFormat="1" ht="18.95" customHeight="1">
      <c r="A38" s="475"/>
      <c r="B38" s="476"/>
      <c r="C38" s="476"/>
      <c r="D38" s="476"/>
      <c r="E38" s="476"/>
      <c r="F38" s="477" t="s">
        <v>176</v>
      </c>
      <c r="G38" s="479">
        <v>30</v>
      </c>
      <c r="H38" s="49" t="str">
        <f>IF('1. 기본정보'!$C$12=F38,"O","X")</f>
        <v>X</v>
      </c>
      <c r="I38" s="479">
        <f t="shared" si="2"/>
        <v>0</v>
      </c>
      <c r="J38" s="480"/>
    </row>
    <row r="39" spans="1:10" s="10" customFormat="1" ht="18.95" customHeight="1" thickBot="1">
      <c r="A39" s="485"/>
      <c r="B39" s="486"/>
      <c r="C39" s="486"/>
      <c r="D39" s="486"/>
      <c r="E39" s="486"/>
      <c r="F39" s="487" t="s">
        <v>177</v>
      </c>
      <c r="G39" s="488">
        <v>15</v>
      </c>
      <c r="H39" s="51" t="str">
        <f>IF('1. 기본정보'!$C$12=F39,"O","X")</f>
        <v>X</v>
      </c>
      <c r="I39" s="488">
        <f t="shared" si="2"/>
        <v>0</v>
      </c>
      <c r="J39" s="489"/>
    </row>
    <row r="40" spans="1:10" s="10" customFormat="1" ht="18.95" customHeight="1" thickBot="1">
      <c r="A40" s="490" t="s">
        <v>178</v>
      </c>
      <c r="B40" s="491"/>
      <c r="C40" s="491"/>
      <c r="D40" s="491"/>
      <c r="E40" s="491"/>
      <c r="F40" s="491"/>
      <c r="G40" s="491"/>
      <c r="H40" s="492"/>
      <c r="I40" s="493">
        <f>SUM(I4:I39)</f>
        <v>377</v>
      </c>
      <c r="J40" s="494"/>
    </row>
    <row r="41" spans="1:10" s="10" customFormat="1" ht="9.75" customHeight="1" thickBot="1">
      <c r="A41" s="276"/>
      <c r="B41" s="276"/>
      <c r="C41" s="276"/>
      <c r="D41" s="276"/>
      <c r="E41" s="276"/>
      <c r="F41" s="276"/>
      <c r="G41" s="276"/>
      <c r="H41" s="276"/>
      <c r="I41" s="276"/>
      <c r="J41" s="276"/>
    </row>
    <row r="42" spans="1:10" s="12" customFormat="1" ht="18.95" customHeight="1" thickBot="1">
      <c r="A42" s="495" t="s">
        <v>553</v>
      </c>
      <c r="B42" s="496"/>
      <c r="C42" s="496"/>
      <c r="D42" s="496"/>
      <c r="E42" s="496"/>
      <c r="F42" s="496"/>
      <c r="G42" s="496"/>
      <c r="H42" s="496"/>
      <c r="I42" s="496"/>
      <c r="J42" s="497"/>
    </row>
    <row r="43" spans="1:10" s="12" customFormat="1" ht="18.95" customHeight="1">
      <c r="A43" s="277" t="s">
        <v>4</v>
      </c>
      <c r="B43" s="278"/>
      <c r="C43" s="278" t="s">
        <v>5</v>
      </c>
      <c r="D43" s="278"/>
      <c r="E43" s="278"/>
      <c r="F43" s="278"/>
      <c r="G43" s="45" t="s">
        <v>51</v>
      </c>
      <c r="H43" s="45" t="s">
        <v>52</v>
      </c>
      <c r="I43" s="278" t="s">
        <v>6</v>
      </c>
      <c r="J43" s="279"/>
    </row>
    <row r="44" spans="1:10" s="12" customFormat="1" ht="18.95" customHeight="1">
      <c r="A44" s="498" t="s">
        <v>7</v>
      </c>
      <c r="B44" s="499"/>
      <c r="C44" s="500" t="s">
        <v>468</v>
      </c>
      <c r="D44" s="500"/>
      <c r="E44" s="500"/>
      <c r="F44" s="500"/>
      <c r="G44" s="501">
        <f>SUM(I4:I6)</f>
        <v>65</v>
      </c>
      <c r="H44" s="502">
        <f>IF($G$48=0,"",G44/$G$48)</f>
        <v>0.17241379310344829</v>
      </c>
      <c r="I44" s="503"/>
      <c r="J44" s="504"/>
    </row>
    <row r="45" spans="1:10" s="12" customFormat="1" ht="18.95" customHeight="1">
      <c r="A45" s="498" t="s">
        <v>476</v>
      </c>
      <c r="B45" s="499"/>
      <c r="C45" s="500" t="s">
        <v>479</v>
      </c>
      <c r="D45" s="500"/>
      <c r="E45" s="500"/>
      <c r="F45" s="500"/>
      <c r="G45" s="501">
        <f>SUM(I7:I33)</f>
        <v>282</v>
      </c>
      <c r="H45" s="502">
        <f>IF($G$48=0,"",G45/$G$48)</f>
        <v>0.74801061007957559</v>
      </c>
      <c r="I45" s="503"/>
      <c r="J45" s="504"/>
    </row>
    <row r="46" spans="1:10" s="12" customFormat="1" ht="18.95" customHeight="1">
      <c r="A46" s="498" t="s">
        <v>477</v>
      </c>
      <c r="B46" s="499"/>
      <c r="C46" s="500" t="s">
        <v>470</v>
      </c>
      <c r="D46" s="500"/>
      <c r="E46" s="500"/>
      <c r="F46" s="500"/>
      <c r="G46" s="501">
        <f>SUM(I34:I35)</f>
        <v>30</v>
      </c>
      <c r="H46" s="502">
        <f>IF($G$48=0,"",G46/$G$48)</f>
        <v>7.9575596816976124E-2</v>
      </c>
      <c r="I46" s="503"/>
      <c r="J46" s="504"/>
    </row>
    <row r="47" spans="1:10" s="12" customFormat="1" ht="18.95" customHeight="1">
      <c r="A47" s="498" t="s">
        <v>478</v>
      </c>
      <c r="B47" s="499"/>
      <c r="C47" s="500" t="s">
        <v>480</v>
      </c>
      <c r="D47" s="500"/>
      <c r="E47" s="500"/>
      <c r="F47" s="500"/>
      <c r="G47" s="501">
        <f>SUM(I36:I39)</f>
        <v>0</v>
      </c>
      <c r="H47" s="502">
        <f>IF($G$48=0,"",G47/$G$48)</f>
        <v>0</v>
      </c>
      <c r="I47" s="503"/>
      <c r="J47" s="504"/>
    </row>
    <row r="48" spans="1:10" s="12" customFormat="1" ht="18.95" customHeight="1" thickBot="1">
      <c r="A48" s="505" t="s">
        <v>153</v>
      </c>
      <c r="B48" s="506"/>
      <c r="C48" s="506"/>
      <c r="D48" s="506"/>
      <c r="E48" s="506"/>
      <c r="F48" s="506"/>
      <c r="G48" s="507">
        <f>G44+G45+G46+G47</f>
        <v>377</v>
      </c>
      <c r="H48" s="508">
        <f>ROUND(G48/30,1)</f>
        <v>12.6</v>
      </c>
      <c r="I48" s="509"/>
      <c r="J48" s="510"/>
    </row>
    <row r="49" s="10" customFormat="1" ht="21.95" customHeight="1"/>
    <row r="50" s="10" customFormat="1" ht="21.95" customHeight="1"/>
    <row r="51" s="10" customFormat="1" ht="21.95" customHeight="1"/>
    <row r="52" s="10" customFormat="1" ht="21.95" customHeight="1"/>
    <row r="53" s="10" customFormat="1" ht="21.95" customHeight="1"/>
    <row r="54" s="10" customFormat="1" ht="21.95" customHeight="1"/>
    <row r="55" s="10" customFormat="1" ht="21.95" customHeight="1"/>
    <row r="56" s="10" customFormat="1" ht="21.95" customHeight="1"/>
    <row r="57" s="10" customFormat="1" ht="21.95" customHeight="1"/>
    <row r="58" s="10" customFormat="1" ht="21.95" customHeight="1"/>
    <row r="59" s="10" customFormat="1" ht="21.95" customHeight="1"/>
    <row r="60" s="10" customFormat="1" ht="30" customHeight="1"/>
    <row r="61" s="10" customFormat="1" ht="21.95" customHeight="1"/>
    <row r="62" s="10" customFormat="1" ht="21.95" customHeight="1"/>
    <row r="63" ht="21.95" customHeight="1"/>
    <row r="64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21.95" customHeight="1"/>
    <row r="93" ht="21.95" customHeight="1"/>
  </sheetData>
  <mergeCells count="56">
    <mergeCell ref="A36:E39"/>
    <mergeCell ref="A40:G40"/>
    <mergeCell ref="A2:J2"/>
    <mergeCell ref="D16:D18"/>
    <mergeCell ref="C16:C21"/>
    <mergeCell ref="D19:E21"/>
    <mergeCell ref="B22:E28"/>
    <mergeCell ref="J22:J28"/>
    <mergeCell ref="A29:E30"/>
    <mergeCell ref="A31:E33"/>
    <mergeCell ref="J31:J33"/>
    <mergeCell ref="A34:D35"/>
    <mergeCell ref="E34:E35"/>
    <mergeCell ref="J34:J35"/>
    <mergeCell ref="C13:C15"/>
    <mergeCell ref="D13:E13"/>
    <mergeCell ref="D8:E9"/>
    <mergeCell ref="J8:J9"/>
    <mergeCell ref="A10:A28"/>
    <mergeCell ref="B10:C12"/>
    <mergeCell ref="D10:E11"/>
    <mergeCell ref="J10:J11"/>
    <mergeCell ref="D12:E12"/>
    <mergeCell ref="B13:B21"/>
    <mergeCell ref="A43:B43"/>
    <mergeCell ref="C43:F43"/>
    <mergeCell ref="I43:J43"/>
    <mergeCell ref="A1:J1"/>
    <mergeCell ref="K1:M1"/>
    <mergeCell ref="A3:C3"/>
    <mergeCell ref="D3:E3"/>
    <mergeCell ref="A4:C6"/>
    <mergeCell ref="D4:E6"/>
    <mergeCell ref="J4:J6"/>
    <mergeCell ref="J13:J15"/>
    <mergeCell ref="D14:E15"/>
    <mergeCell ref="J16:J17"/>
    <mergeCell ref="J19:J21"/>
    <mergeCell ref="A7:C9"/>
    <mergeCell ref="D7:E7"/>
    <mergeCell ref="A41:J41"/>
    <mergeCell ref="A48:F48"/>
    <mergeCell ref="I48:J48"/>
    <mergeCell ref="A42:J42"/>
    <mergeCell ref="A47:B47"/>
    <mergeCell ref="C47:F47"/>
    <mergeCell ref="I47:J47"/>
    <mergeCell ref="A46:B46"/>
    <mergeCell ref="C46:F46"/>
    <mergeCell ref="I46:J46"/>
    <mergeCell ref="A45:B45"/>
    <mergeCell ref="C45:F45"/>
    <mergeCell ref="I45:J45"/>
    <mergeCell ref="A44:B44"/>
    <mergeCell ref="C44:F44"/>
    <mergeCell ref="I44:J44"/>
  </mergeCells>
  <phoneticPr fontId="5" type="noConversion"/>
  <dataValidations count="1">
    <dataValidation type="list" allowBlank="1" showInputMessage="1" showErrorMessage="1" sqref="H14:H15 H6:H12" xr:uid="{FDF0E478-ECAF-4CC3-A915-9231B9B6503C}">
      <formula1>"O,X"</formula1>
    </dataValidation>
  </dataValidations>
  <printOptions horizontalCentered="1"/>
  <pageMargins left="0.25" right="0.25" top="0.25" bottom="0.25" header="0.1111111111111111" footer="0.1111111111111111"/>
  <pageSetup paperSize="9" scale="9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4297-942C-4919-B4BE-55D76D613B7E}">
  <sheetPr>
    <pageSetUpPr fitToPage="1"/>
  </sheetPr>
  <dimension ref="B1:F31"/>
  <sheetViews>
    <sheetView topLeftCell="A15" zoomScaleNormal="100" workbookViewId="0">
      <selection activeCell="N13" sqref="N13"/>
    </sheetView>
  </sheetViews>
  <sheetFormatPr defaultRowHeight="15"/>
  <cols>
    <col min="1" max="1" width="2.140625" customWidth="1"/>
    <col min="2" max="2" width="12.85546875" customWidth="1"/>
    <col min="3" max="3" width="28.5703125" customWidth="1"/>
    <col min="4" max="4" width="16.5703125" customWidth="1"/>
    <col min="5" max="5" width="19" customWidth="1"/>
    <col min="6" max="6" width="6.5703125" customWidth="1"/>
  </cols>
  <sheetData>
    <row r="1" spans="2:6" ht="30" customHeight="1">
      <c r="B1" s="467" t="s">
        <v>571</v>
      </c>
      <c r="C1" s="467"/>
      <c r="D1" s="467"/>
      <c r="E1" s="467"/>
      <c r="F1" s="467"/>
    </row>
    <row r="2" spans="2:6" ht="12" customHeight="1" thickBot="1"/>
    <row r="3" spans="2:6" ht="21.95" customHeight="1" thickBot="1">
      <c r="B3" s="281" t="s">
        <v>563</v>
      </c>
      <c r="C3" s="282"/>
      <c r="D3" s="225"/>
      <c r="E3" s="225"/>
      <c r="F3" s="225"/>
    </row>
    <row r="4" spans="2:6" ht="29.1" customHeight="1">
      <c r="B4" s="511" t="s">
        <v>572</v>
      </c>
      <c r="C4" s="512" t="s">
        <v>573</v>
      </c>
      <c r="D4" s="512" t="s">
        <v>574</v>
      </c>
      <c r="E4" s="512" t="s">
        <v>575</v>
      </c>
      <c r="F4" s="513" t="s">
        <v>564</v>
      </c>
    </row>
    <row r="5" spans="2:6" ht="29.1" customHeight="1">
      <c r="B5" s="514" t="s">
        <v>17</v>
      </c>
      <c r="C5" s="515" t="s">
        <v>18</v>
      </c>
      <c r="D5" s="516" t="s">
        <v>143</v>
      </c>
      <c r="E5" s="517" t="s">
        <v>554</v>
      </c>
      <c r="F5" s="518" t="str">
        <f>IF(AND('1. 기본정보'!$C$9="학교",'1. 기본정보'!$C$4&gt;=0,'1. 기본정보'!$C$4&lt;200),ROUND(129.06*'1. 기본정보'!$C$4^0.2557,0),"")</f>
        <v/>
      </c>
    </row>
    <row r="6" spans="2:6" ht="29.1" customHeight="1">
      <c r="B6" s="514" t="s">
        <v>19</v>
      </c>
      <c r="C6" s="515" t="s">
        <v>132</v>
      </c>
      <c r="D6" s="516"/>
      <c r="E6" s="517" t="s">
        <v>555</v>
      </c>
      <c r="F6" s="518">
        <f>IF(AND('1. 기본정보'!$C$9="청사",'1. 기본정보'!$C$4&lt;=500),ROUND(155.94*LN('1. 기본정보'!$C$4)-82.355,0),"")</f>
        <v>652</v>
      </c>
    </row>
    <row r="7" spans="2:6" ht="29.1" customHeight="1">
      <c r="B7" s="514" t="s">
        <v>20</v>
      </c>
      <c r="C7" s="515" t="s">
        <v>133</v>
      </c>
      <c r="D7" s="516"/>
      <c r="E7" s="517" t="s">
        <v>57</v>
      </c>
      <c r="F7" s="518" t="str">
        <f>IF(AND('1. 기본정보'!$C$9="의료시설",'1. 기본정보'!$C$4&lt;=200),ROUND(-0.0385*'1. 기본정보'!$C$4^2+8.9084*'1. 기본정보'!$C$4+140.87,0),"")</f>
        <v/>
      </c>
    </row>
    <row r="8" spans="2:6" ht="29.1" customHeight="1">
      <c r="B8" s="514" t="s">
        <v>21</v>
      </c>
      <c r="C8" s="515" t="s">
        <v>134</v>
      </c>
      <c r="D8" s="516"/>
      <c r="E8" s="517" t="s">
        <v>58</v>
      </c>
      <c r="F8" s="518" t="str">
        <f>IF(AND('1. 기본정보'!$C$9="경찰서",'1. 기본정보'!$C$4&lt;=300),ROUND(-0.0154*'1. 기본정보'!$C$4^2+7.9986*'1. 기본정보'!$C$4+145.51,0),"")</f>
        <v/>
      </c>
    </row>
    <row r="9" spans="2:6" ht="29.1" customHeight="1">
      <c r="B9" s="514" t="s">
        <v>59</v>
      </c>
      <c r="C9" s="515" t="s">
        <v>135</v>
      </c>
      <c r="D9" s="516"/>
      <c r="E9" s="517" t="s">
        <v>556</v>
      </c>
      <c r="F9" s="518" t="str">
        <f>IF(AND('1. 기본정보'!$C$9="대학·연구시설",'1. 기본정보'!$C$4&gt;=5,'1. 기본정보'!$C$4&lt;=300),ROUND(201.62*LN('1. 기본정보'!$C$4)-175.51,0),"")</f>
        <v/>
      </c>
    </row>
    <row r="10" spans="2:6" ht="29.1" customHeight="1">
      <c r="B10" s="514" t="s">
        <v>136</v>
      </c>
      <c r="C10" s="515" t="s">
        <v>137</v>
      </c>
      <c r="D10" s="516"/>
      <c r="E10" s="517" t="s">
        <v>556</v>
      </c>
      <c r="F10" s="518" t="str">
        <f>IF(AND('1. 기본정보'!$C$9="공연·전시시설 (도서관 포함)",'1. 기본정보'!$C$4&gt;=5,'1. 기본정보'!$C$4&lt;=300),ROUND(-205.7*LN('1. 기본정보'!$C$4)+1375.4,0),"")</f>
        <v/>
      </c>
    </row>
    <row r="11" spans="2:6" ht="29.1" customHeight="1">
      <c r="B11" s="514" t="s">
        <v>22</v>
      </c>
      <c r="C11" s="515" t="s">
        <v>138</v>
      </c>
      <c r="D11" s="516"/>
      <c r="E11" s="517" t="s">
        <v>57</v>
      </c>
      <c r="F11" s="518" t="str">
        <f>IF(AND('1. 기본정보'!$C$9="기숙사",'1. 기본정보'!$C$4&lt;=200),ROUND(-0.0204*'1. 기본정보'!$C$4^2+6.6742*'1. 기본정보'!$C$4+166.51,0),"")</f>
        <v/>
      </c>
    </row>
    <row r="12" spans="2:6" ht="29.1" customHeight="1">
      <c r="B12" s="514" t="s">
        <v>139</v>
      </c>
      <c r="C12" s="515" t="s">
        <v>140</v>
      </c>
      <c r="D12" s="516"/>
      <c r="E12" s="517" t="s">
        <v>57</v>
      </c>
      <c r="F12" s="518" t="str">
        <f>IF(AND('1. 기본정보'!$C$9="공장·창고",'1. 기본정보'!$C$4&lt;=200),ROUND(-0.0271*'1. 기본정보'!$C$4^2+6.9664*'1. 기본정보'!$C$4+146.97,0),"")</f>
        <v/>
      </c>
    </row>
    <row r="13" spans="2:6" ht="29.1" customHeight="1">
      <c r="B13" s="514" t="s">
        <v>23</v>
      </c>
      <c r="C13" s="515" t="s">
        <v>141</v>
      </c>
      <c r="D13" s="516"/>
      <c r="E13" s="517" t="s">
        <v>58</v>
      </c>
      <c r="F13" s="518" t="str">
        <f>IF(AND('1. 기본정보'!$C$9="체육시설",'1. 기본정보'!$C$4&lt;=300),ROUND(112.19*'1. 기본정보'!$C$4^0.3719,0),"")</f>
        <v/>
      </c>
    </row>
    <row r="14" spans="2:6" ht="29.1" customHeight="1">
      <c r="B14" s="514" t="s">
        <v>24</v>
      </c>
      <c r="C14" s="515" t="s">
        <v>142</v>
      </c>
      <c r="D14" s="516"/>
      <c r="E14" s="517" t="s">
        <v>57</v>
      </c>
      <c r="F14" s="518" t="str">
        <f>IF(AND('1. 기본정보'!$C$9="소방시설",'1. 기본정보'!$C$4&lt;=200),ROUND(-0.0497*'1. 기본정보'!$C$4^2+10.744*'1. 기본정보'!$C$4+114.94,0),"")</f>
        <v/>
      </c>
    </row>
    <row r="15" spans="2:6" ht="29.1" customHeight="1">
      <c r="B15" s="514" t="s">
        <v>28</v>
      </c>
      <c r="C15" s="515" t="s">
        <v>561</v>
      </c>
      <c r="D15" s="519" t="s">
        <v>145</v>
      </c>
      <c r="E15" s="516" t="s">
        <v>146</v>
      </c>
      <c r="F15" s="518" t="str">
        <f>IF(AND('1. 기본정보'!$C$9="공동주택",'1. 기본정보'!$C$4&gt;=10),ROUND(-21.674+7.953*$C$21+116.835*LN('1. 기본정보'!$C$4),0),"")</f>
        <v/>
      </c>
    </row>
    <row r="16" spans="2:6" ht="29.1" customHeight="1">
      <c r="B16" s="514" t="s">
        <v>23</v>
      </c>
      <c r="C16" s="515" t="s">
        <v>144</v>
      </c>
      <c r="D16" s="520"/>
      <c r="E16" s="516"/>
      <c r="F16" s="518" t="str">
        <f>IF(AND('1. 기본정보'!$C$9="체육시설",'1. 기본정보'!$C$4&gt;=10),ROUND(-278.109+189.438*LN('1. 기본정보'!$C$4),0),"")</f>
        <v/>
      </c>
    </row>
    <row r="17" spans="2:6" ht="29.1" customHeight="1" thickBot="1">
      <c r="B17" s="521" t="s">
        <v>130</v>
      </c>
      <c r="C17" s="522" t="s">
        <v>560</v>
      </c>
      <c r="D17" s="523"/>
      <c r="E17" s="524"/>
      <c r="F17" s="525" t="str">
        <f>IF(AND(OR('1. 기본정보'!$C$9="기타 건축물",AND('1. 기본정보'!$C$9="학교",'1. 기본정보'!$C$4&gt;=200)),'1. 기본정보'!$C$4&gt;=10,$C$20&gt;0,$C$21&gt;0),ROUND(-68.55+18.192*$C$22+12.079*$C$21-5.25*LN($C$20)+167.632*LN('1. 기본정보'!$C$4),0),"")</f>
        <v/>
      </c>
    </row>
    <row r="18" spans="2:6" ht="15.75" thickBot="1">
      <c r="B18" s="286" t="s">
        <v>559</v>
      </c>
      <c r="C18" s="286"/>
      <c r="D18" s="286"/>
      <c r="E18" s="286"/>
      <c r="F18" s="286"/>
    </row>
    <row r="19" spans="2:6" ht="21.95" customHeight="1" thickBot="1">
      <c r="B19" s="281" t="s">
        <v>562</v>
      </c>
      <c r="C19" s="282"/>
      <c r="D19" s="225"/>
      <c r="E19" s="225"/>
      <c r="F19" s="225"/>
    </row>
    <row r="20" spans="2:6" ht="21.95" customHeight="1">
      <c r="B20" s="333" t="s">
        <v>566</v>
      </c>
      <c r="C20" s="52">
        <f>'1. 기본정보'!$C$5/100</f>
        <v>36.694600000000001</v>
      </c>
      <c r="D20" s="283" t="s">
        <v>565</v>
      </c>
      <c r="E20" s="284"/>
      <c r="F20" s="285"/>
    </row>
    <row r="21" spans="2:6" ht="21.95" customHeight="1">
      <c r="B21" s="333" t="s">
        <v>567</v>
      </c>
      <c r="C21" s="53">
        <f>IFERROR(VALUE(TRIM(MID('1. 기본정보'!$C$6,FIND("/",'1. 기본정보'!$C$6)+1,20))),0)</f>
        <v>4</v>
      </c>
      <c r="D21" s="293" t="s">
        <v>569</v>
      </c>
      <c r="E21" s="294"/>
      <c r="F21" s="295"/>
    </row>
    <row r="22" spans="2:6" ht="21.95" customHeight="1" thickBot="1">
      <c r="B22" s="334" t="s">
        <v>568</v>
      </c>
      <c r="C22" s="54">
        <f>IFERROR(VALUE(TRIM(LEFT('1. 기본정보'!$C$6,FIND("/",'1. 기본정보'!$C$6)-1))),0)</f>
        <v>0</v>
      </c>
      <c r="D22" s="290" t="s">
        <v>570</v>
      </c>
      <c r="E22" s="291"/>
      <c r="F22" s="292"/>
    </row>
    <row r="23" spans="2:6" ht="15.75" thickBot="1">
      <c r="B23" s="56" t="s">
        <v>558</v>
      </c>
      <c r="C23" s="55"/>
      <c r="D23" s="55"/>
      <c r="E23" s="55"/>
      <c r="F23" s="55"/>
    </row>
    <row r="24" spans="2:6" ht="21.95" customHeight="1" thickBot="1">
      <c r="B24" s="526" t="s">
        <v>557</v>
      </c>
      <c r="C24" s="527"/>
      <c r="D24" s="225"/>
      <c r="E24" s="225"/>
      <c r="F24" s="225"/>
    </row>
    <row r="25" spans="2:6" ht="21.95" customHeight="1">
      <c r="B25" s="20" t="s">
        <v>4</v>
      </c>
      <c r="C25" s="21" t="s">
        <v>149</v>
      </c>
      <c r="D25" s="21" t="s">
        <v>51</v>
      </c>
      <c r="E25" s="288" t="s">
        <v>6</v>
      </c>
      <c r="F25" s="289"/>
    </row>
    <row r="26" spans="2:6" ht="21.95" customHeight="1">
      <c r="B26" s="528" t="s">
        <v>150</v>
      </c>
      <c r="C26" s="57" t="str">
        <f>'1. 기본정보'!C9</f>
        <v>청사</v>
      </c>
      <c r="D26" s="529" t="s">
        <v>131</v>
      </c>
      <c r="E26" s="530"/>
      <c r="F26" s="531"/>
    </row>
    <row r="27" spans="2:6" ht="21.95" customHeight="1">
      <c r="B27" s="532" t="s">
        <v>151</v>
      </c>
      <c r="C27" s="533" t="s">
        <v>152</v>
      </c>
      <c r="D27" s="46">
        <f>SUM(F5:F17)</f>
        <v>652</v>
      </c>
      <c r="E27" s="534"/>
      <c r="F27" s="535"/>
    </row>
    <row r="28" spans="2:6" ht="21.95" customHeight="1">
      <c r="B28" s="536" t="s">
        <v>467</v>
      </c>
      <c r="C28" s="537" t="s">
        <v>468</v>
      </c>
      <c r="D28" s="47">
        <f>부록1_준비·정리기간!C5</f>
        <v>60</v>
      </c>
      <c r="E28" s="538" t="s">
        <v>735</v>
      </c>
      <c r="F28" s="539"/>
    </row>
    <row r="29" spans="2:6" ht="21.95" customHeight="1">
      <c r="B29" s="540" t="s">
        <v>469</v>
      </c>
      <c r="C29" s="541" t="s">
        <v>470</v>
      </c>
      <c r="D29" s="48">
        <f>부록1_준비·정리기간!C10</f>
        <v>30</v>
      </c>
      <c r="E29" s="542" t="s">
        <v>737</v>
      </c>
      <c r="F29" s="543"/>
    </row>
    <row r="30" spans="2:6" ht="18" thickBot="1">
      <c r="B30" s="544" t="s">
        <v>154</v>
      </c>
      <c r="C30" s="545"/>
      <c r="D30" s="546">
        <f>D27+D28+D29</f>
        <v>742</v>
      </c>
      <c r="E30" s="547" t="str">
        <f>"약 "&amp;TEXT(D30/30,"0.0")&amp;"개월"</f>
        <v>약 24.7개월</v>
      </c>
      <c r="F30" s="548"/>
    </row>
    <row r="31" spans="2:6">
      <c r="B31" s="287"/>
      <c r="C31" s="287"/>
      <c r="D31" s="287"/>
      <c r="E31" s="287"/>
      <c r="F31" s="287"/>
    </row>
  </sheetData>
  <mergeCells count="22">
    <mergeCell ref="D22:F22"/>
    <mergeCell ref="D5:D14"/>
    <mergeCell ref="D15:D17"/>
    <mergeCell ref="E15:E17"/>
    <mergeCell ref="D19:F19"/>
    <mergeCell ref="D21:F21"/>
    <mergeCell ref="B1:F1"/>
    <mergeCell ref="B19:C19"/>
    <mergeCell ref="D20:F20"/>
    <mergeCell ref="B18:F18"/>
    <mergeCell ref="B31:F31"/>
    <mergeCell ref="D24:F24"/>
    <mergeCell ref="E25:F25"/>
    <mergeCell ref="E26:F26"/>
    <mergeCell ref="E27:F27"/>
    <mergeCell ref="E30:F30"/>
    <mergeCell ref="E28:F28"/>
    <mergeCell ref="E29:F29"/>
    <mergeCell ref="B24:C24"/>
    <mergeCell ref="B30:C30"/>
    <mergeCell ref="D3:F3"/>
    <mergeCell ref="B3:C3"/>
  </mergeCells>
  <phoneticPr fontId="5" type="noConversion"/>
  <printOptions horizontalCentered="1"/>
  <pageMargins left="0.25" right="0.25" top="0.25" bottom="0.25" header="0.1111111111111111" footer="0.1111111111111111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7216-8C31-46E6-B747-67CA767818F5}">
  <sheetPr>
    <tabColor rgb="FFFFFF00"/>
    <pageSetUpPr fitToPage="1"/>
  </sheetPr>
  <dimension ref="A1:J107"/>
  <sheetViews>
    <sheetView showGridLines="0" zoomScale="115" zoomScaleNormal="115" workbookViewId="0">
      <selection activeCell="N17" sqref="N17"/>
    </sheetView>
  </sheetViews>
  <sheetFormatPr defaultColWidth="9.140625" defaultRowHeight="16.5"/>
  <cols>
    <col min="1" max="1" width="12.28515625" style="12" bestFit="1" customWidth="1"/>
    <col min="2" max="2" width="31.5703125" style="12" customWidth="1"/>
    <col min="3" max="3" width="6" style="12" customWidth="1"/>
    <col min="4" max="4" width="7" style="15" customWidth="1"/>
    <col min="5" max="5" width="45.5703125" style="12" bestFit="1" customWidth="1"/>
    <col min="6" max="6" width="9.140625" style="12"/>
    <col min="7" max="7" width="18.28515625" style="12" customWidth="1"/>
    <col min="8" max="16384" width="9.140625" style="12"/>
  </cols>
  <sheetData>
    <row r="1" spans="1:10" ht="26.1" customHeight="1">
      <c r="A1" s="566" t="s">
        <v>738</v>
      </c>
      <c r="B1" s="567"/>
      <c r="C1" s="567"/>
      <c r="D1" s="567"/>
      <c r="E1" s="567"/>
      <c r="F1" s="13"/>
      <c r="G1" s="13"/>
      <c r="J1"/>
    </row>
    <row r="2" spans="1:10" ht="24" customHeight="1" thickBot="1">
      <c r="A2" s="695" t="s">
        <v>227</v>
      </c>
      <c r="B2" s="696"/>
      <c r="C2" s="696"/>
      <c r="D2" s="696"/>
      <c r="E2" s="696"/>
      <c r="F2" s="13"/>
      <c r="G2" s="13"/>
      <c r="J2"/>
    </row>
    <row r="3" spans="1:10" ht="27">
      <c r="A3" s="568" t="s">
        <v>228</v>
      </c>
      <c r="B3" s="569" t="s">
        <v>229</v>
      </c>
      <c r="C3" s="569" t="s">
        <v>41</v>
      </c>
      <c r="D3" s="569" t="s">
        <v>577</v>
      </c>
      <c r="E3" s="570" t="s">
        <v>576</v>
      </c>
      <c r="F3" s="13"/>
      <c r="G3"/>
      <c r="J3"/>
    </row>
    <row r="4" spans="1:10">
      <c r="A4" s="571" t="s">
        <v>231</v>
      </c>
      <c r="B4" s="572" t="s">
        <v>97</v>
      </c>
      <c r="C4" s="573" t="s">
        <v>232</v>
      </c>
      <c r="D4" s="574">
        <v>8</v>
      </c>
      <c r="E4" s="14" t="s">
        <v>233</v>
      </c>
      <c r="F4" s="13"/>
      <c r="G4"/>
      <c r="J4"/>
    </row>
    <row r="5" spans="1:10" ht="24" customHeight="1">
      <c r="A5" s="571" t="s">
        <v>231</v>
      </c>
      <c r="B5" s="572" t="s">
        <v>98</v>
      </c>
      <c r="C5" s="573" t="s">
        <v>234</v>
      </c>
      <c r="D5" s="574">
        <v>100</v>
      </c>
      <c r="E5" s="14" t="s">
        <v>235</v>
      </c>
      <c r="F5" s="13"/>
      <c r="G5"/>
      <c r="J5"/>
    </row>
    <row r="6" spans="1:10">
      <c r="A6" s="571" t="s">
        <v>231</v>
      </c>
      <c r="B6" s="572" t="s">
        <v>237</v>
      </c>
      <c r="C6" s="573" t="s">
        <v>234</v>
      </c>
      <c r="D6" s="574">
        <v>115</v>
      </c>
      <c r="E6" s="14" t="s">
        <v>238</v>
      </c>
      <c r="F6" s="13"/>
      <c r="G6"/>
      <c r="J6"/>
    </row>
    <row r="7" spans="1:10">
      <c r="A7" s="571" t="s">
        <v>231</v>
      </c>
      <c r="B7" s="572" t="s">
        <v>99</v>
      </c>
      <c r="C7" s="573" t="s">
        <v>42</v>
      </c>
      <c r="D7" s="574">
        <v>60</v>
      </c>
      <c r="E7" s="14" t="s">
        <v>240</v>
      </c>
      <c r="F7" s="13"/>
      <c r="G7"/>
    </row>
    <row r="8" spans="1:10">
      <c r="A8" s="571" t="s">
        <v>231</v>
      </c>
      <c r="B8" s="572" t="s">
        <v>242</v>
      </c>
      <c r="C8" s="573" t="s">
        <v>42</v>
      </c>
      <c r="D8" s="574">
        <v>100</v>
      </c>
      <c r="E8" s="14" t="s">
        <v>243</v>
      </c>
      <c r="F8" s="13"/>
      <c r="G8"/>
    </row>
    <row r="9" spans="1:10">
      <c r="A9" s="571" t="s">
        <v>231</v>
      </c>
      <c r="B9" s="572" t="s">
        <v>246</v>
      </c>
      <c r="C9" s="573" t="s">
        <v>42</v>
      </c>
      <c r="D9" s="574">
        <v>100</v>
      </c>
      <c r="E9" s="14" t="s">
        <v>247</v>
      </c>
      <c r="F9" s="13"/>
      <c r="G9"/>
    </row>
    <row r="10" spans="1:10">
      <c r="A10" s="571" t="s">
        <v>236</v>
      </c>
      <c r="B10" s="572" t="s">
        <v>249</v>
      </c>
      <c r="C10" s="573" t="s">
        <v>45</v>
      </c>
      <c r="D10" s="574">
        <v>560</v>
      </c>
      <c r="E10" s="14" t="s">
        <v>250</v>
      </c>
      <c r="F10" s="13"/>
      <c r="G10"/>
    </row>
    <row r="11" spans="1:10">
      <c r="A11" s="571" t="s">
        <v>236</v>
      </c>
      <c r="B11" s="572" t="s">
        <v>252</v>
      </c>
      <c r="C11" s="573" t="s">
        <v>45</v>
      </c>
      <c r="D11" s="574">
        <v>950</v>
      </c>
      <c r="E11" s="14" t="s">
        <v>253</v>
      </c>
      <c r="F11" s="13"/>
      <c r="G11"/>
    </row>
    <row r="12" spans="1:10">
      <c r="A12" s="571" t="s">
        <v>236</v>
      </c>
      <c r="B12" s="572" t="s">
        <v>255</v>
      </c>
      <c r="C12" s="573" t="s">
        <v>45</v>
      </c>
      <c r="D12" s="574">
        <v>514</v>
      </c>
      <c r="E12" s="14" t="s">
        <v>256</v>
      </c>
      <c r="F12" s="13"/>
      <c r="G12"/>
    </row>
    <row r="13" spans="1:10">
      <c r="A13" s="571" t="s">
        <v>236</v>
      </c>
      <c r="B13" s="572" t="s">
        <v>258</v>
      </c>
      <c r="C13" s="573" t="s">
        <v>45</v>
      </c>
      <c r="D13" s="574">
        <v>380</v>
      </c>
      <c r="E13" s="14" t="s">
        <v>259</v>
      </c>
      <c r="F13" s="13"/>
      <c r="G13"/>
    </row>
    <row r="14" spans="1:10">
      <c r="A14" s="571" t="s">
        <v>236</v>
      </c>
      <c r="B14" s="572" t="s">
        <v>261</v>
      </c>
      <c r="C14" s="573" t="s">
        <v>45</v>
      </c>
      <c r="D14" s="574">
        <v>65</v>
      </c>
      <c r="E14" s="14" t="s">
        <v>262</v>
      </c>
      <c r="F14" s="13"/>
      <c r="G14"/>
    </row>
    <row r="15" spans="1:10">
      <c r="A15" s="571" t="s">
        <v>239</v>
      </c>
      <c r="B15" s="572" t="s">
        <v>264</v>
      </c>
      <c r="C15" s="573" t="s">
        <v>265</v>
      </c>
      <c r="D15" s="574">
        <v>10</v>
      </c>
      <c r="E15" s="14" t="s">
        <v>266</v>
      </c>
      <c r="F15" s="13"/>
      <c r="G15"/>
    </row>
    <row r="16" spans="1:10">
      <c r="A16" s="571" t="s">
        <v>239</v>
      </c>
      <c r="B16" s="572" t="s">
        <v>100</v>
      </c>
      <c r="C16" s="573" t="s">
        <v>265</v>
      </c>
      <c r="D16" s="574">
        <v>15</v>
      </c>
      <c r="E16" s="14" t="s">
        <v>268</v>
      </c>
      <c r="F16" s="13"/>
      <c r="G16"/>
    </row>
    <row r="17" spans="1:7">
      <c r="A17" s="571" t="s">
        <v>239</v>
      </c>
      <c r="B17" s="572" t="s">
        <v>101</v>
      </c>
      <c r="C17" s="573" t="s">
        <v>265</v>
      </c>
      <c r="D17" s="574">
        <v>15</v>
      </c>
      <c r="E17" s="14" t="s">
        <v>270</v>
      </c>
      <c r="F17" s="13"/>
      <c r="G17"/>
    </row>
    <row r="18" spans="1:7">
      <c r="A18" s="571" t="s">
        <v>239</v>
      </c>
      <c r="B18" s="572" t="s">
        <v>272</v>
      </c>
      <c r="C18" s="573" t="s">
        <v>265</v>
      </c>
      <c r="D18" s="574">
        <v>27</v>
      </c>
      <c r="E18" s="14" t="s">
        <v>273</v>
      </c>
      <c r="F18" s="13"/>
      <c r="G18"/>
    </row>
    <row r="19" spans="1:7">
      <c r="A19" s="571" t="s">
        <v>239</v>
      </c>
      <c r="B19" s="572" t="s">
        <v>102</v>
      </c>
      <c r="C19" s="573" t="s">
        <v>265</v>
      </c>
      <c r="D19" s="574">
        <v>21</v>
      </c>
      <c r="E19" s="14" t="s">
        <v>275</v>
      </c>
      <c r="F19" s="13"/>
      <c r="G19"/>
    </row>
    <row r="20" spans="1:7">
      <c r="A20" s="571" t="s">
        <v>239</v>
      </c>
      <c r="B20" s="572" t="s">
        <v>103</v>
      </c>
      <c r="C20" s="573" t="s">
        <v>265</v>
      </c>
      <c r="D20" s="574">
        <v>18</v>
      </c>
      <c r="E20" s="14" t="s">
        <v>276</v>
      </c>
      <c r="F20" s="13"/>
      <c r="G20"/>
    </row>
    <row r="21" spans="1:7">
      <c r="A21" s="571" t="s">
        <v>241</v>
      </c>
      <c r="B21" s="572" t="s">
        <v>277</v>
      </c>
      <c r="C21" s="573" t="s">
        <v>278</v>
      </c>
      <c r="D21" s="574">
        <v>4</v>
      </c>
      <c r="E21" s="14" t="s">
        <v>279</v>
      </c>
      <c r="F21" s="13"/>
      <c r="G21"/>
    </row>
    <row r="22" spans="1:7">
      <c r="A22" s="571" t="s">
        <v>241</v>
      </c>
      <c r="B22" s="572" t="s">
        <v>280</v>
      </c>
      <c r="C22" s="573" t="s">
        <v>278</v>
      </c>
      <c r="D22" s="574">
        <v>2.5</v>
      </c>
      <c r="E22" s="14" t="s">
        <v>281</v>
      </c>
      <c r="F22" s="13"/>
      <c r="G22" s="13"/>
    </row>
    <row r="23" spans="1:7">
      <c r="A23" s="571" t="s">
        <v>241</v>
      </c>
      <c r="B23" s="572" t="s">
        <v>282</v>
      </c>
      <c r="C23" s="573" t="s">
        <v>278</v>
      </c>
      <c r="D23" s="574">
        <v>3.4</v>
      </c>
      <c r="E23" s="14" t="s">
        <v>283</v>
      </c>
      <c r="F23" s="13"/>
      <c r="G23" s="13"/>
    </row>
    <row r="24" spans="1:7">
      <c r="A24" s="571" t="s">
        <v>241</v>
      </c>
      <c r="B24" s="572" t="s">
        <v>284</v>
      </c>
      <c r="C24" s="573" t="s">
        <v>278</v>
      </c>
      <c r="D24" s="574">
        <v>3</v>
      </c>
      <c r="E24" s="14" t="s">
        <v>285</v>
      </c>
      <c r="F24" s="13"/>
      <c r="G24" s="13"/>
    </row>
    <row r="25" spans="1:7">
      <c r="A25" s="571" t="s">
        <v>241</v>
      </c>
      <c r="B25" s="572" t="s">
        <v>286</v>
      </c>
      <c r="C25" s="573" t="s">
        <v>278</v>
      </c>
      <c r="D25" s="574">
        <v>3.5</v>
      </c>
      <c r="E25" s="14" t="s">
        <v>287</v>
      </c>
      <c r="F25" s="13"/>
      <c r="G25" s="13"/>
    </row>
    <row r="26" spans="1:7">
      <c r="A26" s="571" t="s">
        <v>244</v>
      </c>
      <c r="B26" s="572" t="s">
        <v>288</v>
      </c>
      <c r="C26" s="573" t="s">
        <v>42</v>
      </c>
      <c r="D26" s="574">
        <v>70</v>
      </c>
      <c r="E26" s="14" t="s">
        <v>289</v>
      </c>
      <c r="F26" s="13"/>
      <c r="G26" s="13"/>
    </row>
    <row r="27" spans="1:7">
      <c r="A27" s="571" t="s">
        <v>244</v>
      </c>
      <c r="B27" s="572" t="s">
        <v>290</v>
      </c>
      <c r="C27" s="573" t="s">
        <v>42</v>
      </c>
      <c r="D27" s="574">
        <v>60</v>
      </c>
      <c r="E27" s="14" t="s">
        <v>289</v>
      </c>
      <c r="F27" s="13"/>
      <c r="G27" s="13"/>
    </row>
    <row r="28" spans="1:7">
      <c r="A28" s="571" t="s">
        <v>244</v>
      </c>
      <c r="B28" s="572" t="s">
        <v>291</v>
      </c>
      <c r="C28" s="573" t="s">
        <v>42</v>
      </c>
      <c r="D28" s="574">
        <v>40</v>
      </c>
      <c r="E28" s="14" t="s">
        <v>289</v>
      </c>
      <c r="F28" s="13"/>
      <c r="G28" s="13"/>
    </row>
    <row r="29" spans="1:7">
      <c r="A29" s="571" t="s">
        <v>244</v>
      </c>
      <c r="B29" s="572" t="s">
        <v>104</v>
      </c>
      <c r="C29" s="573" t="s">
        <v>42</v>
      </c>
      <c r="D29" s="574">
        <v>100</v>
      </c>
      <c r="E29" s="14" t="s">
        <v>292</v>
      </c>
      <c r="F29" s="13"/>
      <c r="G29" s="13"/>
    </row>
    <row r="30" spans="1:7">
      <c r="A30" s="571" t="s">
        <v>244</v>
      </c>
      <c r="B30" s="572" t="s">
        <v>293</v>
      </c>
      <c r="C30" s="573" t="s">
        <v>42</v>
      </c>
      <c r="D30" s="574">
        <v>65</v>
      </c>
      <c r="E30" s="14" t="s">
        <v>294</v>
      </c>
      <c r="F30" s="13"/>
      <c r="G30" s="13"/>
    </row>
    <row r="31" spans="1:7">
      <c r="A31" s="571" t="s">
        <v>244</v>
      </c>
      <c r="B31" s="572" t="s">
        <v>295</v>
      </c>
      <c r="C31" s="573" t="s">
        <v>42</v>
      </c>
      <c r="D31" s="574">
        <v>50</v>
      </c>
      <c r="E31" s="14" t="s">
        <v>294</v>
      </c>
      <c r="F31" s="13"/>
      <c r="G31" s="13"/>
    </row>
    <row r="32" spans="1:7">
      <c r="A32" s="571" t="s">
        <v>244</v>
      </c>
      <c r="B32" s="572" t="s">
        <v>296</v>
      </c>
      <c r="C32" s="573" t="s">
        <v>42</v>
      </c>
      <c r="D32" s="574">
        <v>115</v>
      </c>
      <c r="E32" s="14" t="s">
        <v>294</v>
      </c>
      <c r="F32" s="13"/>
      <c r="G32" s="13"/>
    </row>
    <row r="33" spans="1:7">
      <c r="A33" s="571" t="s">
        <v>244</v>
      </c>
      <c r="B33" s="572" t="s">
        <v>297</v>
      </c>
      <c r="C33" s="573" t="s">
        <v>42</v>
      </c>
      <c r="D33" s="574">
        <v>30</v>
      </c>
      <c r="E33" s="14" t="s">
        <v>298</v>
      </c>
      <c r="F33" s="13"/>
      <c r="G33" s="13"/>
    </row>
    <row r="34" spans="1:7">
      <c r="A34" s="571" t="s">
        <v>244</v>
      </c>
      <c r="B34" s="572" t="s">
        <v>299</v>
      </c>
      <c r="C34" s="573" t="s">
        <v>42</v>
      </c>
      <c r="D34" s="574">
        <v>40</v>
      </c>
      <c r="E34" s="14" t="s">
        <v>298</v>
      </c>
      <c r="F34" s="13"/>
      <c r="G34" s="13"/>
    </row>
    <row r="35" spans="1:7">
      <c r="A35" s="571" t="s">
        <v>244</v>
      </c>
      <c r="B35" s="572" t="s">
        <v>300</v>
      </c>
      <c r="C35" s="573" t="s">
        <v>42</v>
      </c>
      <c r="D35" s="574">
        <v>70</v>
      </c>
      <c r="E35" s="14" t="s">
        <v>298</v>
      </c>
      <c r="F35" s="13"/>
      <c r="G35" s="13"/>
    </row>
    <row r="36" spans="1:7">
      <c r="A36" s="571" t="s">
        <v>244</v>
      </c>
      <c r="B36" s="572" t="s">
        <v>301</v>
      </c>
      <c r="C36" s="573" t="s">
        <v>42</v>
      </c>
      <c r="D36" s="574">
        <v>40</v>
      </c>
      <c r="E36" s="14" t="s">
        <v>302</v>
      </c>
      <c r="F36" s="13"/>
      <c r="G36" s="13"/>
    </row>
    <row r="37" spans="1:7">
      <c r="A37" s="571" t="s">
        <v>244</v>
      </c>
      <c r="B37" s="572" t="s">
        <v>303</v>
      </c>
      <c r="C37" s="573" t="s">
        <v>42</v>
      </c>
      <c r="D37" s="574">
        <v>50</v>
      </c>
      <c r="E37" s="14" t="s">
        <v>302</v>
      </c>
      <c r="F37" s="13"/>
      <c r="G37" s="13"/>
    </row>
    <row r="38" spans="1:7">
      <c r="A38" s="571" t="s">
        <v>244</v>
      </c>
      <c r="B38" s="572" t="s">
        <v>304</v>
      </c>
      <c r="C38" s="573" t="s">
        <v>42</v>
      </c>
      <c r="D38" s="574">
        <v>90</v>
      </c>
      <c r="E38" s="14" t="s">
        <v>302</v>
      </c>
      <c r="F38" s="13"/>
      <c r="G38" s="13"/>
    </row>
    <row r="39" spans="1:7">
      <c r="A39" s="571" t="s">
        <v>244</v>
      </c>
      <c r="B39" s="572" t="s">
        <v>305</v>
      </c>
      <c r="C39" s="573" t="s">
        <v>42</v>
      </c>
      <c r="D39" s="574">
        <v>100</v>
      </c>
      <c r="E39" s="14" t="s">
        <v>306</v>
      </c>
      <c r="F39" s="13"/>
      <c r="G39" s="13"/>
    </row>
    <row r="40" spans="1:7">
      <c r="A40" s="571" t="s">
        <v>244</v>
      </c>
      <c r="B40" s="572" t="s">
        <v>307</v>
      </c>
      <c r="C40" s="573" t="s">
        <v>308</v>
      </c>
      <c r="D40" s="574">
        <v>69</v>
      </c>
      <c r="E40" s="14" t="s">
        <v>309</v>
      </c>
      <c r="F40" s="13"/>
      <c r="G40" s="13"/>
    </row>
    <row r="41" spans="1:7">
      <c r="A41" s="571" t="s">
        <v>245</v>
      </c>
      <c r="B41" s="572" t="s">
        <v>310</v>
      </c>
      <c r="C41" s="573" t="s">
        <v>45</v>
      </c>
      <c r="D41" s="574">
        <v>189</v>
      </c>
      <c r="E41" s="14" t="s">
        <v>311</v>
      </c>
      <c r="F41" s="13"/>
      <c r="G41" s="13"/>
    </row>
    <row r="42" spans="1:7">
      <c r="A42" s="571" t="s">
        <v>245</v>
      </c>
      <c r="B42" s="572" t="s">
        <v>312</v>
      </c>
      <c r="C42" s="573" t="s">
        <v>45</v>
      </c>
      <c r="D42" s="574">
        <v>182</v>
      </c>
      <c r="E42" s="14" t="s">
        <v>313</v>
      </c>
      <c r="F42" s="13"/>
      <c r="G42" s="13"/>
    </row>
    <row r="43" spans="1:7">
      <c r="A43" s="571" t="s">
        <v>245</v>
      </c>
      <c r="B43" s="572" t="s">
        <v>314</v>
      </c>
      <c r="C43" s="573" t="s">
        <v>45</v>
      </c>
      <c r="D43" s="574">
        <v>130</v>
      </c>
      <c r="E43" s="14" t="s">
        <v>315</v>
      </c>
      <c r="F43" s="13"/>
      <c r="G43" s="13"/>
    </row>
    <row r="44" spans="1:7">
      <c r="A44" s="571" t="s">
        <v>245</v>
      </c>
      <c r="B44" s="572" t="s">
        <v>316</v>
      </c>
      <c r="C44" s="573" t="s">
        <v>45</v>
      </c>
      <c r="D44" s="574">
        <v>42</v>
      </c>
      <c r="E44" s="14" t="s">
        <v>96</v>
      </c>
      <c r="F44" s="13"/>
      <c r="G44" s="13"/>
    </row>
    <row r="45" spans="1:7" ht="22.5">
      <c r="A45" s="571" t="s">
        <v>43</v>
      </c>
      <c r="B45" s="572" t="s">
        <v>446</v>
      </c>
      <c r="C45" s="573" t="s">
        <v>278</v>
      </c>
      <c r="D45" s="574">
        <v>11.3</v>
      </c>
      <c r="E45" s="14" t="s">
        <v>447</v>
      </c>
      <c r="F45" s="13"/>
      <c r="G45" s="13"/>
    </row>
    <row r="46" spans="1:7" ht="22.5">
      <c r="A46" s="571" t="s">
        <v>43</v>
      </c>
      <c r="B46" s="572" t="s">
        <v>448</v>
      </c>
      <c r="C46" s="573" t="s">
        <v>278</v>
      </c>
      <c r="D46" s="574">
        <v>4.5</v>
      </c>
      <c r="E46" s="14" t="s">
        <v>449</v>
      </c>
      <c r="F46" s="13"/>
      <c r="G46" s="13"/>
    </row>
    <row r="47" spans="1:7">
      <c r="A47" s="571" t="s">
        <v>43</v>
      </c>
      <c r="B47" s="572" t="s">
        <v>44</v>
      </c>
      <c r="C47" s="573" t="s">
        <v>42</v>
      </c>
      <c r="D47" s="574">
        <v>85</v>
      </c>
      <c r="E47" s="14" t="s">
        <v>450</v>
      </c>
      <c r="F47" s="13"/>
      <c r="G47" s="13"/>
    </row>
    <row r="48" spans="1:7">
      <c r="A48" s="571" t="s">
        <v>248</v>
      </c>
      <c r="B48" s="572" t="s">
        <v>317</v>
      </c>
      <c r="C48" s="573" t="s">
        <v>42</v>
      </c>
      <c r="D48" s="574">
        <v>27</v>
      </c>
      <c r="E48" s="14" t="s">
        <v>318</v>
      </c>
      <c r="F48" s="13"/>
      <c r="G48" s="13"/>
    </row>
    <row r="49" spans="1:7">
      <c r="A49" s="571" t="s">
        <v>248</v>
      </c>
      <c r="B49" s="572" t="s">
        <v>105</v>
      </c>
      <c r="C49" s="573" t="s">
        <v>42</v>
      </c>
      <c r="D49" s="574">
        <v>14</v>
      </c>
      <c r="E49" s="14" t="s">
        <v>319</v>
      </c>
      <c r="F49" s="13"/>
      <c r="G49" s="13"/>
    </row>
    <row r="50" spans="1:7">
      <c r="A50" s="571" t="s">
        <v>251</v>
      </c>
      <c r="B50" s="572" t="s">
        <v>106</v>
      </c>
      <c r="C50" s="573" t="s">
        <v>42</v>
      </c>
      <c r="D50" s="574">
        <v>42</v>
      </c>
      <c r="E50" s="14" t="s">
        <v>320</v>
      </c>
      <c r="F50" s="13"/>
      <c r="G50" s="13"/>
    </row>
    <row r="51" spans="1:7">
      <c r="A51" s="571" t="s">
        <v>251</v>
      </c>
      <c r="B51" s="572" t="s">
        <v>107</v>
      </c>
      <c r="C51" s="573" t="s">
        <v>42</v>
      </c>
      <c r="D51" s="574">
        <v>17</v>
      </c>
      <c r="E51" s="14" t="s">
        <v>321</v>
      </c>
      <c r="F51" s="13"/>
      <c r="G51" s="13"/>
    </row>
    <row r="52" spans="1:7">
      <c r="A52" s="571" t="s">
        <v>251</v>
      </c>
      <c r="B52" s="572" t="s">
        <v>108</v>
      </c>
      <c r="C52" s="573" t="s">
        <v>45</v>
      </c>
      <c r="D52" s="574">
        <v>113</v>
      </c>
      <c r="E52" s="14" t="s">
        <v>322</v>
      </c>
      <c r="F52" s="13"/>
      <c r="G52" s="13"/>
    </row>
    <row r="53" spans="1:7">
      <c r="A53" s="571" t="s">
        <v>251</v>
      </c>
      <c r="B53" s="572" t="s">
        <v>109</v>
      </c>
      <c r="C53" s="573" t="s">
        <v>45</v>
      </c>
      <c r="D53" s="574">
        <v>85</v>
      </c>
      <c r="E53" s="14" t="s">
        <v>323</v>
      </c>
      <c r="F53" s="13"/>
      <c r="G53" s="13"/>
    </row>
    <row r="54" spans="1:7">
      <c r="A54" s="571" t="s">
        <v>254</v>
      </c>
      <c r="B54" s="572" t="s">
        <v>110</v>
      </c>
      <c r="C54" s="573" t="s">
        <v>42</v>
      </c>
      <c r="D54" s="574">
        <v>100</v>
      </c>
      <c r="E54" s="14" t="s">
        <v>324</v>
      </c>
      <c r="F54" s="13"/>
      <c r="G54" s="13"/>
    </row>
    <row r="55" spans="1:7">
      <c r="A55" s="571" t="s">
        <v>254</v>
      </c>
      <c r="B55" s="572" t="s">
        <v>111</v>
      </c>
      <c r="C55" s="573" t="s">
        <v>42</v>
      </c>
      <c r="D55" s="574">
        <v>272</v>
      </c>
      <c r="E55" s="14" t="s">
        <v>325</v>
      </c>
      <c r="F55" s="13"/>
      <c r="G55" s="13"/>
    </row>
    <row r="56" spans="1:7">
      <c r="A56" s="571" t="s">
        <v>254</v>
      </c>
      <c r="B56" s="572" t="s">
        <v>112</v>
      </c>
      <c r="C56" s="573" t="s">
        <v>42</v>
      </c>
      <c r="D56" s="574">
        <v>200</v>
      </c>
      <c r="E56" s="14" t="s">
        <v>326</v>
      </c>
      <c r="F56" s="13"/>
      <c r="G56" s="13"/>
    </row>
    <row r="57" spans="1:7">
      <c r="A57" s="571" t="s">
        <v>254</v>
      </c>
      <c r="B57" s="572" t="s">
        <v>113</v>
      </c>
      <c r="C57" s="573" t="s">
        <v>42</v>
      </c>
      <c r="D57" s="574">
        <v>88</v>
      </c>
      <c r="E57" s="14" t="s">
        <v>327</v>
      </c>
      <c r="F57" s="13"/>
      <c r="G57" s="13"/>
    </row>
    <row r="58" spans="1:7">
      <c r="A58" s="571" t="s">
        <v>254</v>
      </c>
      <c r="B58" s="572" t="s">
        <v>114</v>
      </c>
      <c r="C58" s="573" t="s">
        <v>42</v>
      </c>
      <c r="D58" s="574">
        <v>40</v>
      </c>
      <c r="E58" s="14" t="s">
        <v>328</v>
      </c>
      <c r="F58" s="13"/>
      <c r="G58" s="13"/>
    </row>
    <row r="59" spans="1:7">
      <c r="A59" s="571" t="s">
        <v>257</v>
      </c>
      <c r="B59" s="572" t="s">
        <v>329</v>
      </c>
      <c r="C59" s="573" t="s">
        <v>42</v>
      </c>
      <c r="D59" s="574">
        <v>63</v>
      </c>
      <c r="E59" s="14" t="s">
        <v>330</v>
      </c>
      <c r="F59" s="13"/>
      <c r="G59" s="13"/>
    </row>
    <row r="60" spans="1:7">
      <c r="A60" s="571" t="s">
        <v>257</v>
      </c>
      <c r="B60" s="572" t="s">
        <v>331</v>
      </c>
      <c r="C60" s="573" t="s">
        <v>42</v>
      </c>
      <c r="D60" s="574">
        <v>21</v>
      </c>
      <c r="E60" s="14" t="s">
        <v>332</v>
      </c>
      <c r="F60" s="13"/>
      <c r="G60" s="13"/>
    </row>
    <row r="61" spans="1:7">
      <c r="A61" s="571" t="s">
        <v>257</v>
      </c>
      <c r="B61" s="572" t="s">
        <v>333</v>
      </c>
      <c r="C61" s="573" t="s">
        <v>42</v>
      </c>
      <c r="D61" s="574">
        <v>27</v>
      </c>
      <c r="E61" s="14" t="s">
        <v>334</v>
      </c>
      <c r="F61" s="13"/>
      <c r="G61" s="13"/>
    </row>
    <row r="62" spans="1:7">
      <c r="A62" s="571" t="s">
        <v>257</v>
      </c>
      <c r="B62" s="572" t="s">
        <v>335</v>
      </c>
      <c r="C62" s="573" t="s">
        <v>42</v>
      </c>
      <c r="D62" s="574">
        <v>39</v>
      </c>
      <c r="E62" s="14" t="s">
        <v>332</v>
      </c>
      <c r="F62" s="13"/>
      <c r="G62" s="13"/>
    </row>
    <row r="63" spans="1:7">
      <c r="A63" s="571" t="s">
        <v>260</v>
      </c>
      <c r="B63" s="572" t="s">
        <v>119</v>
      </c>
      <c r="C63" s="573" t="s">
        <v>336</v>
      </c>
      <c r="D63" s="574">
        <v>8</v>
      </c>
      <c r="E63" s="14" t="s">
        <v>337</v>
      </c>
      <c r="F63" s="13"/>
      <c r="G63" s="13"/>
    </row>
    <row r="64" spans="1:7">
      <c r="A64" s="571" t="s">
        <v>260</v>
      </c>
      <c r="B64" s="572" t="s">
        <v>120</v>
      </c>
      <c r="C64" s="573" t="s">
        <v>42</v>
      </c>
      <c r="D64" s="574">
        <v>42</v>
      </c>
      <c r="E64" s="14" t="s">
        <v>338</v>
      </c>
      <c r="F64" s="13"/>
      <c r="G64" s="13"/>
    </row>
    <row r="65" spans="1:7">
      <c r="A65" s="571" t="s">
        <v>263</v>
      </c>
      <c r="B65" s="572" t="s">
        <v>121</v>
      </c>
      <c r="C65" s="573" t="s">
        <v>42</v>
      </c>
      <c r="D65" s="574">
        <v>43</v>
      </c>
      <c r="E65" s="14" t="s">
        <v>339</v>
      </c>
      <c r="F65" s="13"/>
      <c r="G65" s="13"/>
    </row>
    <row r="66" spans="1:7">
      <c r="A66" s="571" t="s">
        <v>263</v>
      </c>
      <c r="B66" s="572" t="s">
        <v>125</v>
      </c>
      <c r="C66" s="573" t="s">
        <v>42</v>
      </c>
      <c r="D66" s="574">
        <v>45</v>
      </c>
      <c r="E66" s="14" t="s">
        <v>340</v>
      </c>
      <c r="F66" s="13"/>
      <c r="G66" s="13"/>
    </row>
    <row r="67" spans="1:7">
      <c r="A67" s="571" t="s">
        <v>263</v>
      </c>
      <c r="B67" s="572" t="s">
        <v>126</v>
      </c>
      <c r="C67" s="573" t="s">
        <v>42</v>
      </c>
      <c r="D67" s="574">
        <v>45</v>
      </c>
      <c r="E67" s="14" t="s">
        <v>341</v>
      </c>
      <c r="F67" s="13"/>
      <c r="G67" s="13"/>
    </row>
    <row r="68" spans="1:7">
      <c r="A68" s="571" t="s">
        <v>263</v>
      </c>
      <c r="B68" s="572" t="s">
        <v>451</v>
      </c>
      <c r="C68" s="573" t="s">
        <v>278</v>
      </c>
      <c r="D68" s="574">
        <v>0.9</v>
      </c>
      <c r="E68" s="14" t="s">
        <v>452</v>
      </c>
      <c r="F68" s="13"/>
      <c r="G68" s="13"/>
    </row>
    <row r="69" spans="1:7">
      <c r="A69" s="571" t="s">
        <v>263</v>
      </c>
      <c r="B69" s="572" t="s">
        <v>115</v>
      </c>
      <c r="C69" s="573" t="s">
        <v>42</v>
      </c>
      <c r="D69" s="574">
        <v>17</v>
      </c>
      <c r="E69" s="14" t="s">
        <v>342</v>
      </c>
      <c r="F69" s="13"/>
      <c r="G69" s="13"/>
    </row>
    <row r="70" spans="1:7">
      <c r="A70" s="571" t="s">
        <v>263</v>
      </c>
      <c r="B70" s="572" t="s">
        <v>116</v>
      </c>
      <c r="C70" s="573" t="s">
        <v>42</v>
      </c>
      <c r="D70" s="574">
        <v>20</v>
      </c>
      <c r="E70" s="14" t="s">
        <v>343</v>
      </c>
      <c r="F70" s="13"/>
      <c r="G70" s="13"/>
    </row>
    <row r="71" spans="1:7">
      <c r="A71" s="571" t="s">
        <v>263</v>
      </c>
      <c r="B71" s="572" t="s">
        <v>117</v>
      </c>
      <c r="C71" s="573" t="s">
        <v>42</v>
      </c>
      <c r="D71" s="574">
        <v>40</v>
      </c>
      <c r="E71" s="14" t="s">
        <v>344</v>
      </c>
      <c r="F71" s="13"/>
      <c r="G71" s="13"/>
    </row>
    <row r="72" spans="1:7">
      <c r="A72" s="571" t="s">
        <v>263</v>
      </c>
      <c r="B72" s="572" t="s">
        <v>118</v>
      </c>
      <c r="C72" s="573" t="s">
        <v>42</v>
      </c>
      <c r="D72" s="574">
        <v>37</v>
      </c>
      <c r="E72" s="14" t="s">
        <v>345</v>
      </c>
      <c r="F72" s="13"/>
      <c r="G72" s="13"/>
    </row>
    <row r="73" spans="1:7">
      <c r="A73" s="571" t="s">
        <v>267</v>
      </c>
      <c r="B73" s="572" t="s">
        <v>122</v>
      </c>
      <c r="C73" s="573" t="s">
        <v>42</v>
      </c>
      <c r="D73" s="574">
        <v>70</v>
      </c>
      <c r="E73" s="14" t="s">
        <v>346</v>
      </c>
      <c r="F73" s="13"/>
      <c r="G73" s="13"/>
    </row>
    <row r="74" spans="1:7">
      <c r="A74" s="571" t="s">
        <v>267</v>
      </c>
      <c r="B74" s="572" t="s">
        <v>123</v>
      </c>
      <c r="C74" s="573" t="s">
        <v>42</v>
      </c>
      <c r="D74" s="574">
        <v>260</v>
      </c>
      <c r="E74" s="14" t="s">
        <v>347</v>
      </c>
      <c r="F74" s="13"/>
      <c r="G74" s="13"/>
    </row>
    <row r="75" spans="1:7">
      <c r="A75" s="571" t="s">
        <v>267</v>
      </c>
      <c r="B75" s="572" t="s">
        <v>124</v>
      </c>
      <c r="C75" s="573" t="s">
        <v>42</v>
      </c>
      <c r="D75" s="574">
        <v>65</v>
      </c>
      <c r="E75" s="14" t="s">
        <v>348</v>
      </c>
      <c r="F75" s="13"/>
      <c r="G75" s="13"/>
    </row>
    <row r="76" spans="1:7">
      <c r="A76" s="571" t="s">
        <v>269</v>
      </c>
      <c r="B76" s="572" t="s">
        <v>349</v>
      </c>
      <c r="C76" s="573" t="s">
        <v>42</v>
      </c>
      <c r="D76" s="574">
        <v>85</v>
      </c>
      <c r="E76" s="14" t="s">
        <v>350</v>
      </c>
      <c r="F76" s="13"/>
      <c r="G76" s="13"/>
    </row>
    <row r="77" spans="1:7">
      <c r="A77" s="571" t="s">
        <v>269</v>
      </c>
      <c r="B77" s="572" t="s">
        <v>351</v>
      </c>
      <c r="C77" s="573" t="s">
        <v>234</v>
      </c>
      <c r="D77" s="574">
        <v>65</v>
      </c>
      <c r="E77" s="14" t="s">
        <v>352</v>
      </c>
      <c r="F77" s="13"/>
      <c r="G77" s="13"/>
    </row>
    <row r="78" spans="1:7">
      <c r="A78" s="571" t="s">
        <v>269</v>
      </c>
      <c r="B78" s="572" t="s">
        <v>353</v>
      </c>
      <c r="C78" s="573" t="s">
        <v>42</v>
      </c>
      <c r="D78" s="574">
        <v>40</v>
      </c>
      <c r="E78" s="14" t="s">
        <v>354</v>
      </c>
      <c r="F78" s="13"/>
      <c r="G78" s="13"/>
    </row>
    <row r="79" spans="1:7">
      <c r="A79" s="571" t="s">
        <v>269</v>
      </c>
      <c r="B79" s="572" t="s">
        <v>355</v>
      </c>
      <c r="C79" s="573" t="s">
        <v>42</v>
      </c>
      <c r="D79" s="574">
        <v>100</v>
      </c>
      <c r="E79" s="14" t="s">
        <v>356</v>
      </c>
      <c r="F79" s="13"/>
      <c r="G79" s="13"/>
    </row>
    <row r="80" spans="1:7">
      <c r="A80" s="571" t="s">
        <v>269</v>
      </c>
      <c r="B80" s="572" t="s">
        <v>357</v>
      </c>
      <c r="C80" s="573" t="s">
        <v>42</v>
      </c>
      <c r="D80" s="574">
        <v>50</v>
      </c>
      <c r="E80" s="14" t="s">
        <v>358</v>
      </c>
      <c r="F80" s="13"/>
      <c r="G80" s="13"/>
    </row>
    <row r="81" spans="1:7">
      <c r="A81" s="571" t="s">
        <v>271</v>
      </c>
      <c r="B81" s="572" t="s">
        <v>359</v>
      </c>
      <c r="C81" s="573" t="s">
        <v>234</v>
      </c>
      <c r="D81" s="574">
        <v>13.5</v>
      </c>
      <c r="E81" s="14" t="s">
        <v>360</v>
      </c>
      <c r="F81" s="13"/>
      <c r="G81" s="13"/>
    </row>
    <row r="82" spans="1:7">
      <c r="A82" s="571" t="s">
        <v>271</v>
      </c>
      <c r="B82" s="572" t="s">
        <v>361</v>
      </c>
      <c r="C82" s="573" t="s">
        <v>234</v>
      </c>
      <c r="D82" s="574">
        <v>6.5</v>
      </c>
      <c r="E82" s="14" t="s">
        <v>360</v>
      </c>
      <c r="F82" s="13"/>
      <c r="G82" s="13"/>
    </row>
    <row r="83" spans="1:7">
      <c r="A83" s="571" t="s">
        <v>271</v>
      </c>
      <c r="B83" s="572" t="s">
        <v>362</v>
      </c>
      <c r="C83" s="573" t="s">
        <v>234</v>
      </c>
      <c r="D83" s="574">
        <v>16.100000000000001</v>
      </c>
      <c r="E83" s="14" t="s">
        <v>363</v>
      </c>
      <c r="F83" s="13"/>
      <c r="G83" s="13"/>
    </row>
    <row r="84" spans="1:7">
      <c r="A84" s="571" t="s">
        <v>271</v>
      </c>
      <c r="B84" s="572" t="s">
        <v>364</v>
      </c>
      <c r="C84" s="573" t="s">
        <v>234</v>
      </c>
      <c r="D84" s="574">
        <v>13.6</v>
      </c>
      <c r="E84" s="14" t="s">
        <v>365</v>
      </c>
      <c r="F84" s="13"/>
      <c r="G84" s="13"/>
    </row>
    <row r="85" spans="1:7">
      <c r="A85" s="571" t="s">
        <v>271</v>
      </c>
      <c r="B85" s="572" t="s">
        <v>366</v>
      </c>
      <c r="C85" s="573" t="s">
        <v>234</v>
      </c>
      <c r="D85" s="574">
        <v>6.7</v>
      </c>
      <c r="E85" s="14" t="s">
        <v>365</v>
      </c>
      <c r="F85" s="13"/>
      <c r="G85" s="13"/>
    </row>
    <row r="86" spans="1:7">
      <c r="A86" s="571" t="s">
        <v>271</v>
      </c>
      <c r="B86" s="572" t="s">
        <v>367</v>
      </c>
      <c r="C86" s="573" t="s">
        <v>234</v>
      </c>
      <c r="D86" s="574">
        <v>25.3</v>
      </c>
      <c r="E86" s="14" t="s">
        <v>368</v>
      </c>
      <c r="F86" s="13"/>
      <c r="G86" s="13"/>
    </row>
    <row r="87" spans="1:7">
      <c r="A87" s="571" t="s">
        <v>271</v>
      </c>
      <c r="B87" s="572" t="s">
        <v>369</v>
      </c>
      <c r="C87" s="573" t="s">
        <v>234</v>
      </c>
      <c r="D87" s="574">
        <v>12.6</v>
      </c>
      <c r="E87" s="14" t="s">
        <v>368</v>
      </c>
      <c r="F87" s="13"/>
      <c r="G87" s="13"/>
    </row>
    <row r="88" spans="1:7">
      <c r="A88" s="571" t="s">
        <v>271</v>
      </c>
      <c r="B88" s="572" t="s">
        <v>370</v>
      </c>
      <c r="C88" s="573" t="s">
        <v>234</v>
      </c>
      <c r="D88" s="574">
        <v>37.700000000000003</v>
      </c>
      <c r="E88" s="14" t="s">
        <v>371</v>
      </c>
      <c r="F88" s="13"/>
      <c r="G88" s="13"/>
    </row>
    <row r="89" spans="1:7" ht="24">
      <c r="A89" s="571" t="s">
        <v>271</v>
      </c>
      <c r="B89" s="572" t="s">
        <v>372</v>
      </c>
      <c r="C89" s="573" t="s">
        <v>373</v>
      </c>
      <c r="D89" s="574">
        <v>10</v>
      </c>
      <c r="E89" s="14" t="s">
        <v>374</v>
      </c>
      <c r="F89" s="13"/>
      <c r="G89" s="13"/>
    </row>
    <row r="90" spans="1:7" ht="24">
      <c r="A90" s="571" t="s">
        <v>271</v>
      </c>
      <c r="B90" s="572" t="s">
        <v>375</v>
      </c>
      <c r="C90" s="573" t="s">
        <v>373</v>
      </c>
      <c r="D90" s="574">
        <v>4</v>
      </c>
      <c r="E90" s="14" t="s">
        <v>374</v>
      </c>
      <c r="F90" s="13"/>
      <c r="G90" s="13"/>
    </row>
    <row r="91" spans="1:7">
      <c r="A91" s="571" t="s">
        <v>271</v>
      </c>
      <c r="B91" s="572" t="s">
        <v>376</v>
      </c>
      <c r="C91" s="573" t="s">
        <v>234</v>
      </c>
      <c r="D91" s="574">
        <v>58.8</v>
      </c>
      <c r="E91" s="14" t="s">
        <v>377</v>
      </c>
      <c r="F91" s="13"/>
      <c r="G91" s="13"/>
    </row>
    <row r="92" spans="1:7">
      <c r="A92" s="571" t="s">
        <v>271</v>
      </c>
      <c r="B92" s="572" t="s">
        <v>378</v>
      </c>
      <c r="C92" s="573" t="s">
        <v>234</v>
      </c>
      <c r="D92" s="574">
        <v>31.2</v>
      </c>
      <c r="E92" s="14" t="s">
        <v>377</v>
      </c>
      <c r="F92" s="13"/>
      <c r="G92" s="13"/>
    </row>
    <row r="93" spans="1:7">
      <c r="A93" s="571" t="s">
        <v>271</v>
      </c>
      <c r="B93" s="572" t="s">
        <v>379</v>
      </c>
      <c r="C93" s="573" t="s">
        <v>234</v>
      </c>
      <c r="D93" s="574">
        <v>74.099999999999994</v>
      </c>
      <c r="E93" s="14" t="s">
        <v>380</v>
      </c>
      <c r="F93" s="13"/>
      <c r="G93" s="13"/>
    </row>
    <row r="94" spans="1:7">
      <c r="A94" s="571" t="s">
        <v>271</v>
      </c>
      <c r="B94" s="572" t="s">
        <v>127</v>
      </c>
      <c r="C94" s="573" t="s">
        <v>42</v>
      </c>
      <c r="D94" s="574">
        <v>29.2</v>
      </c>
      <c r="E94" s="14" t="s">
        <v>381</v>
      </c>
      <c r="F94" s="13"/>
      <c r="G94" s="13"/>
    </row>
    <row r="95" spans="1:7">
      <c r="A95" s="571" t="s">
        <v>274</v>
      </c>
      <c r="B95" s="572" t="s">
        <v>382</v>
      </c>
      <c r="C95" s="573" t="s">
        <v>383</v>
      </c>
      <c r="D95" s="574">
        <v>17</v>
      </c>
      <c r="E95" s="14" t="s">
        <v>384</v>
      </c>
      <c r="F95" s="13"/>
      <c r="G95" s="13"/>
    </row>
    <row r="96" spans="1:7">
      <c r="A96" s="571" t="s">
        <v>274</v>
      </c>
      <c r="B96" s="572" t="s">
        <v>385</v>
      </c>
      <c r="C96" s="573" t="s">
        <v>383</v>
      </c>
      <c r="D96" s="574">
        <v>12</v>
      </c>
      <c r="E96" s="14" t="s">
        <v>386</v>
      </c>
      <c r="F96" s="13"/>
      <c r="G96" s="13"/>
    </row>
    <row r="97" spans="1:7">
      <c r="A97" s="571" t="s">
        <v>274</v>
      </c>
      <c r="B97" s="572" t="s">
        <v>387</v>
      </c>
      <c r="C97" s="573" t="s">
        <v>383</v>
      </c>
      <c r="D97" s="574">
        <v>9</v>
      </c>
      <c r="E97" s="14" t="s">
        <v>388</v>
      </c>
      <c r="F97" s="13"/>
      <c r="G97" s="13"/>
    </row>
    <row r="98" spans="1:7">
      <c r="A98" s="571" t="s">
        <v>274</v>
      </c>
      <c r="B98" s="572" t="s">
        <v>389</v>
      </c>
      <c r="C98" s="573" t="s">
        <v>383</v>
      </c>
      <c r="D98" s="574">
        <v>7</v>
      </c>
      <c r="E98" s="14" t="s">
        <v>390</v>
      </c>
      <c r="F98" s="13"/>
      <c r="G98" s="13"/>
    </row>
    <row r="99" spans="1:7">
      <c r="A99" s="571" t="s">
        <v>274</v>
      </c>
      <c r="B99" s="572" t="s">
        <v>391</v>
      </c>
      <c r="C99" s="573" t="s">
        <v>42</v>
      </c>
      <c r="D99" s="574">
        <v>170</v>
      </c>
      <c r="E99" s="14" t="s">
        <v>392</v>
      </c>
      <c r="F99" s="13"/>
      <c r="G99" s="13"/>
    </row>
    <row r="100" spans="1:7">
      <c r="A100" s="575" t="s">
        <v>274</v>
      </c>
      <c r="B100" s="576" t="s">
        <v>393</v>
      </c>
      <c r="C100" s="577" t="s">
        <v>42</v>
      </c>
      <c r="D100" s="578">
        <v>150</v>
      </c>
      <c r="E100" s="16" t="s">
        <v>392</v>
      </c>
      <c r="F100" s="13"/>
      <c r="G100" s="13"/>
    </row>
    <row r="101" spans="1:7">
      <c r="A101" s="575" t="s">
        <v>453</v>
      </c>
      <c r="B101" s="576" t="s">
        <v>455</v>
      </c>
      <c r="C101" s="577" t="s">
        <v>42</v>
      </c>
      <c r="D101" s="578">
        <v>400</v>
      </c>
      <c r="E101" s="16" t="s">
        <v>454</v>
      </c>
      <c r="F101" s="13"/>
      <c r="G101" s="13"/>
    </row>
    <row r="102" spans="1:7" ht="24" customHeight="1">
      <c r="A102" s="575" t="s">
        <v>453</v>
      </c>
      <c r="B102" s="576" t="s">
        <v>457</v>
      </c>
      <c r="C102" s="573" t="s">
        <v>45</v>
      </c>
      <c r="D102" s="578">
        <v>50</v>
      </c>
      <c r="E102" s="16" t="s">
        <v>456</v>
      </c>
      <c r="F102" s="13"/>
      <c r="G102" s="13"/>
    </row>
    <row r="103" spans="1:7">
      <c r="A103" s="575" t="s">
        <v>459</v>
      </c>
      <c r="B103" s="579" t="s">
        <v>460</v>
      </c>
      <c r="C103" s="577" t="s">
        <v>464</v>
      </c>
      <c r="D103" s="578">
        <v>60</v>
      </c>
      <c r="E103" s="16"/>
      <c r="F103" s="13"/>
      <c r="G103" s="13"/>
    </row>
    <row r="104" spans="1:7">
      <c r="A104" s="575" t="s">
        <v>459</v>
      </c>
      <c r="B104" s="579" t="s">
        <v>461</v>
      </c>
      <c r="C104" s="577" t="s">
        <v>464</v>
      </c>
      <c r="D104" s="578">
        <v>45</v>
      </c>
      <c r="E104" s="16"/>
      <c r="F104" s="13"/>
      <c r="G104" s="13"/>
    </row>
    <row r="105" spans="1:7">
      <c r="A105" s="575" t="s">
        <v>459</v>
      </c>
      <c r="B105" s="579" t="s">
        <v>462</v>
      </c>
      <c r="C105" s="577" t="s">
        <v>464</v>
      </c>
      <c r="D105" s="578">
        <v>30</v>
      </c>
      <c r="E105" s="16"/>
      <c r="F105" s="13"/>
      <c r="G105" s="13"/>
    </row>
    <row r="106" spans="1:7">
      <c r="A106" s="575" t="s">
        <v>459</v>
      </c>
      <c r="B106" s="579" t="s">
        <v>463</v>
      </c>
      <c r="C106" s="577" t="s">
        <v>464</v>
      </c>
      <c r="D106" s="578">
        <v>15</v>
      </c>
      <c r="E106" s="16"/>
      <c r="F106" s="13"/>
      <c r="G106" s="13"/>
    </row>
    <row r="107" spans="1:7" ht="17.25" thickBot="1">
      <c r="A107" s="580" t="s">
        <v>458</v>
      </c>
      <c r="B107" s="581" t="s">
        <v>499</v>
      </c>
      <c r="C107" s="582" t="s">
        <v>46</v>
      </c>
      <c r="D107" s="583">
        <v>0</v>
      </c>
      <c r="E107" s="71" t="s">
        <v>622</v>
      </c>
    </row>
  </sheetData>
  <mergeCells count="2">
    <mergeCell ref="A1:E1"/>
    <mergeCell ref="A2:E2"/>
  </mergeCells>
  <phoneticPr fontId="5" type="noConversion"/>
  <printOptions horizontalCentered="1"/>
  <pageMargins left="0.25" right="0.25" top="0.25" bottom="0.25" header="0.1111111111111111" footer="0.1111111111111111"/>
  <pageSetup paperSize="9" scale="96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J19"/>
  <sheetViews>
    <sheetView zoomScaleNormal="100" workbookViewId="0">
      <selection activeCell="K17" sqref="K17"/>
    </sheetView>
  </sheetViews>
  <sheetFormatPr defaultColWidth="8.7109375" defaultRowHeight="15"/>
  <cols>
    <col min="1" max="1" width="3" customWidth="1"/>
    <col min="2" max="2" width="24" customWidth="1"/>
    <col min="3" max="3" width="36.140625" bestFit="1" customWidth="1"/>
    <col min="4" max="4" width="16.28515625" bestFit="1" customWidth="1"/>
    <col min="5" max="5" width="35.7109375" bestFit="1" customWidth="1"/>
    <col min="6" max="6" width="3" customWidth="1"/>
  </cols>
  <sheetData>
    <row r="1" spans="1:10" ht="30" customHeight="1">
      <c r="B1" s="330" t="s">
        <v>739</v>
      </c>
      <c r="C1" s="330"/>
      <c r="D1" s="330"/>
      <c r="E1" s="330"/>
    </row>
    <row r="2" spans="1:10" s="12" customFormat="1" ht="20.100000000000001" customHeight="1">
      <c r="A2" s="296"/>
      <c r="B2" s="297"/>
      <c r="C2" s="297"/>
      <c r="D2" s="297"/>
      <c r="E2" s="297"/>
      <c r="F2" s="13"/>
      <c r="G2" s="13"/>
      <c r="J2"/>
    </row>
    <row r="3" spans="1:10" ht="19.5" customHeight="1" thickBot="1">
      <c r="B3" s="59" t="s">
        <v>578</v>
      </c>
      <c r="C3" s="59"/>
      <c r="D3" s="225"/>
      <c r="E3" s="225"/>
    </row>
    <row r="4" spans="1:10" ht="40.5">
      <c r="B4" s="331" t="s">
        <v>25</v>
      </c>
      <c r="C4" s="584" t="s">
        <v>61</v>
      </c>
      <c r="D4" s="1"/>
      <c r="E4" s="2" t="s">
        <v>63</v>
      </c>
    </row>
    <row r="5" spans="1:10" ht="21.75" customHeight="1">
      <c r="B5" s="333" t="s">
        <v>60</v>
      </c>
      <c r="C5" s="716">
        <v>60</v>
      </c>
      <c r="D5" s="3"/>
      <c r="E5" s="61" t="s">
        <v>727</v>
      </c>
    </row>
    <row r="6" spans="1:10" ht="21.75" customHeight="1" thickBot="1">
      <c r="B6" s="334" t="s">
        <v>26</v>
      </c>
      <c r="C6" s="107" t="s">
        <v>62</v>
      </c>
      <c r="D6" s="4"/>
      <c r="E6" s="5"/>
    </row>
    <row r="7" spans="1:10" ht="15" customHeight="1">
      <c r="B7" s="371"/>
      <c r="C7" s="585"/>
      <c r="E7" s="70"/>
    </row>
    <row r="8" spans="1:10" ht="19.5" customHeight="1" thickBot="1">
      <c r="B8" s="59" t="s">
        <v>579</v>
      </c>
      <c r="C8" s="59"/>
      <c r="D8" s="225"/>
      <c r="E8" s="225"/>
    </row>
    <row r="9" spans="1:10" ht="39.75" customHeight="1">
      <c r="B9" s="331" t="s">
        <v>37</v>
      </c>
      <c r="C9" s="586" t="s">
        <v>76</v>
      </c>
      <c r="D9" s="1"/>
      <c r="E9" s="2" t="s">
        <v>78</v>
      </c>
    </row>
    <row r="10" spans="1:10" ht="21.75" customHeight="1">
      <c r="B10" s="333" t="s">
        <v>75</v>
      </c>
      <c r="C10" s="716">
        <v>30</v>
      </c>
      <c r="D10" s="3"/>
      <c r="E10" s="61" t="s">
        <v>727</v>
      </c>
    </row>
    <row r="11" spans="1:10" ht="21.75" customHeight="1" thickBot="1">
      <c r="B11" s="334" t="s">
        <v>26</v>
      </c>
      <c r="C11" s="587" t="s">
        <v>77</v>
      </c>
      <c r="D11" s="4"/>
      <c r="E11" s="5" t="s">
        <v>27</v>
      </c>
    </row>
    <row r="12" spans="1:10">
      <c r="C12" s="6"/>
    </row>
    <row r="13" spans="1:10" ht="19.5" customHeight="1" thickBot="1">
      <c r="B13" s="60" t="s">
        <v>580</v>
      </c>
      <c r="C13" s="60"/>
      <c r="D13" s="298"/>
      <c r="E13" s="298"/>
    </row>
    <row r="14" spans="1:10" ht="18" customHeight="1">
      <c r="B14" s="588" t="s">
        <v>28</v>
      </c>
      <c r="C14" s="589" t="s">
        <v>64</v>
      </c>
      <c r="D14" s="590" t="s">
        <v>29</v>
      </c>
      <c r="E14" s="591" t="s">
        <v>65</v>
      </c>
    </row>
    <row r="15" spans="1:10" ht="18" customHeight="1">
      <c r="B15" s="592" t="s">
        <v>30</v>
      </c>
      <c r="C15" s="529" t="s">
        <v>66</v>
      </c>
      <c r="D15" s="593" t="s">
        <v>67</v>
      </c>
      <c r="E15" s="417" t="s">
        <v>68</v>
      </c>
    </row>
    <row r="16" spans="1:10" ht="18" customHeight="1">
      <c r="B16" s="592" t="s">
        <v>69</v>
      </c>
      <c r="C16" s="529" t="s">
        <v>70</v>
      </c>
      <c r="D16" s="593" t="s">
        <v>31</v>
      </c>
      <c r="E16" s="417" t="s">
        <v>71</v>
      </c>
    </row>
    <row r="17" spans="2:5" ht="18" customHeight="1">
      <c r="B17" s="592" t="s">
        <v>32</v>
      </c>
      <c r="C17" s="529" t="s">
        <v>70</v>
      </c>
      <c r="D17" s="593" t="s">
        <v>33</v>
      </c>
      <c r="E17" s="417" t="s">
        <v>72</v>
      </c>
    </row>
    <row r="18" spans="2:5" ht="18" customHeight="1">
      <c r="B18" s="592" t="s">
        <v>34</v>
      </c>
      <c r="C18" s="529" t="s">
        <v>72</v>
      </c>
      <c r="D18" s="593" t="s">
        <v>35</v>
      </c>
      <c r="E18" s="417" t="s">
        <v>66</v>
      </c>
    </row>
    <row r="19" spans="2:5" ht="18" customHeight="1" thickBot="1">
      <c r="B19" s="594" t="s">
        <v>73</v>
      </c>
      <c r="C19" s="595" t="s">
        <v>74</v>
      </c>
      <c r="D19" s="596" t="s">
        <v>36</v>
      </c>
      <c r="E19" s="597" t="s">
        <v>70</v>
      </c>
    </row>
  </sheetData>
  <mergeCells count="5">
    <mergeCell ref="B1:E1"/>
    <mergeCell ref="D13:E13"/>
    <mergeCell ref="D8:E8"/>
    <mergeCell ref="A2:E2"/>
    <mergeCell ref="D3:E3"/>
  </mergeCells>
  <phoneticPr fontId="5" type="noConversion"/>
  <printOptions horizontalCentered="1"/>
  <pageMargins left="0.25" right="0.25" top="0.25" bottom="0.25" header="0.1111111111111111" footer="0.1111111111111111"/>
  <pageSetup paperSize="9" scale="8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O27"/>
  <sheetViews>
    <sheetView zoomScaleNormal="100" workbookViewId="0">
      <selection activeCell="P14" sqref="P14"/>
    </sheetView>
  </sheetViews>
  <sheetFormatPr defaultColWidth="8.7109375" defaultRowHeight="15"/>
  <cols>
    <col min="1" max="1" width="3" customWidth="1"/>
    <col min="2" max="2" width="8" customWidth="1"/>
    <col min="3" max="14" width="7" customWidth="1"/>
    <col min="15" max="15" width="11.85546875" customWidth="1"/>
    <col min="16" max="16" width="3" customWidth="1"/>
  </cols>
  <sheetData>
    <row r="1" spans="1:15" ht="25.5" customHeight="1" thickBot="1">
      <c r="B1" s="598" t="s">
        <v>740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</row>
    <row r="2" spans="1:15" ht="19.5" customHeight="1">
      <c r="B2" s="599" t="s">
        <v>47</v>
      </c>
      <c r="C2" s="600" t="s">
        <v>80</v>
      </c>
      <c r="D2" s="600" t="s">
        <v>81</v>
      </c>
      <c r="E2" s="600" t="s">
        <v>82</v>
      </c>
      <c r="F2" s="600" t="s">
        <v>83</v>
      </c>
      <c r="G2" s="600" t="s">
        <v>84</v>
      </c>
      <c r="H2" s="600" t="s">
        <v>85</v>
      </c>
      <c r="I2" s="600" t="s">
        <v>86</v>
      </c>
      <c r="J2" s="600" t="s">
        <v>87</v>
      </c>
      <c r="K2" s="600" t="s">
        <v>88</v>
      </c>
      <c r="L2" s="600" t="s">
        <v>89</v>
      </c>
      <c r="M2" s="600" t="s">
        <v>90</v>
      </c>
      <c r="N2" s="600" t="s">
        <v>91</v>
      </c>
      <c r="O2" s="601" t="s">
        <v>48</v>
      </c>
    </row>
    <row r="3" spans="1:15" ht="20.100000000000001" customHeight="1">
      <c r="B3" s="602">
        <v>2026</v>
      </c>
      <c r="C3" s="603">
        <v>5</v>
      </c>
      <c r="D3" s="603">
        <v>7</v>
      </c>
      <c r="E3" s="603">
        <v>6</v>
      </c>
      <c r="F3" s="603">
        <v>4</v>
      </c>
      <c r="G3" s="603">
        <v>7</v>
      </c>
      <c r="H3" s="603">
        <v>5</v>
      </c>
      <c r="I3" s="603">
        <v>4</v>
      </c>
      <c r="J3" s="603">
        <v>7</v>
      </c>
      <c r="K3" s="603">
        <v>7</v>
      </c>
      <c r="L3" s="603">
        <v>7</v>
      </c>
      <c r="M3" s="603">
        <v>5</v>
      </c>
      <c r="N3" s="603">
        <v>5</v>
      </c>
      <c r="O3" s="604">
        <f t="shared" ref="O3:O12" si="0">SUM(C3:N3)</f>
        <v>69</v>
      </c>
    </row>
    <row r="4" spans="1:15" ht="20.100000000000001" customHeight="1">
      <c r="B4" s="605">
        <v>2027</v>
      </c>
      <c r="C4" s="606">
        <v>6</v>
      </c>
      <c r="D4" s="606">
        <v>7</v>
      </c>
      <c r="E4" s="606">
        <v>5</v>
      </c>
      <c r="F4" s="606">
        <v>4</v>
      </c>
      <c r="G4" s="606">
        <v>7</v>
      </c>
      <c r="H4" s="606">
        <v>4</v>
      </c>
      <c r="I4" s="606">
        <v>4</v>
      </c>
      <c r="J4" s="606">
        <v>6</v>
      </c>
      <c r="K4" s="606">
        <v>7</v>
      </c>
      <c r="L4" s="606">
        <v>8</v>
      </c>
      <c r="M4" s="606">
        <v>4</v>
      </c>
      <c r="N4" s="606">
        <v>6</v>
      </c>
      <c r="O4" s="604">
        <f t="shared" si="0"/>
        <v>68</v>
      </c>
    </row>
    <row r="5" spans="1:15" ht="20.100000000000001" customHeight="1">
      <c r="B5" s="602">
        <v>2028</v>
      </c>
      <c r="C5" s="603">
        <v>9</v>
      </c>
      <c r="D5" s="603">
        <v>4</v>
      </c>
      <c r="E5" s="603">
        <v>5</v>
      </c>
      <c r="F5" s="603">
        <v>5</v>
      </c>
      <c r="G5" s="603">
        <v>6</v>
      </c>
      <c r="H5" s="603">
        <v>5</v>
      </c>
      <c r="I5" s="603">
        <v>5</v>
      </c>
      <c r="J5" s="603">
        <v>5</v>
      </c>
      <c r="K5" s="603">
        <v>4</v>
      </c>
      <c r="L5" s="603">
        <v>10</v>
      </c>
      <c r="M5" s="603">
        <v>4</v>
      </c>
      <c r="N5" s="603">
        <v>6</v>
      </c>
      <c r="O5" s="604">
        <f t="shared" si="0"/>
        <v>68</v>
      </c>
    </row>
    <row r="6" spans="1:15" ht="20.100000000000001" customHeight="1">
      <c r="B6" s="605">
        <v>2029</v>
      </c>
      <c r="C6" s="606">
        <v>5</v>
      </c>
      <c r="D6" s="606">
        <v>7</v>
      </c>
      <c r="E6" s="606">
        <v>5</v>
      </c>
      <c r="F6" s="606">
        <v>5</v>
      </c>
      <c r="G6" s="606">
        <v>7</v>
      </c>
      <c r="H6" s="606">
        <v>5</v>
      </c>
      <c r="I6" s="606">
        <v>5</v>
      </c>
      <c r="J6" s="606">
        <v>5</v>
      </c>
      <c r="K6" s="606">
        <v>8</v>
      </c>
      <c r="L6" s="606">
        <v>6</v>
      </c>
      <c r="M6" s="606">
        <v>4</v>
      </c>
      <c r="N6" s="606">
        <v>6</v>
      </c>
      <c r="O6" s="604">
        <f t="shared" si="0"/>
        <v>68</v>
      </c>
    </row>
    <row r="7" spans="1:15" ht="20.100000000000001" customHeight="1">
      <c r="B7" s="602">
        <v>2030</v>
      </c>
      <c r="C7" s="603">
        <v>5</v>
      </c>
      <c r="D7" s="603">
        <v>7</v>
      </c>
      <c r="E7" s="603">
        <v>6</v>
      </c>
      <c r="F7" s="603">
        <v>4</v>
      </c>
      <c r="G7" s="603">
        <v>6</v>
      </c>
      <c r="H7" s="603">
        <v>6</v>
      </c>
      <c r="I7" s="603">
        <v>4</v>
      </c>
      <c r="J7" s="603">
        <v>5</v>
      </c>
      <c r="K7" s="603">
        <v>8</v>
      </c>
      <c r="L7" s="603">
        <v>6</v>
      </c>
      <c r="M7" s="603">
        <v>4</v>
      </c>
      <c r="N7" s="603">
        <v>6</v>
      </c>
      <c r="O7" s="604">
        <f t="shared" si="0"/>
        <v>67</v>
      </c>
    </row>
    <row r="8" spans="1:15" ht="20.100000000000001" customHeight="1">
      <c r="B8" s="605">
        <v>2031</v>
      </c>
      <c r="C8" s="606">
        <v>8</v>
      </c>
      <c r="D8" s="606">
        <v>4</v>
      </c>
      <c r="E8" s="606">
        <v>7</v>
      </c>
      <c r="F8" s="606">
        <v>4</v>
      </c>
      <c r="G8" s="606">
        <v>6</v>
      </c>
      <c r="H8" s="606">
        <v>6</v>
      </c>
      <c r="I8" s="606">
        <v>4</v>
      </c>
      <c r="J8" s="606">
        <v>6</v>
      </c>
      <c r="K8" s="606">
        <v>5</v>
      </c>
      <c r="L8" s="606">
        <v>8</v>
      </c>
      <c r="M8" s="606">
        <v>5</v>
      </c>
      <c r="N8" s="606">
        <v>5</v>
      </c>
      <c r="O8" s="604">
        <f t="shared" si="0"/>
        <v>68</v>
      </c>
    </row>
    <row r="9" spans="1:15" ht="20.100000000000001" customHeight="1">
      <c r="B9" s="602">
        <v>2032</v>
      </c>
      <c r="C9" s="603">
        <v>5</v>
      </c>
      <c r="D9" s="603">
        <v>8</v>
      </c>
      <c r="E9" s="603">
        <v>5</v>
      </c>
      <c r="F9" s="603">
        <v>4</v>
      </c>
      <c r="G9" s="603">
        <v>7</v>
      </c>
      <c r="H9" s="603">
        <v>4</v>
      </c>
      <c r="I9" s="603">
        <v>4</v>
      </c>
      <c r="J9" s="603">
        <v>6</v>
      </c>
      <c r="K9" s="603">
        <v>7</v>
      </c>
      <c r="L9" s="603">
        <v>8</v>
      </c>
      <c r="M9" s="603">
        <v>4</v>
      </c>
      <c r="N9" s="603">
        <v>6</v>
      </c>
      <c r="O9" s="604">
        <f t="shared" si="0"/>
        <v>68</v>
      </c>
    </row>
    <row r="10" spans="1:15" ht="20.100000000000001" customHeight="1">
      <c r="B10" s="605">
        <v>2033</v>
      </c>
      <c r="C10" s="606">
        <v>7</v>
      </c>
      <c r="D10" s="606">
        <v>6</v>
      </c>
      <c r="E10" s="606">
        <v>5</v>
      </c>
      <c r="F10" s="606">
        <v>4</v>
      </c>
      <c r="G10" s="606">
        <v>7</v>
      </c>
      <c r="H10" s="606">
        <v>5</v>
      </c>
      <c r="I10" s="606">
        <v>5</v>
      </c>
      <c r="J10" s="606">
        <v>5</v>
      </c>
      <c r="K10" s="606">
        <v>7</v>
      </c>
      <c r="L10" s="606">
        <v>7</v>
      </c>
      <c r="M10" s="606">
        <v>4</v>
      </c>
      <c r="N10" s="606">
        <v>5</v>
      </c>
      <c r="O10" s="604">
        <f t="shared" si="0"/>
        <v>67</v>
      </c>
    </row>
    <row r="11" spans="1:15" ht="20.100000000000001" customHeight="1">
      <c r="B11" s="607">
        <v>2034</v>
      </c>
      <c r="C11" s="608">
        <v>5</v>
      </c>
      <c r="D11" s="608">
        <v>7</v>
      </c>
      <c r="E11" s="608">
        <v>5</v>
      </c>
      <c r="F11" s="608">
        <v>5</v>
      </c>
      <c r="G11" s="608">
        <v>6</v>
      </c>
      <c r="H11" s="608">
        <v>5</v>
      </c>
      <c r="I11" s="608">
        <v>5</v>
      </c>
      <c r="J11" s="608">
        <v>5</v>
      </c>
      <c r="K11" s="608">
        <v>7</v>
      </c>
      <c r="L11" s="608">
        <v>7</v>
      </c>
      <c r="M11" s="608">
        <v>4</v>
      </c>
      <c r="N11" s="608">
        <v>6</v>
      </c>
      <c r="O11" s="609">
        <f t="shared" si="0"/>
        <v>67</v>
      </c>
    </row>
    <row r="12" spans="1:15" ht="20.100000000000001" customHeight="1">
      <c r="B12" s="605">
        <v>2035</v>
      </c>
      <c r="C12" s="606">
        <v>5</v>
      </c>
      <c r="D12" s="606">
        <v>7</v>
      </c>
      <c r="E12" s="606">
        <v>5</v>
      </c>
      <c r="F12" s="606">
        <v>5</v>
      </c>
      <c r="G12" s="606">
        <v>7</v>
      </c>
      <c r="H12" s="606">
        <v>5</v>
      </c>
      <c r="I12" s="606">
        <v>5</v>
      </c>
      <c r="J12" s="606">
        <v>5</v>
      </c>
      <c r="K12" s="606">
        <v>8</v>
      </c>
      <c r="L12" s="606">
        <v>6</v>
      </c>
      <c r="M12" s="606">
        <v>4</v>
      </c>
      <c r="N12" s="606">
        <v>6</v>
      </c>
      <c r="O12" s="604">
        <f t="shared" si="0"/>
        <v>68</v>
      </c>
    </row>
    <row r="13" spans="1:15" ht="20.100000000000001" customHeight="1">
      <c r="A13" s="65"/>
      <c r="B13" s="610">
        <v>2036</v>
      </c>
      <c r="C13" s="611">
        <v>8</v>
      </c>
      <c r="D13" s="611">
        <v>4</v>
      </c>
      <c r="E13" s="611">
        <v>7</v>
      </c>
      <c r="F13" s="611">
        <v>4</v>
      </c>
      <c r="G13" s="611">
        <v>7</v>
      </c>
      <c r="H13" s="611">
        <v>6</v>
      </c>
      <c r="I13" s="611">
        <v>4</v>
      </c>
      <c r="J13" s="611">
        <v>6</v>
      </c>
      <c r="K13" s="611">
        <v>4</v>
      </c>
      <c r="L13" s="611">
        <v>9</v>
      </c>
      <c r="M13" s="611">
        <v>5</v>
      </c>
      <c r="N13" s="611">
        <v>5</v>
      </c>
      <c r="O13" s="612">
        <f>SUM(C13:N13)</f>
        <v>69</v>
      </c>
    </row>
    <row r="14" spans="1:15" ht="20.100000000000001" customHeight="1">
      <c r="A14" s="65"/>
      <c r="B14" s="613">
        <v>2037</v>
      </c>
      <c r="C14" s="606">
        <v>5</v>
      </c>
      <c r="D14" s="606">
        <v>7</v>
      </c>
      <c r="E14" s="606">
        <v>6</v>
      </c>
      <c r="F14" s="606">
        <v>4</v>
      </c>
      <c r="G14" s="606">
        <v>7</v>
      </c>
      <c r="H14" s="606">
        <v>5</v>
      </c>
      <c r="I14" s="606">
        <v>4</v>
      </c>
      <c r="J14" s="606">
        <v>7</v>
      </c>
      <c r="K14" s="606">
        <v>7</v>
      </c>
      <c r="L14" s="606">
        <v>7</v>
      </c>
      <c r="M14" s="606">
        <v>5</v>
      </c>
      <c r="N14" s="606">
        <v>5</v>
      </c>
      <c r="O14" s="604">
        <f>SUM(C14:N14)</f>
        <v>69</v>
      </c>
    </row>
    <row r="15" spans="1:15" ht="20.100000000000001" customHeight="1">
      <c r="A15" s="65"/>
      <c r="B15" s="614">
        <v>2038</v>
      </c>
      <c r="C15" s="603">
        <v>6</v>
      </c>
      <c r="D15" s="603">
        <v>7</v>
      </c>
      <c r="E15" s="603">
        <v>5</v>
      </c>
      <c r="F15" s="603">
        <v>4</v>
      </c>
      <c r="G15" s="603">
        <v>7</v>
      </c>
      <c r="H15" s="603">
        <v>4</v>
      </c>
      <c r="I15" s="603">
        <v>4</v>
      </c>
      <c r="J15" s="603">
        <v>6</v>
      </c>
      <c r="K15" s="603">
        <v>7</v>
      </c>
      <c r="L15" s="603">
        <v>8</v>
      </c>
      <c r="M15" s="603">
        <v>4</v>
      </c>
      <c r="N15" s="603">
        <v>6</v>
      </c>
      <c r="O15" s="604">
        <f>SUM(C15:N15)</f>
        <v>68</v>
      </c>
    </row>
    <row r="16" spans="1:15" ht="20.100000000000001" customHeight="1">
      <c r="A16" s="65"/>
      <c r="B16" s="613">
        <v>2039</v>
      </c>
      <c r="C16" s="606">
        <v>9</v>
      </c>
      <c r="D16" s="606">
        <v>4</v>
      </c>
      <c r="E16" s="606">
        <v>5</v>
      </c>
      <c r="F16" s="606">
        <v>5</v>
      </c>
      <c r="G16" s="606">
        <v>7</v>
      </c>
      <c r="H16" s="606">
        <v>5</v>
      </c>
      <c r="I16" s="606">
        <v>5</v>
      </c>
      <c r="J16" s="606">
        <v>5</v>
      </c>
      <c r="K16" s="606">
        <v>4</v>
      </c>
      <c r="L16" s="606">
        <v>10</v>
      </c>
      <c r="M16" s="606">
        <v>4</v>
      </c>
      <c r="N16" s="606">
        <v>5</v>
      </c>
      <c r="O16" s="604">
        <f>SUM(C16:N16)</f>
        <v>68</v>
      </c>
    </row>
    <row r="17" spans="1:15" ht="20.100000000000001" customHeight="1" thickBot="1">
      <c r="A17" s="65"/>
      <c r="B17" s="615">
        <v>2040</v>
      </c>
      <c r="C17" s="616">
        <v>5</v>
      </c>
      <c r="D17" s="616">
        <v>7</v>
      </c>
      <c r="E17" s="616">
        <v>5</v>
      </c>
      <c r="F17" s="616">
        <v>5</v>
      </c>
      <c r="G17" s="616">
        <v>7</v>
      </c>
      <c r="H17" s="616">
        <v>5</v>
      </c>
      <c r="I17" s="616">
        <v>5</v>
      </c>
      <c r="J17" s="616">
        <v>5</v>
      </c>
      <c r="K17" s="616">
        <v>8</v>
      </c>
      <c r="L17" s="616">
        <v>6</v>
      </c>
      <c r="M17" s="616">
        <v>4</v>
      </c>
      <c r="N17" s="616">
        <v>6</v>
      </c>
      <c r="O17" s="617">
        <f>SUM(C17:N17)</f>
        <v>68</v>
      </c>
    </row>
    <row r="18" spans="1:15">
      <c r="B18" s="305" t="s">
        <v>728</v>
      </c>
      <c r="C18" s="306"/>
      <c r="D18" s="306"/>
      <c r="E18" s="306"/>
      <c r="F18" s="306"/>
      <c r="G18" s="306"/>
      <c r="H18" s="306"/>
      <c r="I18" s="306"/>
      <c r="J18" s="306"/>
      <c r="K18" s="306"/>
      <c r="L18" s="306"/>
      <c r="M18" s="306"/>
      <c r="N18" s="306"/>
      <c r="O18" s="306"/>
    </row>
    <row r="19" spans="1:15" ht="26.1" customHeight="1" thickBot="1">
      <c r="B19" s="550" t="s">
        <v>606</v>
      </c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</row>
    <row r="20" spans="1:15" ht="20.100000000000001" customHeight="1">
      <c r="B20" s="618" t="s">
        <v>584</v>
      </c>
      <c r="C20" s="619"/>
      <c r="D20" s="619" t="s">
        <v>5</v>
      </c>
      <c r="E20" s="619"/>
      <c r="F20" s="619"/>
      <c r="G20" s="619"/>
      <c r="H20" s="619"/>
      <c r="I20" s="619"/>
      <c r="J20" s="619"/>
      <c r="K20" s="619" t="s">
        <v>585</v>
      </c>
      <c r="L20" s="619"/>
      <c r="M20" s="619"/>
      <c r="N20" s="619"/>
      <c r="O20" s="620"/>
    </row>
    <row r="21" spans="1:15" ht="51" customHeight="1">
      <c r="B21" s="621" t="s">
        <v>586</v>
      </c>
      <c r="C21" s="301"/>
      <c r="D21" s="622" t="s">
        <v>587</v>
      </c>
      <c r="E21" s="301"/>
      <c r="F21" s="301"/>
      <c r="G21" s="301"/>
      <c r="H21" s="301"/>
      <c r="I21" s="301"/>
      <c r="J21" s="301"/>
      <c r="K21" s="623" t="s">
        <v>588</v>
      </c>
      <c r="L21" s="301"/>
      <c r="M21" s="301"/>
      <c r="N21" s="301"/>
      <c r="O21" s="302"/>
    </row>
    <row r="22" spans="1:15" ht="51" customHeight="1">
      <c r="B22" s="624" t="s">
        <v>589</v>
      </c>
      <c r="C22" s="303"/>
      <c r="D22" s="625" t="s">
        <v>590</v>
      </c>
      <c r="E22" s="303"/>
      <c r="F22" s="303"/>
      <c r="G22" s="303"/>
      <c r="H22" s="303"/>
      <c r="I22" s="303"/>
      <c r="J22" s="303"/>
      <c r="K22" s="626" t="s">
        <v>591</v>
      </c>
      <c r="L22" s="303"/>
      <c r="M22" s="303"/>
      <c r="N22" s="303"/>
      <c r="O22" s="304"/>
    </row>
    <row r="23" spans="1:15" ht="51" customHeight="1">
      <c r="B23" s="621" t="s">
        <v>592</v>
      </c>
      <c r="C23" s="301"/>
      <c r="D23" s="622" t="s">
        <v>593</v>
      </c>
      <c r="E23" s="301"/>
      <c r="F23" s="301"/>
      <c r="G23" s="301"/>
      <c r="H23" s="301"/>
      <c r="I23" s="301"/>
      <c r="J23" s="301"/>
      <c r="K23" s="623" t="s">
        <v>594</v>
      </c>
      <c r="L23" s="301"/>
      <c r="M23" s="301"/>
      <c r="N23" s="301"/>
      <c r="O23" s="302"/>
    </row>
    <row r="24" spans="1:15" ht="51" customHeight="1">
      <c r="B24" s="624" t="s">
        <v>595</v>
      </c>
      <c r="C24" s="303"/>
      <c r="D24" s="625" t="s">
        <v>596</v>
      </c>
      <c r="E24" s="303"/>
      <c r="F24" s="303"/>
      <c r="G24" s="303"/>
      <c r="H24" s="303"/>
      <c r="I24" s="303"/>
      <c r="J24" s="303"/>
      <c r="K24" s="626" t="s">
        <v>597</v>
      </c>
      <c r="L24" s="303"/>
      <c r="M24" s="303"/>
      <c r="N24" s="303"/>
      <c r="O24" s="304"/>
    </row>
    <row r="25" spans="1:15" ht="51" customHeight="1">
      <c r="B25" s="621" t="s">
        <v>598</v>
      </c>
      <c r="C25" s="301"/>
      <c r="D25" s="622" t="s">
        <v>599</v>
      </c>
      <c r="E25" s="301"/>
      <c r="F25" s="301"/>
      <c r="G25" s="301"/>
      <c r="H25" s="301"/>
      <c r="I25" s="301"/>
      <c r="J25" s="301"/>
      <c r="K25" s="623" t="s">
        <v>600</v>
      </c>
      <c r="L25" s="301"/>
      <c r="M25" s="301"/>
      <c r="N25" s="301"/>
      <c r="O25" s="302"/>
    </row>
    <row r="26" spans="1:15" ht="51" customHeight="1" thickBot="1">
      <c r="B26" s="627" t="s">
        <v>601</v>
      </c>
      <c r="C26" s="628"/>
      <c r="D26" s="629" t="s">
        <v>602</v>
      </c>
      <c r="E26" s="629"/>
      <c r="F26" s="629"/>
      <c r="G26" s="629"/>
      <c r="H26" s="629"/>
      <c r="I26" s="629"/>
      <c r="J26" s="629"/>
      <c r="K26" s="630" t="s">
        <v>603</v>
      </c>
      <c r="L26" s="630"/>
      <c r="M26" s="630"/>
      <c r="N26" s="630"/>
      <c r="O26" s="631"/>
    </row>
    <row r="27" spans="1:15" ht="33" customHeight="1">
      <c r="B27" s="299" t="s">
        <v>604</v>
      </c>
      <c r="C27" s="300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</row>
  </sheetData>
  <mergeCells count="25">
    <mergeCell ref="B1:O1"/>
    <mergeCell ref="B18:O18"/>
    <mergeCell ref="B19:O19"/>
    <mergeCell ref="B20:C20"/>
    <mergeCell ref="D20:J20"/>
    <mergeCell ref="K20:O20"/>
    <mergeCell ref="B21:C21"/>
    <mergeCell ref="D21:J21"/>
    <mergeCell ref="K21:O21"/>
    <mergeCell ref="B22:C22"/>
    <mergeCell ref="D22:J22"/>
    <mergeCell ref="K22:O22"/>
    <mergeCell ref="B23:C23"/>
    <mergeCell ref="D23:J23"/>
    <mergeCell ref="K23:O23"/>
    <mergeCell ref="B24:C24"/>
    <mergeCell ref="D24:J24"/>
    <mergeCell ref="K24:O24"/>
    <mergeCell ref="B27:O27"/>
    <mergeCell ref="B25:C25"/>
    <mergeCell ref="D25:J25"/>
    <mergeCell ref="K25:O25"/>
    <mergeCell ref="B26:C26"/>
    <mergeCell ref="D26:J26"/>
    <mergeCell ref="K26:O26"/>
  </mergeCells>
  <phoneticPr fontId="5" type="noConversion"/>
  <printOptions horizontalCentered="1"/>
  <pageMargins left="0.25" right="0.25" top="0.25" bottom="0.25" header="0.1111111111111111" footer="0.1111111111111111"/>
  <pageSetup paperSize="9" scale="92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B1:O55"/>
  <sheetViews>
    <sheetView zoomScaleNormal="100" workbookViewId="0">
      <selection activeCell="P14" sqref="P14"/>
    </sheetView>
  </sheetViews>
  <sheetFormatPr defaultColWidth="8.7109375" defaultRowHeight="15"/>
  <cols>
    <col min="1" max="1" width="3" customWidth="1"/>
    <col min="2" max="2" width="18" customWidth="1"/>
    <col min="3" max="3" width="5.42578125" bestFit="1" customWidth="1"/>
    <col min="4" max="14" width="8" customWidth="1"/>
    <col min="15" max="15" width="10" customWidth="1"/>
  </cols>
  <sheetData>
    <row r="1" spans="2:15" ht="30" customHeight="1">
      <c r="B1" s="330" t="s">
        <v>741</v>
      </c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</row>
    <row r="2" spans="2:15" ht="18" customHeight="1" thickBot="1">
      <c r="B2" s="632" t="s">
        <v>776</v>
      </c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</row>
    <row r="3" spans="2:15" ht="21.75" customHeight="1">
      <c r="B3" s="331" t="s">
        <v>1</v>
      </c>
      <c r="C3" s="633">
        <f>'1. 기본정보'!C8</f>
        <v>46388</v>
      </c>
      <c r="D3" s="634"/>
      <c r="E3" s="635"/>
      <c r="F3" s="307"/>
      <c r="G3" s="308"/>
      <c r="H3" s="308"/>
      <c r="I3" s="308"/>
      <c r="J3" s="308"/>
      <c r="K3" s="308"/>
      <c r="L3" s="308"/>
      <c r="M3" s="308"/>
      <c r="N3" s="308"/>
      <c r="O3" s="308"/>
    </row>
    <row r="4" spans="2:15" ht="21.75" customHeight="1">
      <c r="B4" s="333" t="s">
        <v>79</v>
      </c>
      <c r="C4" s="719">
        <f>ROUND(MIN('2-1. 공사기간 검토결과'!$D$17:$E$17)/30,1)</f>
        <v>12.6</v>
      </c>
      <c r="D4" s="719"/>
      <c r="E4" s="720"/>
      <c r="F4" s="309"/>
      <c r="G4" s="310"/>
      <c r="H4" s="310"/>
      <c r="I4" s="310"/>
      <c r="J4" s="310"/>
      <c r="K4" s="310"/>
      <c r="L4" s="310"/>
      <c r="M4" s="310"/>
      <c r="N4" s="310"/>
      <c r="O4" s="310"/>
    </row>
    <row r="5" spans="2:15" ht="21.75" customHeight="1" thickBot="1">
      <c r="B5" s="334" t="s">
        <v>3</v>
      </c>
      <c r="C5" s="636" t="str">
        <f>'1. 기본정보'!C10</f>
        <v>전남·광주</v>
      </c>
      <c r="D5" s="637"/>
      <c r="E5" s="638"/>
      <c r="F5" s="311"/>
      <c r="G5" s="312"/>
      <c r="H5" s="312"/>
      <c r="I5" s="312"/>
      <c r="J5" s="312"/>
      <c r="K5" s="312"/>
      <c r="L5" s="312"/>
      <c r="M5" s="312"/>
      <c r="N5" s="312"/>
      <c r="O5" s="312"/>
    </row>
    <row r="6" spans="2:15">
      <c r="C6" s="6"/>
    </row>
    <row r="7" spans="2:15" ht="19.5" customHeight="1" thickBot="1">
      <c r="B7" s="550" t="s">
        <v>605</v>
      </c>
      <c r="C7" s="549"/>
      <c r="D7" s="550"/>
      <c r="E7" s="550"/>
      <c r="F7" s="550"/>
      <c r="G7" s="550"/>
      <c r="H7" s="550"/>
      <c r="I7" s="550"/>
      <c r="J7" s="550"/>
      <c r="K7" s="550"/>
      <c r="L7" s="550"/>
      <c r="M7" s="550"/>
      <c r="N7" s="550"/>
      <c r="O7" s="550"/>
    </row>
    <row r="8" spans="2:15" ht="18" customHeight="1">
      <c r="B8" s="313" t="str">
        <f>YEAR($C$3)&amp;"년"</f>
        <v>2027년</v>
      </c>
      <c r="C8" s="314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315"/>
      <c r="O8" s="316"/>
    </row>
    <row r="9" spans="2:15" ht="18" customHeight="1">
      <c r="B9" s="62" t="s">
        <v>4</v>
      </c>
      <c r="C9" s="63" t="s">
        <v>80</v>
      </c>
      <c r="D9" s="63" t="s">
        <v>81</v>
      </c>
      <c r="E9" s="63" t="s">
        <v>82</v>
      </c>
      <c r="F9" s="63" t="s">
        <v>83</v>
      </c>
      <c r="G9" s="63" t="s">
        <v>84</v>
      </c>
      <c r="H9" s="63" t="s">
        <v>85</v>
      </c>
      <c r="I9" s="63" t="s">
        <v>86</v>
      </c>
      <c r="J9" s="63" t="s">
        <v>87</v>
      </c>
      <c r="K9" s="63" t="s">
        <v>88</v>
      </c>
      <c r="L9" s="63" t="s">
        <v>89</v>
      </c>
      <c r="M9" s="63" t="s">
        <v>90</v>
      </c>
      <c r="N9" s="63" t="s">
        <v>91</v>
      </c>
      <c r="O9" s="64" t="s">
        <v>38</v>
      </c>
    </row>
    <row r="10" spans="2:15" ht="15.75" customHeight="1">
      <c r="B10" s="639" t="s">
        <v>716</v>
      </c>
      <c r="C10" s="640" cm="1">
        <f t="array" ref="C10">IFERROR(INDEX('부록2 법정공휴일'!$C$3:$N$17,MATCH(LEFT($B$8,4)*1,'부록2 법정공휴일'!$B$3:$B$17,0),COLUMN()-2),0)</f>
        <v>6</v>
      </c>
      <c r="D10" s="640" cm="1">
        <f t="array" ref="D10">IFERROR(INDEX('부록2 법정공휴일'!$C$3:$N$17,MATCH(LEFT($B$8,4)*1,'부록2 법정공휴일'!$B$3:$B$17,0),COLUMN()-2),0)</f>
        <v>7</v>
      </c>
      <c r="E10" s="640" cm="1">
        <f t="array" ref="E10">IFERROR(INDEX('부록2 법정공휴일'!$C$3:$N$17,MATCH(LEFT($B$8,4)*1,'부록2 법정공휴일'!$B$3:$B$17,0),COLUMN()-2),0)</f>
        <v>5</v>
      </c>
      <c r="F10" s="640" cm="1">
        <f t="array" ref="F10">IFERROR(INDEX('부록2 법정공휴일'!$C$3:$N$17,MATCH(LEFT($B$8,4)*1,'부록2 법정공휴일'!$B$3:$B$17,0),COLUMN()-2),0)</f>
        <v>4</v>
      </c>
      <c r="G10" s="640" cm="1">
        <f t="array" ref="G10">IFERROR(INDEX('부록2 법정공휴일'!$C$3:$N$17,MATCH(LEFT($B$8,4)*1,'부록2 법정공휴일'!$B$3:$B$17,0),COLUMN()-2),0)</f>
        <v>7</v>
      </c>
      <c r="H10" s="640" cm="1">
        <f t="array" ref="H10">IFERROR(INDEX('부록2 법정공휴일'!$C$3:$N$17,MATCH(LEFT($B$8,4)*1,'부록2 법정공휴일'!$B$3:$B$17,0),COLUMN()-2),0)</f>
        <v>4</v>
      </c>
      <c r="I10" s="640" cm="1">
        <f t="array" ref="I10">IFERROR(INDEX('부록2 법정공휴일'!$C$3:$N$17,MATCH(LEFT($B$8,4)*1,'부록2 법정공휴일'!$B$3:$B$17,0),COLUMN()-2),0)</f>
        <v>4</v>
      </c>
      <c r="J10" s="640" cm="1">
        <f t="array" ref="J10">IFERROR(INDEX('부록2 법정공휴일'!$C$3:$N$17,MATCH(LEFT($B$8,4)*1,'부록2 법정공휴일'!$B$3:$B$17,0),COLUMN()-2),0)</f>
        <v>6</v>
      </c>
      <c r="K10" s="640" cm="1">
        <f t="array" ref="K10">IFERROR(INDEX('부록2 법정공휴일'!$C$3:$N$17,MATCH(LEFT($B$8,4)*1,'부록2 법정공휴일'!$B$3:$B$17,0),COLUMN()-2),0)</f>
        <v>7</v>
      </c>
      <c r="L10" s="640" cm="1">
        <f t="array" ref="L10">IFERROR(INDEX('부록2 법정공휴일'!$C$3:$N$17,MATCH(LEFT($B$8,4)*1,'부록2 법정공휴일'!$B$3:$B$17,0),COLUMN()-2),0)</f>
        <v>8</v>
      </c>
      <c r="M10" s="640" cm="1">
        <f t="array" ref="M10">IFERROR(INDEX('부록2 법정공휴일'!$C$3:$N$17,MATCH(LEFT($B$8,4)*1,'부록2 법정공휴일'!$B$3:$B$17,0),COLUMN()-2),0)</f>
        <v>4</v>
      </c>
      <c r="N10" s="640" cm="1">
        <f t="array" ref="N10">IFERROR(INDEX('부록2 법정공휴일'!$C$3:$N$17,MATCH(LEFT($B$8,4)*1,'부록2 법정공휴일'!$B$3:$B$17,0),COLUMN()-2),0)</f>
        <v>6</v>
      </c>
      <c r="O10" s="641">
        <f>SUM(C10:N10)</f>
        <v>68</v>
      </c>
    </row>
    <row r="11" spans="2:15" ht="15.75" customHeight="1">
      <c r="B11" s="639" t="s">
        <v>93</v>
      </c>
      <c r="C11" s="642">
        <f>'부록4 기상비작업일수 산정'!D$24</f>
        <v>2.2999999999999998</v>
      </c>
      <c r="D11" s="642">
        <f>'부록4 기상비작업일수 산정'!E$24</f>
        <v>1.3</v>
      </c>
      <c r="E11" s="642">
        <f>'부록4 기상비작업일수 산정'!F$24</f>
        <v>0</v>
      </c>
      <c r="F11" s="642">
        <f>'부록4 기상비작업일수 산정'!G$24</f>
        <v>0</v>
      </c>
      <c r="G11" s="642">
        <f>'부록4 기상비작업일수 산정'!H$24</f>
        <v>0</v>
      </c>
      <c r="H11" s="642">
        <f>'부록4 기상비작업일수 산정'!I$24</f>
        <v>0</v>
      </c>
      <c r="I11" s="642">
        <f>'부록4 기상비작업일수 산정'!J$24</f>
        <v>7.5</v>
      </c>
      <c r="J11" s="642">
        <f>'부록4 기상비작업일수 산정'!K$24</f>
        <v>13.8</v>
      </c>
      <c r="K11" s="642">
        <f>'부록4 기상비작업일수 산정'!L$24</f>
        <v>1.2</v>
      </c>
      <c r="L11" s="642">
        <f>'부록4 기상비작업일수 산정'!M$24</f>
        <v>0</v>
      </c>
      <c r="M11" s="642">
        <f>'부록4 기상비작업일수 산정'!N$24</f>
        <v>0</v>
      </c>
      <c r="N11" s="642">
        <f>'부록4 기상비작업일수 산정'!O$24</f>
        <v>1.4</v>
      </c>
      <c r="O11" s="641">
        <f>SUM(C11:N11)</f>
        <v>27.499999999999996</v>
      </c>
    </row>
    <row r="12" spans="2:15" ht="15.75" customHeight="1">
      <c r="B12" s="639" t="s">
        <v>94</v>
      </c>
      <c r="C12" s="640">
        <f>ROUND(C10*C11/DAY(EOMONTH(DATE(LEFT($B$8,4)*1,COLUMN()-2,1),0)),0)</f>
        <v>0</v>
      </c>
      <c r="D12" s="640">
        <f t="shared" ref="D12:N12" si="0">ROUND(D10*D11/DAY(EOMONTH(DATE(LEFT($B$8,4)*1,COLUMN()-2,1),0)),0)</f>
        <v>0</v>
      </c>
      <c r="E12" s="640">
        <f t="shared" si="0"/>
        <v>0</v>
      </c>
      <c r="F12" s="640">
        <f t="shared" si="0"/>
        <v>0</v>
      </c>
      <c r="G12" s="640">
        <f t="shared" si="0"/>
        <v>0</v>
      </c>
      <c r="H12" s="640">
        <f t="shared" si="0"/>
        <v>0</v>
      </c>
      <c r="I12" s="640">
        <f t="shared" si="0"/>
        <v>1</v>
      </c>
      <c r="J12" s="640">
        <f t="shared" si="0"/>
        <v>3</v>
      </c>
      <c r="K12" s="640">
        <f t="shared" si="0"/>
        <v>0</v>
      </c>
      <c r="L12" s="640">
        <f t="shared" si="0"/>
        <v>0</v>
      </c>
      <c r="M12" s="640">
        <f t="shared" si="0"/>
        <v>0</v>
      </c>
      <c r="N12" s="640">
        <f t="shared" si="0"/>
        <v>0</v>
      </c>
      <c r="O12" s="641">
        <f>SUM(C12:N12)</f>
        <v>4</v>
      </c>
    </row>
    <row r="13" spans="2:15" ht="15.75" customHeight="1">
      <c r="B13" s="639" t="s">
        <v>40</v>
      </c>
      <c r="C13" s="642">
        <f>C11+C10-C12</f>
        <v>8.3000000000000007</v>
      </c>
      <c r="D13" s="642">
        <f t="shared" ref="D13:N13" si="1">D11+D10-D12</f>
        <v>8.3000000000000007</v>
      </c>
      <c r="E13" s="642">
        <f t="shared" si="1"/>
        <v>5</v>
      </c>
      <c r="F13" s="642">
        <f t="shared" si="1"/>
        <v>4</v>
      </c>
      <c r="G13" s="642">
        <f t="shared" si="1"/>
        <v>7</v>
      </c>
      <c r="H13" s="642">
        <f t="shared" si="1"/>
        <v>4</v>
      </c>
      <c r="I13" s="642">
        <f t="shared" si="1"/>
        <v>10.5</v>
      </c>
      <c r="J13" s="642">
        <f t="shared" si="1"/>
        <v>16.8</v>
      </c>
      <c r="K13" s="642">
        <f t="shared" si="1"/>
        <v>8.1999999999999993</v>
      </c>
      <c r="L13" s="642">
        <f t="shared" si="1"/>
        <v>8</v>
      </c>
      <c r="M13" s="642">
        <f t="shared" si="1"/>
        <v>4</v>
      </c>
      <c r="N13" s="642">
        <f t="shared" si="1"/>
        <v>7.4</v>
      </c>
      <c r="O13" s="641">
        <f>SUM(C13:N13)</f>
        <v>91.500000000000014</v>
      </c>
    </row>
    <row r="14" spans="2:15" ht="15.75" customHeight="1">
      <c r="B14" s="639" t="s">
        <v>95</v>
      </c>
      <c r="C14" s="642">
        <v>8</v>
      </c>
      <c r="D14" s="642">
        <v>8</v>
      </c>
      <c r="E14" s="642">
        <v>8</v>
      </c>
      <c r="F14" s="642">
        <v>8</v>
      </c>
      <c r="G14" s="642">
        <v>8</v>
      </c>
      <c r="H14" s="642">
        <v>8</v>
      </c>
      <c r="I14" s="642">
        <v>8</v>
      </c>
      <c r="J14" s="642">
        <v>8</v>
      </c>
      <c r="K14" s="642">
        <v>8</v>
      </c>
      <c r="L14" s="642">
        <v>8</v>
      </c>
      <c r="M14" s="642">
        <v>8</v>
      </c>
      <c r="N14" s="642">
        <v>8</v>
      </c>
      <c r="O14" s="641">
        <v>96</v>
      </c>
    </row>
    <row r="15" spans="2:15" ht="15.75" customHeight="1">
      <c r="B15" s="643" t="s">
        <v>39</v>
      </c>
      <c r="C15" s="644">
        <f>MAX(C13,C14)</f>
        <v>8.3000000000000007</v>
      </c>
      <c r="D15" s="644">
        <f t="shared" ref="D15:N15" si="2">MAX(D13,D14)</f>
        <v>8.3000000000000007</v>
      </c>
      <c r="E15" s="644">
        <f t="shared" si="2"/>
        <v>8</v>
      </c>
      <c r="F15" s="644">
        <f t="shared" si="2"/>
        <v>8</v>
      </c>
      <c r="G15" s="644">
        <f t="shared" si="2"/>
        <v>8</v>
      </c>
      <c r="H15" s="644">
        <f t="shared" si="2"/>
        <v>8</v>
      </c>
      <c r="I15" s="644">
        <f t="shared" si="2"/>
        <v>10.5</v>
      </c>
      <c r="J15" s="644">
        <f t="shared" si="2"/>
        <v>16.8</v>
      </c>
      <c r="K15" s="644">
        <f t="shared" si="2"/>
        <v>8.1999999999999993</v>
      </c>
      <c r="L15" s="644">
        <f t="shared" si="2"/>
        <v>8</v>
      </c>
      <c r="M15" s="644">
        <f t="shared" si="2"/>
        <v>8</v>
      </c>
      <c r="N15" s="644">
        <f t="shared" si="2"/>
        <v>8</v>
      </c>
      <c r="O15" s="645">
        <f>SUM(C15:N15)</f>
        <v>108.10000000000001</v>
      </c>
    </row>
    <row r="16" spans="2:15" ht="21.75" customHeight="1" thickBot="1">
      <c r="B16" s="646" t="str">
        <f>"▶ "&amp;(YEAR($C$3)+0)&amp;"년 연간 총 비작업일수 (적용일수 합계)"</f>
        <v>▶ 2027년 연간 총 비작업일수 (적용일수 합계)</v>
      </c>
      <c r="C16" s="647"/>
      <c r="D16" s="647"/>
      <c r="E16" s="647"/>
      <c r="F16" s="647"/>
      <c r="G16" s="647"/>
      <c r="H16" s="647"/>
      <c r="I16" s="647"/>
      <c r="J16" s="647"/>
      <c r="K16" s="647"/>
      <c r="L16" s="647"/>
      <c r="M16" s="647"/>
      <c r="N16" s="647"/>
      <c r="O16" s="648">
        <f>SUM(C15:N15)</f>
        <v>108.10000000000001</v>
      </c>
    </row>
    <row r="17" spans="2:15" ht="18" customHeight="1">
      <c r="B17" s="313" t="str">
        <f>(YEAR($C$3)+1)&amp;"년"</f>
        <v>2028년</v>
      </c>
      <c r="C17" s="315"/>
      <c r="D17" s="315"/>
      <c r="E17" s="315"/>
      <c r="F17" s="315"/>
      <c r="G17" s="315"/>
      <c r="H17" s="315"/>
      <c r="I17" s="315"/>
      <c r="J17" s="315"/>
      <c r="K17" s="315"/>
      <c r="L17" s="315"/>
      <c r="M17" s="315"/>
      <c r="N17" s="315"/>
      <c r="O17" s="316"/>
    </row>
    <row r="18" spans="2:15" ht="18" customHeight="1">
      <c r="B18" s="62" t="s">
        <v>4</v>
      </c>
      <c r="C18" s="63" t="s">
        <v>80</v>
      </c>
      <c r="D18" s="63" t="s">
        <v>81</v>
      </c>
      <c r="E18" s="63" t="s">
        <v>82</v>
      </c>
      <c r="F18" s="63" t="s">
        <v>83</v>
      </c>
      <c r="G18" s="63" t="s">
        <v>84</v>
      </c>
      <c r="H18" s="63" t="s">
        <v>85</v>
      </c>
      <c r="I18" s="63" t="s">
        <v>86</v>
      </c>
      <c r="J18" s="63" t="s">
        <v>87</v>
      </c>
      <c r="K18" s="63" t="s">
        <v>88</v>
      </c>
      <c r="L18" s="63" t="s">
        <v>89</v>
      </c>
      <c r="M18" s="63" t="s">
        <v>90</v>
      </c>
      <c r="N18" s="63" t="s">
        <v>91</v>
      </c>
      <c r="O18" s="64" t="s">
        <v>38</v>
      </c>
    </row>
    <row r="19" spans="2:15" ht="15.75" customHeight="1">
      <c r="B19" s="639" t="s">
        <v>92</v>
      </c>
      <c r="C19" s="640" cm="1">
        <f t="array" ref="C19">IFERROR(INDEX('부록2 법정공휴일'!$C$3:$N$17,MATCH(LEFT($B$17,4)*1,'부록2 법정공휴일'!$B$3:$B$17,0),COLUMN()-2),0)</f>
        <v>9</v>
      </c>
      <c r="D19" s="640" cm="1">
        <f t="array" ref="D19">IFERROR(INDEX('부록2 법정공휴일'!$C$3:$N$17,MATCH(LEFT($B$17,4)*1,'부록2 법정공휴일'!$B$3:$B$17,0),COLUMN()-2),0)</f>
        <v>4</v>
      </c>
      <c r="E19" s="640" cm="1">
        <f t="array" ref="E19">IFERROR(INDEX('부록2 법정공휴일'!$C$3:$N$17,MATCH(LEFT($B$17,4)*1,'부록2 법정공휴일'!$B$3:$B$17,0),COLUMN()-2),0)</f>
        <v>5</v>
      </c>
      <c r="F19" s="640" cm="1">
        <f t="array" ref="F19">IFERROR(INDEX('부록2 법정공휴일'!$C$3:$N$17,MATCH(LEFT($B$17,4)*1,'부록2 법정공휴일'!$B$3:$B$17,0),COLUMN()-2),0)</f>
        <v>5</v>
      </c>
      <c r="G19" s="640" cm="1">
        <f t="array" ref="G19">IFERROR(INDEX('부록2 법정공휴일'!$C$3:$N$17,MATCH(LEFT($B$17,4)*1,'부록2 법정공휴일'!$B$3:$B$17,0),COLUMN()-2),0)</f>
        <v>6</v>
      </c>
      <c r="H19" s="640" cm="1">
        <f t="array" ref="H19">IFERROR(INDEX('부록2 법정공휴일'!$C$3:$N$17,MATCH(LEFT($B$17,4)*1,'부록2 법정공휴일'!$B$3:$B$17,0),COLUMN()-2),0)</f>
        <v>5</v>
      </c>
      <c r="I19" s="640" cm="1">
        <f t="array" ref="I19">IFERROR(INDEX('부록2 법정공휴일'!$C$3:$N$17,MATCH(LEFT($B$17,4)*1,'부록2 법정공휴일'!$B$3:$B$17,0),COLUMN()-2),0)</f>
        <v>5</v>
      </c>
      <c r="J19" s="640" cm="1">
        <f t="array" ref="J19">IFERROR(INDEX('부록2 법정공휴일'!$C$3:$N$17,MATCH(LEFT($B$17,4)*1,'부록2 법정공휴일'!$B$3:$B$17,0),COLUMN()-2),0)</f>
        <v>5</v>
      </c>
      <c r="K19" s="640" cm="1">
        <f t="array" ref="K19">IFERROR(INDEX('부록2 법정공휴일'!$C$3:$N$17,MATCH(LEFT($B$17,4)*1,'부록2 법정공휴일'!$B$3:$B$17,0),COLUMN()-2),0)</f>
        <v>4</v>
      </c>
      <c r="L19" s="640" cm="1">
        <f t="array" ref="L19">IFERROR(INDEX('부록2 법정공휴일'!$C$3:$N$17,MATCH(LEFT($B$17,4)*1,'부록2 법정공휴일'!$B$3:$B$17,0),COLUMN()-2),0)</f>
        <v>10</v>
      </c>
      <c r="M19" s="640" cm="1">
        <f t="array" ref="M19">IFERROR(INDEX('부록2 법정공휴일'!$C$3:$N$17,MATCH(LEFT($B$17,4)*1,'부록2 법정공휴일'!$B$3:$B$17,0),COLUMN()-2),0)</f>
        <v>4</v>
      </c>
      <c r="N19" s="640" cm="1">
        <f t="array" ref="N19">IFERROR(INDEX('부록2 법정공휴일'!$C$3:$N$17,MATCH(LEFT($B$17,4)*1,'부록2 법정공휴일'!$B$3:$B$17,0),COLUMN()-2),0)</f>
        <v>6</v>
      </c>
      <c r="O19" s="641">
        <f>SUM(C19:N19)</f>
        <v>68</v>
      </c>
    </row>
    <row r="20" spans="2:15" ht="15.75" customHeight="1">
      <c r="B20" s="639" t="s">
        <v>93</v>
      </c>
      <c r="C20" s="642">
        <f>'부록4 기상비작업일수 산정'!D$24</f>
        <v>2.2999999999999998</v>
      </c>
      <c r="D20" s="642">
        <f>'부록4 기상비작업일수 산정'!E$24</f>
        <v>1.3</v>
      </c>
      <c r="E20" s="642">
        <f>'부록4 기상비작업일수 산정'!F$24</f>
        <v>0</v>
      </c>
      <c r="F20" s="642">
        <f>'부록4 기상비작업일수 산정'!G$24</f>
        <v>0</v>
      </c>
      <c r="G20" s="642">
        <f>'부록4 기상비작업일수 산정'!H$24</f>
        <v>0</v>
      </c>
      <c r="H20" s="642">
        <f>'부록4 기상비작업일수 산정'!I$24</f>
        <v>0</v>
      </c>
      <c r="I20" s="642">
        <f>'부록4 기상비작업일수 산정'!J$24</f>
        <v>7.5</v>
      </c>
      <c r="J20" s="642">
        <f>'부록4 기상비작업일수 산정'!K$24</f>
        <v>13.8</v>
      </c>
      <c r="K20" s="642">
        <f>'부록4 기상비작업일수 산정'!L$24</f>
        <v>1.2</v>
      </c>
      <c r="L20" s="642">
        <f>'부록4 기상비작업일수 산정'!M$24</f>
        <v>0</v>
      </c>
      <c r="M20" s="642">
        <f>'부록4 기상비작업일수 산정'!N$24</f>
        <v>0</v>
      </c>
      <c r="N20" s="642">
        <f>'부록4 기상비작업일수 산정'!O$24</f>
        <v>1.4</v>
      </c>
      <c r="O20" s="641">
        <f>SUM(C20:N20)</f>
        <v>27.499999999999996</v>
      </c>
    </row>
    <row r="21" spans="2:15" ht="15.75" customHeight="1">
      <c r="B21" s="639" t="s">
        <v>94</v>
      </c>
      <c r="C21" s="640">
        <f>ROUND(C19*C20/DAY(EOMONTH(DATE(LEFT($B$17,4)*1,COLUMN()-2,1),0)),0)</f>
        <v>1</v>
      </c>
      <c r="D21" s="640">
        <f t="shared" ref="D21:N21" si="3">ROUND(D19*D20/DAY(EOMONTH(DATE(LEFT($B$17,4)*1,COLUMN()-2,1),0)),0)</f>
        <v>0</v>
      </c>
      <c r="E21" s="640">
        <f t="shared" si="3"/>
        <v>0</v>
      </c>
      <c r="F21" s="640">
        <f t="shared" si="3"/>
        <v>0</v>
      </c>
      <c r="G21" s="640">
        <f t="shared" si="3"/>
        <v>0</v>
      </c>
      <c r="H21" s="640">
        <f t="shared" si="3"/>
        <v>0</v>
      </c>
      <c r="I21" s="640">
        <f t="shared" si="3"/>
        <v>1</v>
      </c>
      <c r="J21" s="640">
        <f t="shared" si="3"/>
        <v>2</v>
      </c>
      <c r="K21" s="640">
        <f t="shared" si="3"/>
        <v>0</v>
      </c>
      <c r="L21" s="640">
        <f t="shared" si="3"/>
        <v>0</v>
      </c>
      <c r="M21" s="640">
        <f t="shared" si="3"/>
        <v>0</v>
      </c>
      <c r="N21" s="640">
        <f t="shared" si="3"/>
        <v>0</v>
      </c>
      <c r="O21" s="641">
        <f>SUM(C21:N21)</f>
        <v>4</v>
      </c>
    </row>
    <row r="22" spans="2:15" ht="15.75" customHeight="1">
      <c r="B22" s="639" t="s">
        <v>40</v>
      </c>
      <c r="C22" s="642">
        <f>C20+C19-C21</f>
        <v>10.3</v>
      </c>
      <c r="D22" s="642">
        <f t="shared" ref="D22:N22" si="4">D20+D19-D21</f>
        <v>5.3</v>
      </c>
      <c r="E22" s="642">
        <f t="shared" si="4"/>
        <v>5</v>
      </c>
      <c r="F22" s="642">
        <f t="shared" si="4"/>
        <v>5</v>
      </c>
      <c r="G22" s="642">
        <f t="shared" si="4"/>
        <v>6</v>
      </c>
      <c r="H22" s="642">
        <f t="shared" si="4"/>
        <v>5</v>
      </c>
      <c r="I22" s="642">
        <f t="shared" si="4"/>
        <v>11.5</v>
      </c>
      <c r="J22" s="642">
        <f t="shared" si="4"/>
        <v>16.8</v>
      </c>
      <c r="K22" s="642">
        <f t="shared" si="4"/>
        <v>5.2</v>
      </c>
      <c r="L22" s="642">
        <f t="shared" si="4"/>
        <v>10</v>
      </c>
      <c r="M22" s="642">
        <f t="shared" si="4"/>
        <v>4</v>
      </c>
      <c r="N22" s="642">
        <f t="shared" si="4"/>
        <v>7.4</v>
      </c>
      <c r="O22" s="641">
        <f>SUM(C22:N22)</f>
        <v>91.500000000000014</v>
      </c>
    </row>
    <row r="23" spans="2:15" ht="15.75" customHeight="1">
      <c r="B23" s="639" t="s">
        <v>95</v>
      </c>
      <c r="C23" s="642">
        <v>8</v>
      </c>
      <c r="D23" s="642">
        <v>8</v>
      </c>
      <c r="E23" s="642">
        <v>8</v>
      </c>
      <c r="F23" s="642">
        <v>8</v>
      </c>
      <c r="G23" s="642">
        <v>8</v>
      </c>
      <c r="H23" s="642">
        <v>8</v>
      </c>
      <c r="I23" s="642">
        <v>8</v>
      </c>
      <c r="J23" s="642">
        <v>8</v>
      </c>
      <c r="K23" s="642">
        <v>8</v>
      </c>
      <c r="L23" s="642">
        <v>8</v>
      </c>
      <c r="M23" s="642">
        <v>8</v>
      </c>
      <c r="N23" s="642">
        <v>8</v>
      </c>
      <c r="O23" s="641">
        <v>96</v>
      </c>
    </row>
    <row r="24" spans="2:15" ht="15.75" customHeight="1">
      <c r="B24" s="643" t="s">
        <v>39</v>
      </c>
      <c r="C24" s="644">
        <f>MAX(C22,C23)</f>
        <v>10.3</v>
      </c>
      <c r="D24" s="644">
        <f t="shared" ref="D24:N24" si="5">MAX(D22,D23)</f>
        <v>8</v>
      </c>
      <c r="E24" s="644">
        <f t="shared" si="5"/>
        <v>8</v>
      </c>
      <c r="F24" s="644">
        <f t="shared" si="5"/>
        <v>8</v>
      </c>
      <c r="G24" s="644">
        <f t="shared" si="5"/>
        <v>8</v>
      </c>
      <c r="H24" s="644">
        <f t="shared" si="5"/>
        <v>8</v>
      </c>
      <c r="I24" s="644">
        <f t="shared" si="5"/>
        <v>11.5</v>
      </c>
      <c r="J24" s="644">
        <f t="shared" si="5"/>
        <v>16.8</v>
      </c>
      <c r="K24" s="644">
        <f t="shared" si="5"/>
        <v>8</v>
      </c>
      <c r="L24" s="644">
        <f t="shared" si="5"/>
        <v>10</v>
      </c>
      <c r="M24" s="644">
        <f t="shared" si="5"/>
        <v>8</v>
      </c>
      <c r="N24" s="644">
        <f t="shared" si="5"/>
        <v>8</v>
      </c>
      <c r="O24" s="645">
        <f>SUM(C24:N24)</f>
        <v>112.6</v>
      </c>
    </row>
    <row r="25" spans="2:15" ht="21.75" customHeight="1" thickBot="1">
      <c r="B25" s="649" t="str">
        <f>"▶ "&amp;(YEAR($C$3)+1)&amp;"년 연간 총 비작업일수 (적용일수 합계)"</f>
        <v>▶ 2028년 연간 총 비작업일수 (적용일수 합계)</v>
      </c>
      <c r="C25" s="650"/>
      <c r="D25" s="650"/>
      <c r="E25" s="650"/>
      <c r="F25" s="650"/>
      <c r="G25" s="650"/>
      <c r="H25" s="650"/>
      <c r="I25" s="650"/>
      <c r="J25" s="650"/>
      <c r="K25" s="650"/>
      <c r="L25" s="650"/>
      <c r="M25" s="650"/>
      <c r="N25" s="650"/>
      <c r="O25" s="648">
        <f>SUM(C24:N24)</f>
        <v>112.6</v>
      </c>
    </row>
    <row r="26" spans="2:15" ht="18" customHeight="1">
      <c r="B26" s="313" t="str">
        <f>(YEAR($C$3)+2)&amp;"년"</f>
        <v>2029년</v>
      </c>
      <c r="C26" s="315"/>
      <c r="D26" s="315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6"/>
    </row>
    <row r="27" spans="2:15" ht="21.75" customHeight="1">
      <c r="B27" s="62" t="s">
        <v>4</v>
      </c>
      <c r="C27" s="63" t="s">
        <v>80</v>
      </c>
      <c r="D27" s="63" t="s">
        <v>81</v>
      </c>
      <c r="E27" s="63" t="s">
        <v>82</v>
      </c>
      <c r="F27" s="63" t="s">
        <v>83</v>
      </c>
      <c r="G27" s="63" t="s">
        <v>84</v>
      </c>
      <c r="H27" s="63" t="s">
        <v>85</v>
      </c>
      <c r="I27" s="63" t="s">
        <v>86</v>
      </c>
      <c r="J27" s="63" t="s">
        <v>87</v>
      </c>
      <c r="K27" s="63" t="s">
        <v>88</v>
      </c>
      <c r="L27" s="63" t="s">
        <v>89</v>
      </c>
      <c r="M27" s="63" t="s">
        <v>90</v>
      </c>
      <c r="N27" s="63" t="s">
        <v>91</v>
      </c>
      <c r="O27" s="64" t="s">
        <v>38</v>
      </c>
    </row>
    <row r="28" spans="2:15" ht="15.75" customHeight="1">
      <c r="B28" s="639" t="s">
        <v>92</v>
      </c>
      <c r="C28" s="640" cm="1">
        <f t="array" ref="C28">IFERROR(INDEX('부록2 법정공휴일'!$C$3:$N$17,MATCH(LEFT($B$26,4)*1,'부록2 법정공휴일'!$B$3:$B$17,0),COLUMN()-2),0)</f>
        <v>5</v>
      </c>
      <c r="D28" s="640" cm="1">
        <f t="array" ref="D28">IFERROR(INDEX('부록2 법정공휴일'!$C$3:$N$17,MATCH(LEFT($B$26,4)*1,'부록2 법정공휴일'!$B$3:$B$17,0),COLUMN()-2),0)</f>
        <v>7</v>
      </c>
      <c r="E28" s="640" cm="1">
        <f t="array" ref="E28">IFERROR(INDEX('부록2 법정공휴일'!$C$3:$N$17,MATCH(LEFT($B$26,4)*1,'부록2 법정공휴일'!$B$3:$B$17,0),COLUMN()-2),0)</f>
        <v>5</v>
      </c>
      <c r="F28" s="640" cm="1">
        <f t="array" ref="F28">IFERROR(INDEX('부록2 법정공휴일'!$C$3:$N$17,MATCH(LEFT($B$26,4)*1,'부록2 법정공휴일'!$B$3:$B$17,0),COLUMN()-2),0)</f>
        <v>5</v>
      </c>
      <c r="G28" s="640" cm="1">
        <f t="array" ref="G28">IFERROR(INDEX('부록2 법정공휴일'!$C$3:$N$17,MATCH(LEFT($B$26,4)*1,'부록2 법정공휴일'!$B$3:$B$17,0),COLUMN()-2),0)</f>
        <v>7</v>
      </c>
      <c r="H28" s="640" cm="1">
        <f t="array" ref="H28">IFERROR(INDEX('부록2 법정공휴일'!$C$3:$N$17,MATCH(LEFT($B$26,4)*1,'부록2 법정공휴일'!$B$3:$B$17,0),COLUMN()-2),0)</f>
        <v>5</v>
      </c>
      <c r="I28" s="640" cm="1">
        <f t="array" ref="I28">IFERROR(INDEX('부록2 법정공휴일'!$C$3:$N$17,MATCH(LEFT($B$26,4)*1,'부록2 법정공휴일'!$B$3:$B$17,0),COLUMN()-2),0)</f>
        <v>5</v>
      </c>
      <c r="J28" s="640" cm="1">
        <f t="array" ref="J28">IFERROR(INDEX('부록2 법정공휴일'!$C$3:$N$17,MATCH(LEFT($B$26,4)*1,'부록2 법정공휴일'!$B$3:$B$17,0),COLUMN()-2),0)</f>
        <v>5</v>
      </c>
      <c r="K28" s="640" cm="1">
        <f t="array" ref="K28">IFERROR(INDEX('부록2 법정공휴일'!$C$3:$N$17,MATCH(LEFT($B$26,4)*1,'부록2 법정공휴일'!$B$3:$B$17,0),COLUMN()-2),0)</f>
        <v>8</v>
      </c>
      <c r="L28" s="640" cm="1">
        <f t="array" ref="L28">IFERROR(INDEX('부록2 법정공휴일'!$C$3:$N$17,MATCH(LEFT($B$26,4)*1,'부록2 법정공휴일'!$B$3:$B$17,0),COLUMN()-2),0)</f>
        <v>6</v>
      </c>
      <c r="M28" s="640" cm="1">
        <f t="array" ref="M28">IFERROR(INDEX('부록2 법정공휴일'!$C$3:$N$17,MATCH(LEFT($B$26,4)*1,'부록2 법정공휴일'!$B$3:$B$17,0),COLUMN()-2),0)</f>
        <v>4</v>
      </c>
      <c r="N28" s="640" cm="1">
        <f t="array" ref="N28">IFERROR(INDEX('부록2 법정공휴일'!$C$3:$N$17,MATCH(LEFT($B$26,4)*1,'부록2 법정공휴일'!$B$3:$B$17,0),COLUMN()-2),0)</f>
        <v>6</v>
      </c>
      <c r="O28" s="641">
        <f>SUM(C28:N28)</f>
        <v>68</v>
      </c>
    </row>
    <row r="29" spans="2:15" ht="15.75" customHeight="1">
      <c r="B29" s="639" t="s">
        <v>93</v>
      </c>
      <c r="C29" s="642">
        <f>'부록4 기상비작업일수 산정'!D$24</f>
        <v>2.2999999999999998</v>
      </c>
      <c r="D29" s="642">
        <f>'부록4 기상비작업일수 산정'!E$24</f>
        <v>1.3</v>
      </c>
      <c r="E29" s="642">
        <f>'부록4 기상비작업일수 산정'!F$24</f>
        <v>0</v>
      </c>
      <c r="F29" s="642">
        <f>'부록4 기상비작업일수 산정'!G$24</f>
        <v>0</v>
      </c>
      <c r="G29" s="642">
        <f>'부록4 기상비작업일수 산정'!H$24</f>
        <v>0</v>
      </c>
      <c r="H29" s="642">
        <f>'부록4 기상비작업일수 산정'!I$24</f>
        <v>0</v>
      </c>
      <c r="I29" s="642">
        <f>'부록4 기상비작업일수 산정'!J$24</f>
        <v>7.5</v>
      </c>
      <c r="J29" s="642">
        <f>'부록4 기상비작업일수 산정'!K$24</f>
        <v>13.8</v>
      </c>
      <c r="K29" s="642">
        <f>'부록4 기상비작업일수 산정'!L$24</f>
        <v>1.2</v>
      </c>
      <c r="L29" s="642">
        <f>'부록4 기상비작업일수 산정'!M$24</f>
        <v>0</v>
      </c>
      <c r="M29" s="642">
        <f>'부록4 기상비작업일수 산정'!N$24</f>
        <v>0</v>
      </c>
      <c r="N29" s="642">
        <f>'부록4 기상비작업일수 산정'!O$24</f>
        <v>1.4</v>
      </c>
      <c r="O29" s="641">
        <f>SUM(C29:N29)</f>
        <v>27.499999999999996</v>
      </c>
    </row>
    <row r="30" spans="2:15" ht="15.75" customHeight="1">
      <c r="B30" s="639" t="s">
        <v>94</v>
      </c>
      <c r="C30" s="640">
        <f>ROUND(C28*C29/DAY(EOMONTH(DATE(LEFT($B$26,4)*1,COLUMN()-2,1),0)),0)</f>
        <v>0</v>
      </c>
      <c r="D30" s="640">
        <f t="shared" ref="D30:N30" si="6">ROUND(D28*D29/DAY(EOMONTH(DATE(LEFT($B$26,4)*1,COLUMN()-2,1),0)),0)</f>
        <v>0</v>
      </c>
      <c r="E30" s="640">
        <f t="shared" si="6"/>
        <v>0</v>
      </c>
      <c r="F30" s="640">
        <f t="shared" si="6"/>
        <v>0</v>
      </c>
      <c r="G30" s="640">
        <f t="shared" si="6"/>
        <v>0</v>
      </c>
      <c r="H30" s="640">
        <f t="shared" si="6"/>
        <v>0</v>
      </c>
      <c r="I30" s="640">
        <f t="shared" si="6"/>
        <v>1</v>
      </c>
      <c r="J30" s="640">
        <f t="shared" si="6"/>
        <v>2</v>
      </c>
      <c r="K30" s="640">
        <f t="shared" si="6"/>
        <v>0</v>
      </c>
      <c r="L30" s="640">
        <f t="shared" si="6"/>
        <v>0</v>
      </c>
      <c r="M30" s="640">
        <f t="shared" si="6"/>
        <v>0</v>
      </c>
      <c r="N30" s="640">
        <f t="shared" si="6"/>
        <v>0</v>
      </c>
      <c r="O30" s="641">
        <f>SUM(C30:N30)</f>
        <v>3</v>
      </c>
    </row>
    <row r="31" spans="2:15" ht="15.75" customHeight="1">
      <c r="B31" s="639" t="s">
        <v>40</v>
      </c>
      <c r="C31" s="642">
        <f>C29+C28-C30</f>
        <v>7.3</v>
      </c>
      <c r="D31" s="642">
        <f t="shared" ref="D31:N31" si="7">D29+D28-D30</f>
        <v>8.3000000000000007</v>
      </c>
      <c r="E31" s="642">
        <f t="shared" si="7"/>
        <v>5</v>
      </c>
      <c r="F31" s="642">
        <f t="shared" si="7"/>
        <v>5</v>
      </c>
      <c r="G31" s="642">
        <f t="shared" si="7"/>
        <v>7</v>
      </c>
      <c r="H31" s="642">
        <f t="shared" si="7"/>
        <v>5</v>
      </c>
      <c r="I31" s="642">
        <f t="shared" si="7"/>
        <v>11.5</v>
      </c>
      <c r="J31" s="642">
        <f t="shared" si="7"/>
        <v>16.8</v>
      </c>
      <c r="K31" s="642">
        <f t="shared" si="7"/>
        <v>9.1999999999999993</v>
      </c>
      <c r="L31" s="642">
        <f t="shared" si="7"/>
        <v>6</v>
      </c>
      <c r="M31" s="642">
        <f t="shared" si="7"/>
        <v>4</v>
      </c>
      <c r="N31" s="642">
        <f t="shared" si="7"/>
        <v>7.4</v>
      </c>
      <c r="O31" s="641">
        <f>SUM(C31:N31)</f>
        <v>92.500000000000014</v>
      </c>
    </row>
    <row r="32" spans="2:15" ht="15.75" customHeight="1">
      <c r="B32" s="639" t="s">
        <v>95</v>
      </c>
      <c r="C32" s="642">
        <v>8</v>
      </c>
      <c r="D32" s="642">
        <v>8</v>
      </c>
      <c r="E32" s="642">
        <v>8</v>
      </c>
      <c r="F32" s="642">
        <v>8</v>
      </c>
      <c r="G32" s="642">
        <v>8</v>
      </c>
      <c r="H32" s="642">
        <v>8</v>
      </c>
      <c r="I32" s="642">
        <v>8</v>
      </c>
      <c r="J32" s="642">
        <v>8</v>
      </c>
      <c r="K32" s="642">
        <v>8</v>
      </c>
      <c r="L32" s="642">
        <v>8</v>
      </c>
      <c r="M32" s="642">
        <v>8</v>
      </c>
      <c r="N32" s="642">
        <v>8</v>
      </c>
      <c r="O32" s="641">
        <v>96</v>
      </c>
    </row>
    <row r="33" spans="2:15" ht="15.75" customHeight="1">
      <c r="B33" s="643" t="s">
        <v>39</v>
      </c>
      <c r="C33" s="644">
        <f>MAX(C31,C32)</f>
        <v>8</v>
      </c>
      <c r="D33" s="644">
        <f t="shared" ref="D33:N33" si="8">MAX(D31,D32)</f>
        <v>8.3000000000000007</v>
      </c>
      <c r="E33" s="644">
        <f t="shared" si="8"/>
        <v>8</v>
      </c>
      <c r="F33" s="644">
        <f t="shared" si="8"/>
        <v>8</v>
      </c>
      <c r="G33" s="644">
        <f t="shared" si="8"/>
        <v>8</v>
      </c>
      <c r="H33" s="644">
        <f t="shared" si="8"/>
        <v>8</v>
      </c>
      <c r="I33" s="644">
        <f t="shared" si="8"/>
        <v>11.5</v>
      </c>
      <c r="J33" s="644">
        <f t="shared" si="8"/>
        <v>16.8</v>
      </c>
      <c r="K33" s="644">
        <f t="shared" si="8"/>
        <v>9.1999999999999993</v>
      </c>
      <c r="L33" s="644">
        <f t="shared" si="8"/>
        <v>8</v>
      </c>
      <c r="M33" s="644">
        <f t="shared" si="8"/>
        <v>8</v>
      </c>
      <c r="N33" s="644">
        <f t="shared" si="8"/>
        <v>8</v>
      </c>
      <c r="O33" s="645">
        <f>SUM(C33:N33)</f>
        <v>109.8</v>
      </c>
    </row>
    <row r="34" spans="2:15" ht="21.75" customHeight="1" thickBot="1">
      <c r="B34" s="649" t="str">
        <f>"▶ "&amp;(YEAR($C$3)+2)&amp;"년 연간 총 비작업일수 (적용일수 합계)"</f>
        <v>▶ 2029년 연간 총 비작업일수 (적용일수 합계)</v>
      </c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48">
        <f>SUM(C33:N33)</f>
        <v>109.8</v>
      </c>
    </row>
    <row r="35" spans="2:15" ht="18" customHeight="1">
      <c r="B35" s="313" t="str">
        <f>(YEAR($C$3)+3)&amp;"년"</f>
        <v>2030년</v>
      </c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6"/>
    </row>
    <row r="36" spans="2:15" ht="18" customHeight="1">
      <c r="B36" s="62" t="s">
        <v>4</v>
      </c>
      <c r="C36" s="63" t="s">
        <v>80</v>
      </c>
      <c r="D36" s="63" t="s">
        <v>81</v>
      </c>
      <c r="E36" s="63" t="s">
        <v>82</v>
      </c>
      <c r="F36" s="63" t="s">
        <v>83</v>
      </c>
      <c r="G36" s="63" t="s">
        <v>84</v>
      </c>
      <c r="H36" s="63" t="s">
        <v>85</v>
      </c>
      <c r="I36" s="63" t="s">
        <v>86</v>
      </c>
      <c r="J36" s="63" t="s">
        <v>87</v>
      </c>
      <c r="K36" s="63" t="s">
        <v>88</v>
      </c>
      <c r="L36" s="63" t="s">
        <v>89</v>
      </c>
      <c r="M36" s="63" t="s">
        <v>90</v>
      </c>
      <c r="N36" s="63" t="s">
        <v>91</v>
      </c>
      <c r="O36" s="64" t="s">
        <v>38</v>
      </c>
    </row>
    <row r="37" spans="2:15" ht="15.75" customHeight="1">
      <c r="B37" s="639" t="s">
        <v>92</v>
      </c>
      <c r="C37" s="640" cm="1">
        <f t="array" ref="C37">IFERROR(INDEX('부록2 법정공휴일'!$C$3:$N$17,MATCH(LEFT($B$35,4)*1,'부록2 법정공휴일'!$B$3:$B$17,0),COLUMN()-2),0)</f>
        <v>5</v>
      </c>
      <c r="D37" s="640" cm="1">
        <f t="array" ref="D37">IFERROR(INDEX('부록2 법정공휴일'!$C$3:$N$17,MATCH(LEFT($B$35,4)*1,'부록2 법정공휴일'!$B$3:$B$17,0),COLUMN()-2),0)</f>
        <v>7</v>
      </c>
      <c r="E37" s="640" cm="1">
        <f t="array" ref="E37">IFERROR(INDEX('부록2 법정공휴일'!$C$3:$N$17,MATCH(LEFT($B$35,4)*1,'부록2 법정공휴일'!$B$3:$B$17,0),COLUMN()-2),0)</f>
        <v>6</v>
      </c>
      <c r="F37" s="640" cm="1">
        <f t="array" ref="F37">IFERROR(INDEX('부록2 법정공휴일'!$C$3:$N$17,MATCH(LEFT($B$35,4)*1,'부록2 법정공휴일'!$B$3:$B$17,0),COLUMN()-2),0)</f>
        <v>4</v>
      </c>
      <c r="G37" s="640" cm="1">
        <f t="array" ref="G37">IFERROR(INDEX('부록2 법정공휴일'!$C$3:$N$17,MATCH(LEFT($B$35,4)*1,'부록2 법정공휴일'!$B$3:$B$17,0),COLUMN()-2),0)</f>
        <v>6</v>
      </c>
      <c r="H37" s="640" cm="1">
        <f t="array" ref="H37">IFERROR(INDEX('부록2 법정공휴일'!$C$3:$N$17,MATCH(LEFT($B$35,4)*1,'부록2 법정공휴일'!$B$3:$B$17,0),COLUMN()-2),0)</f>
        <v>6</v>
      </c>
      <c r="I37" s="640" cm="1">
        <f t="array" ref="I37">IFERROR(INDEX('부록2 법정공휴일'!$C$3:$N$17,MATCH(LEFT($B$35,4)*1,'부록2 법정공휴일'!$B$3:$B$17,0),COLUMN()-2),0)</f>
        <v>4</v>
      </c>
      <c r="J37" s="640" cm="1">
        <f t="array" ref="J37">IFERROR(INDEX('부록2 법정공휴일'!$C$3:$N$17,MATCH(LEFT($B$35,4)*1,'부록2 법정공휴일'!$B$3:$B$17,0),COLUMN()-2),0)</f>
        <v>5</v>
      </c>
      <c r="K37" s="640" cm="1">
        <f t="array" ref="K37">IFERROR(INDEX('부록2 법정공휴일'!$C$3:$N$17,MATCH(LEFT($B$35,4)*1,'부록2 법정공휴일'!$B$3:$B$17,0),COLUMN()-2),0)</f>
        <v>8</v>
      </c>
      <c r="L37" s="640" cm="1">
        <f t="array" ref="L37">IFERROR(INDEX('부록2 법정공휴일'!$C$3:$N$17,MATCH(LEFT($B$35,4)*1,'부록2 법정공휴일'!$B$3:$B$17,0),COLUMN()-2),0)</f>
        <v>6</v>
      </c>
      <c r="M37" s="640" cm="1">
        <f t="array" ref="M37">IFERROR(INDEX('부록2 법정공휴일'!$C$3:$N$17,MATCH(LEFT($B$35,4)*1,'부록2 법정공휴일'!$B$3:$B$17,0),COLUMN()-2),0)</f>
        <v>4</v>
      </c>
      <c r="N37" s="640" cm="1">
        <f t="array" ref="N37">IFERROR(INDEX('부록2 법정공휴일'!$C$3:$N$17,MATCH(LEFT($B$35,4)*1,'부록2 법정공휴일'!$B$3:$B$17,0),COLUMN()-2),0)</f>
        <v>6</v>
      </c>
      <c r="O37" s="641">
        <f>SUM(C37:N37)</f>
        <v>67</v>
      </c>
    </row>
    <row r="38" spans="2:15" ht="15.75" customHeight="1">
      <c r="B38" s="639" t="s">
        <v>93</v>
      </c>
      <c r="C38" s="642">
        <f>'부록4 기상비작업일수 산정'!D$24</f>
        <v>2.2999999999999998</v>
      </c>
      <c r="D38" s="642">
        <f>'부록4 기상비작업일수 산정'!E$24</f>
        <v>1.3</v>
      </c>
      <c r="E38" s="642">
        <f>'부록4 기상비작업일수 산정'!F$24</f>
        <v>0</v>
      </c>
      <c r="F38" s="642">
        <f>'부록4 기상비작업일수 산정'!G$24</f>
        <v>0</v>
      </c>
      <c r="G38" s="642">
        <f>'부록4 기상비작업일수 산정'!H$24</f>
        <v>0</v>
      </c>
      <c r="H38" s="642">
        <f>'부록4 기상비작업일수 산정'!I$24</f>
        <v>0</v>
      </c>
      <c r="I38" s="642">
        <f>'부록4 기상비작업일수 산정'!J$24</f>
        <v>7.5</v>
      </c>
      <c r="J38" s="642">
        <f>'부록4 기상비작업일수 산정'!K$24</f>
        <v>13.8</v>
      </c>
      <c r="K38" s="642">
        <f>'부록4 기상비작업일수 산정'!L$24</f>
        <v>1.2</v>
      </c>
      <c r="L38" s="642">
        <f>'부록4 기상비작업일수 산정'!M$24</f>
        <v>0</v>
      </c>
      <c r="M38" s="642">
        <f>'부록4 기상비작업일수 산정'!N$24</f>
        <v>0</v>
      </c>
      <c r="N38" s="642">
        <f>'부록4 기상비작업일수 산정'!O$24</f>
        <v>1.4</v>
      </c>
      <c r="O38" s="641">
        <f>SUM(C38:N38)</f>
        <v>27.499999999999996</v>
      </c>
    </row>
    <row r="39" spans="2:15" ht="15.75" customHeight="1">
      <c r="B39" s="639" t="s">
        <v>94</v>
      </c>
      <c r="C39" s="640">
        <f>ROUND(C37*C38/DAY(EOMONTH(DATE(LEFT($B$35,4)*1,COLUMN()-2,1),0)),0)</f>
        <v>0</v>
      </c>
      <c r="D39" s="640">
        <f t="shared" ref="D39:N39" si="9">ROUND(D37*D38/DAY(EOMONTH(DATE(LEFT($B$35,4)*1,COLUMN()-2,1),0)),0)</f>
        <v>0</v>
      </c>
      <c r="E39" s="640">
        <f t="shared" si="9"/>
        <v>0</v>
      </c>
      <c r="F39" s="640">
        <f t="shared" si="9"/>
        <v>0</v>
      </c>
      <c r="G39" s="640">
        <f t="shared" si="9"/>
        <v>0</v>
      </c>
      <c r="H39" s="640">
        <f t="shared" si="9"/>
        <v>0</v>
      </c>
      <c r="I39" s="640">
        <f t="shared" si="9"/>
        <v>1</v>
      </c>
      <c r="J39" s="640">
        <f t="shared" si="9"/>
        <v>2</v>
      </c>
      <c r="K39" s="640">
        <f t="shared" si="9"/>
        <v>0</v>
      </c>
      <c r="L39" s="640">
        <f t="shared" si="9"/>
        <v>0</v>
      </c>
      <c r="M39" s="640">
        <f t="shared" si="9"/>
        <v>0</v>
      </c>
      <c r="N39" s="640">
        <f t="shared" si="9"/>
        <v>0</v>
      </c>
      <c r="O39" s="641">
        <f>SUM(C39:N39)</f>
        <v>3</v>
      </c>
    </row>
    <row r="40" spans="2:15" ht="15.75" customHeight="1">
      <c r="B40" s="639" t="s">
        <v>40</v>
      </c>
      <c r="C40" s="642">
        <f>C38+C37-C39</f>
        <v>7.3</v>
      </c>
      <c r="D40" s="642">
        <f t="shared" ref="D40:N40" si="10">D38+D37-D39</f>
        <v>8.3000000000000007</v>
      </c>
      <c r="E40" s="642">
        <f t="shared" si="10"/>
        <v>6</v>
      </c>
      <c r="F40" s="642">
        <f t="shared" si="10"/>
        <v>4</v>
      </c>
      <c r="G40" s="642">
        <f t="shared" si="10"/>
        <v>6</v>
      </c>
      <c r="H40" s="642">
        <f t="shared" si="10"/>
        <v>6</v>
      </c>
      <c r="I40" s="642">
        <f t="shared" si="10"/>
        <v>10.5</v>
      </c>
      <c r="J40" s="642">
        <f t="shared" si="10"/>
        <v>16.8</v>
      </c>
      <c r="K40" s="642">
        <f t="shared" si="10"/>
        <v>9.1999999999999993</v>
      </c>
      <c r="L40" s="642">
        <f t="shared" si="10"/>
        <v>6</v>
      </c>
      <c r="M40" s="642">
        <f t="shared" si="10"/>
        <v>4</v>
      </c>
      <c r="N40" s="642">
        <f t="shared" si="10"/>
        <v>7.4</v>
      </c>
      <c r="O40" s="641">
        <f>SUM(C40:N40)</f>
        <v>91.500000000000014</v>
      </c>
    </row>
    <row r="41" spans="2:15" ht="15.75" customHeight="1">
      <c r="B41" s="639" t="s">
        <v>95</v>
      </c>
      <c r="C41" s="642">
        <v>8</v>
      </c>
      <c r="D41" s="642">
        <v>8</v>
      </c>
      <c r="E41" s="642">
        <v>8</v>
      </c>
      <c r="F41" s="642">
        <v>8</v>
      </c>
      <c r="G41" s="642">
        <v>8</v>
      </c>
      <c r="H41" s="642">
        <v>8</v>
      </c>
      <c r="I41" s="642">
        <v>8</v>
      </c>
      <c r="J41" s="642">
        <v>8</v>
      </c>
      <c r="K41" s="642">
        <v>8</v>
      </c>
      <c r="L41" s="642">
        <v>8</v>
      </c>
      <c r="M41" s="642">
        <v>8</v>
      </c>
      <c r="N41" s="642">
        <v>8</v>
      </c>
      <c r="O41" s="641">
        <v>96</v>
      </c>
    </row>
    <row r="42" spans="2:15" ht="15.75" customHeight="1">
      <c r="B42" s="67" t="s">
        <v>39</v>
      </c>
      <c r="C42" s="66">
        <f>MAX(C40,C41)</f>
        <v>8</v>
      </c>
      <c r="D42" s="66">
        <f t="shared" ref="D42:N42" si="11">MAX(D40,D41)</f>
        <v>8.3000000000000007</v>
      </c>
      <c r="E42" s="66">
        <f t="shared" si="11"/>
        <v>8</v>
      </c>
      <c r="F42" s="66">
        <f t="shared" si="11"/>
        <v>8</v>
      </c>
      <c r="G42" s="66">
        <f t="shared" si="11"/>
        <v>8</v>
      </c>
      <c r="H42" s="66">
        <f t="shared" si="11"/>
        <v>8</v>
      </c>
      <c r="I42" s="66">
        <f t="shared" si="11"/>
        <v>10.5</v>
      </c>
      <c r="J42" s="66">
        <f t="shared" si="11"/>
        <v>16.8</v>
      </c>
      <c r="K42" s="66">
        <f t="shared" si="11"/>
        <v>9.1999999999999993</v>
      </c>
      <c r="L42" s="66">
        <f t="shared" si="11"/>
        <v>8</v>
      </c>
      <c r="M42" s="66">
        <f t="shared" si="11"/>
        <v>8</v>
      </c>
      <c r="N42" s="66">
        <f t="shared" si="11"/>
        <v>8</v>
      </c>
      <c r="O42" s="68">
        <f>SUM(C42:N42)</f>
        <v>108.8</v>
      </c>
    </row>
    <row r="43" spans="2:15" ht="21.75" customHeight="1" thickBot="1">
      <c r="B43" s="317" t="str">
        <f>"▶ "&amp;(YEAR($C$3)+3)&amp;"년 연간 총 비작업일수 (적용일수 합계)"</f>
        <v>▶ 2030년 연간 총 비작업일수 (적용일수 합계)</v>
      </c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69">
        <f>SUM(C42:N42)</f>
        <v>108.8</v>
      </c>
    </row>
    <row r="44" spans="2:15" ht="18" customHeight="1">
      <c r="B44" s="313" t="str">
        <f>(YEAR($C$3)+4)&amp;"년"</f>
        <v>2031년</v>
      </c>
      <c r="C44" s="315"/>
      <c r="D44" s="315"/>
      <c r="E44" s="315"/>
      <c r="F44" s="315"/>
      <c r="G44" s="315"/>
      <c r="H44" s="315"/>
      <c r="I44" s="315"/>
      <c r="J44" s="315"/>
      <c r="K44" s="315"/>
      <c r="L44" s="315"/>
      <c r="M44" s="315"/>
      <c r="N44" s="315"/>
      <c r="O44" s="316"/>
    </row>
    <row r="45" spans="2:15" ht="18" customHeight="1">
      <c r="B45" s="62" t="s">
        <v>4</v>
      </c>
      <c r="C45" s="63" t="s">
        <v>80</v>
      </c>
      <c r="D45" s="63" t="s">
        <v>81</v>
      </c>
      <c r="E45" s="63" t="s">
        <v>82</v>
      </c>
      <c r="F45" s="63" t="s">
        <v>83</v>
      </c>
      <c r="G45" s="63" t="s">
        <v>84</v>
      </c>
      <c r="H45" s="63" t="s">
        <v>85</v>
      </c>
      <c r="I45" s="63" t="s">
        <v>86</v>
      </c>
      <c r="J45" s="63" t="s">
        <v>87</v>
      </c>
      <c r="K45" s="63" t="s">
        <v>88</v>
      </c>
      <c r="L45" s="63" t="s">
        <v>89</v>
      </c>
      <c r="M45" s="63" t="s">
        <v>90</v>
      </c>
      <c r="N45" s="63" t="s">
        <v>91</v>
      </c>
      <c r="O45" s="64" t="s">
        <v>38</v>
      </c>
    </row>
    <row r="46" spans="2:15" ht="15.75" customHeight="1">
      <c r="B46" s="639" t="s">
        <v>92</v>
      </c>
      <c r="C46" s="640" cm="1">
        <f t="array" ref="C46">IFERROR(INDEX('부록2 법정공휴일'!$C$3:$N$17,MATCH(LEFT($B$44,4)*1,'부록2 법정공휴일'!$B$3:$B$17,0),COLUMN()-2),0)</f>
        <v>8</v>
      </c>
      <c r="D46" s="640" cm="1">
        <f t="array" ref="D46">IFERROR(INDEX('부록2 법정공휴일'!$C$3:$N$17,MATCH(LEFT($B$44,4)*1,'부록2 법정공휴일'!$B$3:$B$17,0),COLUMN()-2),0)</f>
        <v>4</v>
      </c>
      <c r="E46" s="640" cm="1">
        <f t="array" ref="E46">IFERROR(INDEX('부록2 법정공휴일'!$C$3:$N$17,MATCH(LEFT($B$44,4)*1,'부록2 법정공휴일'!$B$3:$B$17,0),COLUMN()-2),0)</f>
        <v>7</v>
      </c>
      <c r="F46" s="640" cm="1">
        <f t="array" ref="F46">IFERROR(INDEX('부록2 법정공휴일'!$C$3:$N$17,MATCH(LEFT($B$44,4)*1,'부록2 법정공휴일'!$B$3:$B$17,0),COLUMN()-2),0)</f>
        <v>4</v>
      </c>
      <c r="G46" s="640" cm="1">
        <f t="array" ref="G46">IFERROR(INDEX('부록2 법정공휴일'!$C$3:$N$17,MATCH(LEFT($B$44,4)*1,'부록2 법정공휴일'!$B$3:$B$17,0),COLUMN()-2),0)</f>
        <v>6</v>
      </c>
      <c r="H46" s="640" cm="1">
        <f t="array" ref="H46">IFERROR(INDEX('부록2 법정공휴일'!$C$3:$N$17,MATCH(LEFT($B$44,4)*1,'부록2 법정공휴일'!$B$3:$B$17,0),COLUMN()-2),0)</f>
        <v>6</v>
      </c>
      <c r="I46" s="640" cm="1">
        <f t="array" ref="I46">IFERROR(INDEX('부록2 법정공휴일'!$C$3:$N$17,MATCH(LEFT($B$44,4)*1,'부록2 법정공휴일'!$B$3:$B$17,0),COLUMN()-2),0)</f>
        <v>4</v>
      </c>
      <c r="J46" s="640" cm="1">
        <f t="array" ref="J46">IFERROR(INDEX('부록2 법정공휴일'!$C$3:$N$17,MATCH(LEFT($B$44,4)*1,'부록2 법정공휴일'!$B$3:$B$17,0),COLUMN()-2),0)</f>
        <v>6</v>
      </c>
      <c r="K46" s="640" cm="1">
        <f t="array" ref="K46">IFERROR(INDEX('부록2 법정공휴일'!$C$3:$N$17,MATCH(LEFT($B$44,4)*1,'부록2 법정공휴일'!$B$3:$B$17,0),COLUMN()-2),0)</f>
        <v>5</v>
      </c>
      <c r="L46" s="640" cm="1">
        <f t="array" ref="L46">IFERROR(INDEX('부록2 법정공휴일'!$C$3:$N$17,MATCH(LEFT($B$44,4)*1,'부록2 법정공휴일'!$B$3:$B$17,0),COLUMN()-2),0)</f>
        <v>8</v>
      </c>
      <c r="M46" s="640" cm="1">
        <f t="array" ref="M46">IFERROR(INDEX('부록2 법정공휴일'!$C$3:$N$17,MATCH(LEFT($B$44,4)*1,'부록2 법정공휴일'!$B$3:$B$17,0),COLUMN()-2),0)</f>
        <v>5</v>
      </c>
      <c r="N46" s="640" cm="1">
        <f t="array" ref="N46">IFERROR(INDEX('부록2 법정공휴일'!$C$3:$N$17,MATCH(LEFT($B$44,4)*1,'부록2 법정공휴일'!$B$3:$B$17,0),COLUMN()-2),0)</f>
        <v>5</v>
      </c>
      <c r="O46" s="641">
        <f>SUM(C46:N46)</f>
        <v>68</v>
      </c>
    </row>
    <row r="47" spans="2:15" ht="15.75" customHeight="1">
      <c r="B47" s="639" t="s">
        <v>93</v>
      </c>
      <c r="C47" s="642">
        <f>'부록4 기상비작업일수 산정'!D$24</f>
        <v>2.2999999999999998</v>
      </c>
      <c r="D47" s="642">
        <f>'부록4 기상비작업일수 산정'!E$24</f>
        <v>1.3</v>
      </c>
      <c r="E47" s="642">
        <f>'부록4 기상비작업일수 산정'!F$24</f>
        <v>0</v>
      </c>
      <c r="F47" s="642">
        <f>'부록4 기상비작업일수 산정'!G$24</f>
        <v>0</v>
      </c>
      <c r="G47" s="642">
        <f>'부록4 기상비작업일수 산정'!H$24</f>
        <v>0</v>
      </c>
      <c r="H47" s="642">
        <f>'부록4 기상비작업일수 산정'!I$24</f>
        <v>0</v>
      </c>
      <c r="I47" s="642">
        <f>'부록4 기상비작업일수 산정'!J$24</f>
        <v>7.5</v>
      </c>
      <c r="J47" s="642">
        <f>'부록4 기상비작업일수 산정'!K$24</f>
        <v>13.8</v>
      </c>
      <c r="K47" s="642">
        <f>'부록4 기상비작업일수 산정'!L$24</f>
        <v>1.2</v>
      </c>
      <c r="L47" s="642">
        <f>'부록4 기상비작업일수 산정'!M$24</f>
        <v>0</v>
      </c>
      <c r="M47" s="642">
        <f>'부록4 기상비작업일수 산정'!N$24</f>
        <v>0</v>
      </c>
      <c r="N47" s="642">
        <f>'부록4 기상비작업일수 산정'!O$24</f>
        <v>1.4</v>
      </c>
      <c r="O47" s="641">
        <f>SUM(C47:N47)</f>
        <v>27.499999999999996</v>
      </c>
    </row>
    <row r="48" spans="2:15" ht="15.75" customHeight="1">
      <c r="B48" s="639" t="s">
        <v>94</v>
      </c>
      <c r="C48" s="640">
        <f>ROUND(C46*C47/DAY(EOMONTH(DATE(LEFT($B$44,4)*1,COLUMN()-2,1),0)),0)</f>
        <v>1</v>
      </c>
      <c r="D48" s="640">
        <f t="shared" ref="D48:N48" si="12">ROUND(D46*D47/DAY(EOMONTH(DATE(LEFT($B$44,4)*1,COLUMN()-2,1),0)),0)</f>
        <v>0</v>
      </c>
      <c r="E48" s="640">
        <f t="shared" si="12"/>
        <v>0</v>
      </c>
      <c r="F48" s="640">
        <f t="shared" si="12"/>
        <v>0</v>
      </c>
      <c r="G48" s="640">
        <f t="shared" si="12"/>
        <v>0</v>
      </c>
      <c r="H48" s="640">
        <f t="shared" si="12"/>
        <v>0</v>
      </c>
      <c r="I48" s="640">
        <f t="shared" si="12"/>
        <v>1</v>
      </c>
      <c r="J48" s="640">
        <f t="shared" si="12"/>
        <v>3</v>
      </c>
      <c r="K48" s="640">
        <f t="shared" si="12"/>
        <v>0</v>
      </c>
      <c r="L48" s="640">
        <f t="shared" si="12"/>
        <v>0</v>
      </c>
      <c r="M48" s="640">
        <f t="shared" si="12"/>
        <v>0</v>
      </c>
      <c r="N48" s="640">
        <f t="shared" si="12"/>
        <v>0</v>
      </c>
      <c r="O48" s="641">
        <f>SUM(C48:N48)</f>
        <v>5</v>
      </c>
    </row>
    <row r="49" spans="2:15" ht="15.75" customHeight="1">
      <c r="B49" s="639" t="s">
        <v>40</v>
      </c>
      <c r="C49" s="642">
        <f>C47+C46-C48</f>
        <v>9.3000000000000007</v>
      </c>
      <c r="D49" s="642">
        <f t="shared" ref="D49:N49" si="13">D47+D46-D48</f>
        <v>5.3</v>
      </c>
      <c r="E49" s="642">
        <f t="shared" si="13"/>
        <v>7</v>
      </c>
      <c r="F49" s="642">
        <f t="shared" si="13"/>
        <v>4</v>
      </c>
      <c r="G49" s="642">
        <f t="shared" si="13"/>
        <v>6</v>
      </c>
      <c r="H49" s="642">
        <f t="shared" si="13"/>
        <v>6</v>
      </c>
      <c r="I49" s="642">
        <f t="shared" si="13"/>
        <v>10.5</v>
      </c>
      <c r="J49" s="642">
        <f t="shared" si="13"/>
        <v>16.8</v>
      </c>
      <c r="K49" s="642">
        <f t="shared" si="13"/>
        <v>6.2</v>
      </c>
      <c r="L49" s="642">
        <f t="shared" si="13"/>
        <v>8</v>
      </c>
      <c r="M49" s="642">
        <f t="shared" si="13"/>
        <v>5</v>
      </c>
      <c r="N49" s="642">
        <f t="shared" si="13"/>
        <v>6.4</v>
      </c>
      <c r="O49" s="641">
        <f>SUM(C49:N49)</f>
        <v>90.500000000000014</v>
      </c>
    </row>
    <row r="50" spans="2:15" ht="15.75" customHeight="1">
      <c r="B50" s="639" t="s">
        <v>95</v>
      </c>
      <c r="C50" s="642">
        <v>8</v>
      </c>
      <c r="D50" s="642">
        <v>8</v>
      </c>
      <c r="E50" s="642">
        <v>8</v>
      </c>
      <c r="F50" s="642">
        <v>8</v>
      </c>
      <c r="G50" s="642">
        <v>8</v>
      </c>
      <c r="H50" s="642">
        <v>8</v>
      </c>
      <c r="I50" s="642">
        <v>8</v>
      </c>
      <c r="J50" s="642">
        <v>8</v>
      </c>
      <c r="K50" s="642">
        <v>8</v>
      </c>
      <c r="L50" s="642">
        <v>8</v>
      </c>
      <c r="M50" s="642">
        <v>8</v>
      </c>
      <c r="N50" s="642">
        <v>8</v>
      </c>
      <c r="O50" s="641">
        <v>96</v>
      </c>
    </row>
    <row r="51" spans="2:15" ht="15.75" customHeight="1">
      <c r="B51" s="643" t="s">
        <v>39</v>
      </c>
      <c r="C51" s="644">
        <f>MAX(C49,C50)</f>
        <v>9.3000000000000007</v>
      </c>
      <c r="D51" s="644">
        <f t="shared" ref="D51:N51" si="14">MAX(D49,D50)</f>
        <v>8</v>
      </c>
      <c r="E51" s="644">
        <f t="shared" si="14"/>
        <v>8</v>
      </c>
      <c r="F51" s="644">
        <f t="shared" si="14"/>
        <v>8</v>
      </c>
      <c r="G51" s="644">
        <f t="shared" si="14"/>
        <v>8</v>
      </c>
      <c r="H51" s="644">
        <f t="shared" si="14"/>
        <v>8</v>
      </c>
      <c r="I51" s="644">
        <f t="shared" si="14"/>
        <v>10.5</v>
      </c>
      <c r="J51" s="644">
        <f t="shared" si="14"/>
        <v>16.8</v>
      </c>
      <c r="K51" s="644">
        <f t="shared" si="14"/>
        <v>8</v>
      </c>
      <c r="L51" s="644">
        <f t="shared" si="14"/>
        <v>8</v>
      </c>
      <c r="M51" s="644">
        <f t="shared" si="14"/>
        <v>8</v>
      </c>
      <c r="N51" s="644">
        <f t="shared" si="14"/>
        <v>8</v>
      </c>
      <c r="O51" s="645">
        <f>SUM(C51:N51)</f>
        <v>108.6</v>
      </c>
    </row>
    <row r="52" spans="2:15" ht="21.75" customHeight="1" thickBot="1">
      <c r="B52" s="651" t="str">
        <f>"▶ "&amp;(YEAR($C$3)+4)&amp;"년 연간 총 비작업일수 (적용일수 합계)"</f>
        <v>▶ 2031년 연간 총 비작업일수 (적용일수 합계)</v>
      </c>
      <c r="C52" s="652"/>
      <c r="D52" s="652"/>
      <c r="E52" s="652"/>
      <c r="F52" s="652"/>
      <c r="G52" s="652"/>
      <c r="H52" s="652"/>
      <c r="I52" s="652"/>
      <c r="J52" s="652"/>
      <c r="K52" s="652"/>
      <c r="L52" s="652"/>
      <c r="M52" s="652"/>
      <c r="N52" s="652"/>
      <c r="O52" s="653">
        <f>SUM(C51:N51)</f>
        <v>108.6</v>
      </c>
    </row>
    <row r="54" spans="2:15" ht="19.5" customHeight="1" thickBot="1">
      <c r="B54" s="550" t="s">
        <v>582</v>
      </c>
      <c r="C54" s="550"/>
      <c r="D54" s="550"/>
      <c r="E54" s="550"/>
      <c r="F54" s="550"/>
      <c r="G54" s="550"/>
      <c r="H54" s="550"/>
      <c r="I54" s="550"/>
      <c r="J54" s="550"/>
      <c r="K54" s="550"/>
      <c r="L54" s="550"/>
      <c r="M54" s="550"/>
      <c r="N54" s="550"/>
      <c r="O54" s="550"/>
    </row>
    <row r="55" spans="2:15" ht="21.75" customHeight="1" thickBot="1">
      <c r="B55" s="654" t="s">
        <v>583</v>
      </c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655"/>
      <c r="N55" s="656" cm="1">
        <f t="array" ref="N55">ROUND(SUMPRODUCT(((0*12+(COLUMN($C$15:$N$15)-2)-MONTH($C$3))&gt;=0)*((0*12+(COLUMN($C$15:$N$15)-2)-MONTH($C$3))&lt;$C$4)*$C$15:$N$15)+SUMPRODUCT(((1*12+(COLUMN($C$24:$N$24)-2)-MONTH($C$3))&gt;=0)*((1*12+(COLUMN($C$24:$N$24)-2)-MONTH($C$3))&lt;$C$4)*$C$24:$N$24)+SUMPRODUCT(((2*12+(COLUMN($C$33:$N$33)-2)-MONTH($C$3))&gt;=0)*((2*12+(COLUMN($C$33:$N$33)-2)-MONTH($C$3))&lt;$C$4)*$C$33:$N$33)+SUMPRODUCT(((3*12+(COLUMN($C$42:$N$42)-2)-MONTH($C$3))&gt;=0)*((3*12+(COLUMN($C$42:$N$42)-2)-MONTH($C$3))&lt;$C$4)*$C$42:$N$42)+SUMPRODUCT(((4*12+(COLUMN($C$51:$N$51)-2)-MONTH($C$3))&gt;=0)*((4*12+(COLUMN($C$51:$N$51)-2)-MONTH($C$3))&lt;$C$4)*$C$51:$N$51),0)</f>
        <v>118</v>
      </c>
      <c r="O55" s="656"/>
    </row>
  </sheetData>
  <mergeCells count="22">
    <mergeCell ref="B55:M55"/>
    <mergeCell ref="N55:O55"/>
    <mergeCell ref="B35:O35"/>
    <mergeCell ref="B43:N43"/>
    <mergeCell ref="B44:O44"/>
    <mergeCell ref="B52:N52"/>
    <mergeCell ref="B17:O17"/>
    <mergeCell ref="B25:N25"/>
    <mergeCell ref="B26:O26"/>
    <mergeCell ref="B34:N34"/>
    <mergeCell ref="B54:O54"/>
    <mergeCell ref="C5:E5"/>
    <mergeCell ref="F5:O5"/>
    <mergeCell ref="B7:O7"/>
    <mergeCell ref="B8:O8"/>
    <mergeCell ref="B16:N16"/>
    <mergeCell ref="B1:O1"/>
    <mergeCell ref="B2:O2"/>
    <mergeCell ref="C3:E3"/>
    <mergeCell ref="F3:O3"/>
    <mergeCell ref="C4:E4"/>
    <mergeCell ref="F4:O4"/>
  </mergeCells>
  <phoneticPr fontId="5" type="noConversion"/>
  <printOptions horizontalCentered="1"/>
  <pageMargins left="0.25" right="0.25" top="0.25" bottom="0.25" header="0.1111111111111111" footer="0.1111111111111111"/>
  <pageSetup paperSize="9" scale="81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8D8B-7981-431D-A83E-82442E385E8B}">
  <sheetPr>
    <tabColor rgb="FFF59E0B"/>
    <pageSetUpPr fitToPage="1"/>
  </sheetPr>
  <dimension ref="B1:P80"/>
  <sheetViews>
    <sheetView showGridLines="0" zoomScaleNormal="100" workbookViewId="0">
      <selection activeCell="P14" sqref="P14"/>
    </sheetView>
  </sheetViews>
  <sheetFormatPr defaultColWidth="8.7109375" defaultRowHeight="15"/>
  <cols>
    <col min="1" max="1" width="0.85546875" customWidth="1"/>
    <col min="2" max="2" width="16" customWidth="1"/>
    <col min="3" max="3" width="15.5703125" customWidth="1"/>
    <col min="4" max="15" width="8" customWidth="1"/>
    <col min="16" max="16" width="15.5703125" customWidth="1"/>
    <col min="17" max="17" width="0.85546875" customWidth="1"/>
  </cols>
  <sheetData>
    <row r="1" spans="2:16" ht="6" customHeight="1"/>
    <row r="2" spans="2:16" ht="33.75" customHeight="1">
      <c r="B2" s="657" t="s">
        <v>742</v>
      </c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</row>
    <row r="3" spans="2:16" ht="15" customHeight="1">
      <c r="B3" s="659" t="s">
        <v>676</v>
      </c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</row>
    <row r="4" spans="2:16" ht="3.75" customHeight="1"/>
    <row r="5" spans="2:16" ht="21.75" customHeight="1">
      <c r="B5" s="660" t="s">
        <v>726</v>
      </c>
      <c r="C5" s="660"/>
      <c r="D5" s="660"/>
      <c r="E5" s="660"/>
      <c r="F5" s="660"/>
      <c r="G5" s="660"/>
      <c r="H5" s="660"/>
      <c r="I5" s="660"/>
      <c r="J5" s="660"/>
      <c r="K5" s="660"/>
      <c r="L5" s="660"/>
      <c r="M5" s="660"/>
      <c r="N5" s="660"/>
      <c r="O5" s="660"/>
      <c r="P5" s="660"/>
    </row>
    <row r="6" spans="2:16" ht="18" customHeight="1">
      <c r="B6" s="661" t="s">
        <v>677</v>
      </c>
      <c r="C6" s="661" t="s">
        <v>678</v>
      </c>
      <c r="D6" s="661" t="s">
        <v>679</v>
      </c>
      <c r="E6" s="661" t="s">
        <v>680</v>
      </c>
    </row>
    <row r="7" spans="2:16" ht="21.75" customHeight="1">
      <c r="B7" s="662" t="str">
        <f>'1. 기본정보'!C11</f>
        <v>목포</v>
      </c>
      <c r="C7" s="662">
        <f>YEAR('1. 기본정보'!$C$8)</f>
        <v>2027</v>
      </c>
      <c r="D7" s="662">
        <f>MONTH('1. 기본정보'!$C$8)</f>
        <v>1</v>
      </c>
      <c r="E7" s="662">
        <f>ROUND(MIN('2-1. 공사기간 검토결과'!$C$17:$E$17)/30,0)</f>
        <v>13</v>
      </c>
    </row>
    <row r="8" spans="2:16" ht="21.75" customHeight="1">
      <c r="B8" s="663" t="s">
        <v>731</v>
      </c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664"/>
      <c r="O8" s="664"/>
      <c r="P8" s="665"/>
    </row>
    <row r="9" spans="2:16" ht="21.75" customHeight="1">
      <c r="B9" s="666" t="s">
        <v>681</v>
      </c>
      <c r="C9" s="667"/>
      <c r="D9" s="667"/>
      <c r="E9" s="667"/>
      <c r="F9" s="667" t="s">
        <v>682</v>
      </c>
      <c r="G9" s="667"/>
      <c r="H9" s="667"/>
      <c r="I9" s="667"/>
      <c r="J9" s="667" t="s">
        <v>631</v>
      </c>
      <c r="K9" s="667"/>
      <c r="L9" s="667"/>
      <c r="M9" s="667"/>
      <c r="N9" s="667" t="s">
        <v>683</v>
      </c>
      <c r="O9" s="667"/>
      <c r="P9" s="668"/>
    </row>
    <row r="10" spans="2:16" ht="30" customHeight="1">
      <c r="B10" s="721" t="b">
        <f>'1. 기본정보'!C21</f>
        <v>1</v>
      </c>
      <c r="C10" s="669" t="s">
        <v>684</v>
      </c>
      <c r="D10" s="669"/>
      <c r="E10" s="669"/>
      <c r="F10" s="722" t="b">
        <f>'1. 기본정보'!C25</f>
        <v>1</v>
      </c>
      <c r="G10" s="669" t="s">
        <v>685</v>
      </c>
      <c r="H10" s="669"/>
      <c r="I10" s="669"/>
      <c r="J10" s="723" t="b">
        <f>'1. 기본정보'!C29</f>
        <v>0</v>
      </c>
      <c r="K10" s="669" t="s">
        <v>686</v>
      </c>
      <c r="L10" s="669"/>
      <c r="M10" s="669"/>
      <c r="N10" s="722" t="b">
        <f>'1. 기본정보'!C33</f>
        <v>0</v>
      </c>
      <c r="O10" s="669" t="s">
        <v>687</v>
      </c>
      <c r="P10" s="670"/>
    </row>
    <row r="11" spans="2:16" ht="30" customHeight="1">
      <c r="B11" s="724" t="b">
        <f>'1. 기본정보'!C22</f>
        <v>0</v>
      </c>
      <c r="C11" s="669" t="s">
        <v>688</v>
      </c>
      <c r="D11" s="669"/>
      <c r="E11" s="669"/>
      <c r="F11" s="723" t="b">
        <f>'1. 기본정보'!C26</f>
        <v>0</v>
      </c>
      <c r="G11" s="669" t="s">
        <v>689</v>
      </c>
      <c r="H11" s="669"/>
      <c r="I11" s="669"/>
      <c r="J11" s="722" t="b">
        <f>'1. 기본정보'!C30</f>
        <v>1</v>
      </c>
      <c r="K11" s="669" t="s">
        <v>690</v>
      </c>
      <c r="L11" s="669"/>
      <c r="M11" s="669"/>
      <c r="N11" s="671"/>
      <c r="O11" s="671"/>
      <c r="P11" s="672"/>
    </row>
    <row r="12" spans="2:16" ht="30" customHeight="1">
      <c r="B12" s="724" t="b">
        <f>'1. 기본정보'!C23</f>
        <v>0</v>
      </c>
      <c r="C12" s="669" t="s">
        <v>691</v>
      </c>
      <c r="D12" s="669"/>
      <c r="E12" s="669"/>
      <c r="F12" s="723" t="b">
        <f>'1. 기본정보'!C27</f>
        <v>0</v>
      </c>
      <c r="G12" s="669" t="s">
        <v>692</v>
      </c>
      <c r="H12" s="669"/>
      <c r="I12" s="669"/>
      <c r="J12" s="723" t="b">
        <f>'1. 기본정보'!C31</f>
        <v>0</v>
      </c>
      <c r="K12" s="669" t="s">
        <v>693</v>
      </c>
      <c r="L12" s="669"/>
      <c r="M12" s="669"/>
      <c r="N12" s="671"/>
      <c r="O12" s="671"/>
      <c r="P12" s="672"/>
    </row>
    <row r="13" spans="2:16" ht="30" customHeight="1" thickBot="1">
      <c r="B13" s="725" t="b">
        <f>'1. 기본정보'!C24</f>
        <v>0</v>
      </c>
      <c r="C13" s="673" t="s">
        <v>694</v>
      </c>
      <c r="D13" s="673"/>
      <c r="E13" s="673"/>
      <c r="F13" s="726" t="b">
        <f>'1. 기본정보'!C28</f>
        <v>0</v>
      </c>
      <c r="G13" s="673" t="s">
        <v>695</v>
      </c>
      <c r="H13" s="673"/>
      <c r="I13" s="673"/>
      <c r="J13" s="726" t="b">
        <f>'1. 기본정보'!C32</f>
        <v>0</v>
      </c>
      <c r="K13" s="673" t="s">
        <v>696</v>
      </c>
      <c r="L13" s="673"/>
      <c r="M13" s="673"/>
      <c r="N13" s="674"/>
      <c r="O13" s="674"/>
      <c r="P13" s="675"/>
    </row>
    <row r="14" spans="2:16" ht="21.75" customHeight="1"/>
    <row r="15" spans="2:16" ht="3.75" customHeight="1"/>
    <row r="16" spans="2:16" ht="21.75" customHeight="1">
      <c r="B16" s="676" t="s">
        <v>697</v>
      </c>
      <c r="C16" s="677"/>
      <c r="D16" s="677"/>
      <c r="E16" s="677"/>
      <c r="F16" s="677"/>
      <c r="G16" s="677"/>
      <c r="H16" s="677"/>
      <c r="I16" s="677"/>
      <c r="J16" s="677"/>
      <c r="K16" s="677"/>
      <c r="L16" s="677"/>
      <c r="M16" s="677"/>
      <c r="N16" s="677"/>
      <c r="O16" s="677"/>
      <c r="P16" s="678"/>
    </row>
    <row r="17" spans="2:16" ht="18" customHeight="1">
      <c r="B17" s="679" t="s">
        <v>698</v>
      </c>
      <c r="C17" s="680" t="s">
        <v>699</v>
      </c>
      <c r="D17" s="681" t="s">
        <v>700</v>
      </c>
      <c r="E17" s="681" t="s">
        <v>701</v>
      </c>
      <c r="F17" s="681" t="s">
        <v>702</v>
      </c>
      <c r="G17" s="681" t="s">
        <v>703</v>
      </c>
      <c r="H17" s="681" t="s">
        <v>704</v>
      </c>
      <c r="I17" s="681" t="s">
        <v>705</v>
      </c>
      <c r="J17" s="681" t="s">
        <v>706</v>
      </c>
      <c r="K17" s="681" t="s">
        <v>707</v>
      </c>
      <c r="L17" s="681" t="s">
        <v>708</v>
      </c>
      <c r="M17" s="681" t="s">
        <v>709</v>
      </c>
      <c r="N17" s="681" t="s">
        <v>710</v>
      </c>
      <c r="O17" s="681" t="s">
        <v>711</v>
      </c>
      <c r="P17" s="682" t="s">
        <v>712</v>
      </c>
    </row>
    <row r="18" spans="2:16" ht="3.75" customHeight="1"/>
    <row r="19" spans="2:16" ht="19.5" customHeight="1">
      <c r="B19" s="683" t="str">
        <f>"  "&amp;$C$7&amp;"년  (착수연도 "&amp;$C$7&amp;" 기준)"</f>
        <v xml:space="preserve">  2027년  (착수연도 2027 기준)</v>
      </c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</row>
    <row r="20" spans="2:16" ht="15.75" customHeight="1">
      <c r="B20" s="684" t="s">
        <v>681</v>
      </c>
      <c r="C20" s="106" t="s">
        <v>684</v>
      </c>
      <c r="D20" s="685" cm="1">
        <f t="array" ref="D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E20" s="685" cm="1">
        <f t="array" ref="E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F20" s="685" cm="1">
        <f t="array" ref="F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G20" s="685" cm="1">
        <f t="array" ref="G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H20" s="685" cm="1">
        <f t="array" ref="H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I20" s="685" cm="1">
        <f t="array" ref="I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J20" s="685" cm="1">
        <f t="array" ref="J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7.5</v>
      </c>
      <c r="K20" s="685" cm="1">
        <f t="array" ref="K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13.8</v>
      </c>
      <c r="L20" s="685" cm="1">
        <f t="array" ref="L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1.2</v>
      </c>
      <c r="M20" s="685" cm="1">
        <f t="array" ref="M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N20" s="685" cm="1">
        <f t="array" ref="N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O20" s="685" cm="1">
        <f t="array" ref="O20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P20" s="685">
        <f t="shared" ref="P20:P29" si="0">SUM(D20:O20)</f>
        <v>22.5</v>
      </c>
    </row>
    <row r="21" spans="2:16" ht="15.75" customHeight="1">
      <c r="B21" s="77" t="s">
        <v>682</v>
      </c>
      <c r="C21" s="78" t="s">
        <v>685</v>
      </c>
      <c r="D21" s="79" cm="1">
        <f t="array" ref="D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2.2999999999999998</v>
      </c>
      <c r="E21" s="79" cm="1">
        <f t="array" ref="E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1.3</v>
      </c>
      <c r="F21" s="79" cm="1">
        <f t="array" ref="F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G21" s="79" cm="1">
        <f t="array" ref="G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H21" s="79" cm="1">
        <f t="array" ref="H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I21" s="79" cm="1">
        <f t="array" ref="I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J21" s="79" cm="1">
        <f t="array" ref="J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K21" s="79" cm="1">
        <f t="array" ref="K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L21" s="79" cm="1">
        <f t="array" ref="L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M21" s="79" cm="1">
        <f t="array" ref="M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N21" s="79" cm="1">
        <f t="array" ref="N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O21" s="79" cm="1">
        <f t="array" ref="O21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1.4</v>
      </c>
      <c r="P21" s="79">
        <f t="shared" si="0"/>
        <v>5</v>
      </c>
    </row>
    <row r="22" spans="2:16" ht="15.75" customHeight="1">
      <c r="B22" s="727" t="s">
        <v>631</v>
      </c>
      <c r="C22" s="728" t="s">
        <v>686</v>
      </c>
      <c r="D22" s="729" cm="1">
        <f t="array" ref="D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E22" s="729" cm="1">
        <f t="array" ref="E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F22" s="729" cm="1">
        <f t="array" ref="F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G22" s="729" cm="1">
        <f t="array" ref="G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H22" s="729" cm="1">
        <f t="array" ref="H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I22" s="729" cm="1">
        <f t="array" ref="I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J22" s="729" cm="1">
        <f t="array" ref="J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K22" s="729" cm="1">
        <f t="array" ref="K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L22" s="729" cm="1">
        <f t="array" ref="L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M22" s="729" cm="1">
        <f t="array" ref="M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N22" s="729" cm="1">
        <f t="array" ref="N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O22" s="729" cm="1">
        <f t="array" ref="O22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P22" s="729">
        <f t="shared" si="0"/>
        <v>0</v>
      </c>
    </row>
    <row r="23" spans="2:16" ht="15.75" customHeight="1">
      <c r="B23" s="80" t="s">
        <v>683</v>
      </c>
      <c r="C23" s="81" t="s">
        <v>713</v>
      </c>
      <c r="D23" s="82" cm="1">
        <f t="array" ref="D23">IFERROR($N$10*INDEX('부록5 기상데이터'!$E$150:$P$152,MATCH('1. 기본정보'!$C$11,'부록5 기상데이터'!$C$150:$C$152,0),COLUMN()-3),0)</f>
        <v>0</v>
      </c>
      <c r="E23" s="82" cm="1">
        <f t="array" ref="E23">IFERROR($N$10*INDEX('부록5 기상데이터'!$E$150:$P$152,MATCH('1. 기본정보'!$C$11,'부록5 기상데이터'!$C$150:$C$152,0),COLUMN()-3),0)</f>
        <v>0</v>
      </c>
      <c r="F23" s="82" cm="1">
        <f t="array" ref="F23">IFERROR($N$10*INDEX('부록5 기상데이터'!$E$150:$P$152,MATCH('1. 기본정보'!$C$11,'부록5 기상데이터'!$C$150:$C$152,0),COLUMN()-3),0)</f>
        <v>0</v>
      </c>
      <c r="G23" s="82" cm="1">
        <f t="array" ref="G23">IFERROR($N$10*INDEX('부록5 기상데이터'!$E$150:$P$152,MATCH('1. 기본정보'!$C$11,'부록5 기상데이터'!$C$150:$C$152,0),COLUMN()-3),0)</f>
        <v>0</v>
      </c>
      <c r="H23" s="82" cm="1">
        <f t="array" ref="H23">IFERROR($N$10*INDEX('부록5 기상데이터'!$E$150:$P$152,MATCH('1. 기본정보'!$C$11,'부록5 기상데이터'!$C$150:$C$152,0),COLUMN()-3),0)</f>
        <v>0</v>
      </c>
      <c r="I23" s="82" cm="1">
        <f t="array" ref="I23">IFERROR($N$10*INDEX('부록5 기상데이터'!$E$150:$P$152,MATCH('1. 기본정보'!$C$11,'부록5 기상데이터'!$C$150:$C$152,0),COLUMN()-3),0)</f>
        <v>0</v>
      </c>
      <c r="J23" s="82" cm="1">
        <f t="array" ref="J23">IFERROR($N$10*INDEX('부록5 기상데이터'!$E$150:$P$152,MATCH('1. 기본정보'!$C$11,'부록5 기상데이터'!$C$150:$C$152,0),COLUMN()-3),0)</f>
        <v>0</v>
      </c>
      <c r="K23" s="82" cm="1">
        <f t="array" ref="K23">IFERROR($N$10*INDEX('부록5 기상데이터'!$E$150:$P$152,MATCH('1. 기본정보'!$C$11,'부록5 기상데이터'!$C$150:$C$152,0),COLUMN()-3),0)</f>
        <v>0</v>
      </c>
      <c r="L23" s="82" cm="1">
        <f t="array" ref="L23">IFERROR($N$10*INDEX('부록5 기상데이터'!$E$150:$P$152,MATCH('1. 기본정보'!$C$11,'부록5 기상데이터'!$C$150:$C$152,0),COLUMN()-3),0)</f>
        <v>0</v>
      </c>
      <c r="M23" s="82" cm="1">
        <f t="array" ref="M23">IFERROR($N$10*INDEX('부록5 기상데이터'!$E$150:$P$152,MATCH('1. 기본정보'!$C$11,'부록5 기상데이터'!$C$150:$C$152,0),COLUMN()-3),0)</f>
        <v>0</v>
      </c>
      <c r="N23" s="82" cm="1">
        <f t="array" ref="N23">IFERROR($N$10*INDEX('부록5 기상데이터'!$E$150:$P$152,MATCH('1. 기본정보'!$C$11,'부록5 기상데이터'!$C$150:$C$152,0),COLUMN()-3),0)</f>
        <v>0</v>
      </c>
      <c r="O23" s="82" cm="1">
        <f t="array" ref="O23">IFERROR($N$10*INDEX('부록5 기상데이터'!$E$150:$P$152,MATCH('1. 기본정보'!$C$11,'부록5 기상데이터'!$C$150:$C$152,0),COLUMN()-3),0)</f>
        <v>0</v>
      </c>
      <c r="P23" s="82">
        <f t="shared" si="0"/>
        <v>0</v>
      </c>
    </row>
    <row r="24" spans="2:16" ht="18" customHeight="1">
      <c r="B24" s="688" t="s">
        <v>714</v>
      </c>
      <c r="C24" s="689" t="s">
        <v>715</v>
      </c>
      <c r="D24" s="686">
        <f t="shared" ref="D24:O24" si="1">SUM(D20:D23)</f>
        <v>2.2999999999999998</v>
      </c>
      <c r="E24" s="686">
        <f t="shared" si="1"/>
        <v>1.3</v>
      </c>
      <c r="F24" s="686">
        <f t="shared" si="1"/>
        <v>0</v>
      </c>
      <c r="G24" s="686">
        <f t="shared" si="1"/>
        <v>0</v>
      </c>
      <c r="H24" s="686">
        <f t="shared" si="1"/>
        <v>0</v>
      </c>
      <c r="I24" s="686">
        <f t="shared" si="1"/>
        <v>0</v>
      </c>
      <c r="J24" s="686">
        <f t="shared" si="1"/>
        <v>7.5</v>
      </c>
      <c r="K24" s="686">
        <f t="shared" si="1"/>
        <v>13.8</v>
      </c>
      <c r="L24" s="686">
        <f t="shared" si="1"/>
        <v>1.2</v>
      </c>
      <c r="M24" s="686">
        <f t="shared" si="1"/>
        <v>0</v>
      </c>
      <c r="N24" s="686">
        <f t="shared" si="1"/>
        <v>0</v>
      </c>
      <c r="O24" s="686">
        <f t="shared" si="1"/>
        <v>1.4</v>
      </c>
      <c r="P24" s="687">
        <f t="shared" si="0"/>
        <v>27.499999999999996</v>
      </c>
    </row>
    <row r="25" spans="2:16" ht="18" customHeight="1">
      <c r="B25" s="688" t="s">
        <v>716</v>
      </c>
      <c r="C25" s="689" t="str">
        <f>"부록1 · "&amp;($C$7+0)&amp;"년"</f>
        <v>부록1 · 2027년</v>
      </c>
      <c r="D25" s="690" cm="1">
        <f t="array" ref="D25">IFERROR(INDEX('부록2 법정공휴일'!$C$3:$N$17,MATCH($C$7+0,'부록2 법정공휴일'!$B$3:$B$17,0),COLUMN()-3),0)</f>
        <v>6</v>
      </c>
      <c r="E25" s="690" cm="1">
        <f t="array" ref="E25">IFERROR(INDEX('부록2 법정공휴일'!$C$3:$N$17,MATCH($C$7+0,'부록2 법정공휴일'!$B$3:$B$17,0),COLUMN()-3),0)</f>
        <v>7</v>
      </c>
      <c r="F25" s="690" cm="1">
        <f t="array" ref="F25">IFERROR(INDEX('부록2 법정공휴일'!$C$3:$N$17,MATCH($C$7+0,'부록2 법정공휴일'!$B$3:$B$17,0),COLUMN()-3),0)</f>
        <v>5</v>
      </c>
      <c r="G25" s="690" cm="1">
        <f t="array" ref="G25">IFERROR(INDEX('부록2 법정공휴일'!$C$3:$N$17,MATCH($C$7+0,'부록2 법정공휴일'!$B$3:$B$17,0),COLUMN()-3),0)</f>
        <v>4</v>
      </c>
      <c r="H25" s="690" cm="1">
        <f t="array" ref="H25">IFERROR(INDEX('부록2 법정공휴일'!$C$3:$N$17,MATCH($C$7+0,'부록2 법정공휴일'!$B$3:$B$17,0),COLUMN()-3),0)</f>
        <v>7</v>
      </c>
      <c r="I25" s="690" cm="1">
        <f t="array" ref="I25">IFERROR(INDEX('부록2 법정공휴일'!$C$3:$N$17,MATCH($C$7+0,'부록2 법정공휴일'!$B$3:$B$17,0),COLUMN()-3),0)</f>
        <v>4</v>
      </c>
      <c r="J25" s="690" cm="1">
        <f t="array" ref="J25">IFERROR(INDEX('부록2 법정공휴일'!$C$3:$N$17,MATCH($C$7+0,'부록2 법정공휴일'!$B$3:$B$17,0),COLUMN()-3),0)</f>
        <v>4</v>
      </c>
      <c r="K25" s="690" cm="1">
        <f t="array" ref="K25">IFERROR(INDEX('부록2 법정공휴일'!$C$3:$N$17,MATCH($C$7+0,'부록2 법정공휴일'!$B$3:$B$17,0),COLUMN()-3),0)</f>
        <v>6</v>
      </c>
      <c r="L25" s="690" cm="1">
        <f t="array" ref="L25">IFERROR(INDEX('부록2 법정공휴일'!$C$3:$N$17,MATCH($C$7+0,'부록2 법정공휴일'!$B$3:$B$17,0),COLUMN()-3),0)</f>
        <v>7</v>
      </c>
      <c r="M25" s="690" cm="1">
        <f t="array" ref="M25">IFERROR(INDEX('부록2 법정공휴일'!$C$3:$N$17,MATCH($C$7+0,'부록2 법정공휴일'!$B$3:$B$17,0),COLUMN()-3),0)</f>
        <v>8</v>
      </c>
      <c r="N25" s="690" cm="1">
        <f t="array" ref="N25">IFERROR(INDEX('부록2 법정공휴일'!$C$3:$N$17,MATCH($C$7+0,'부록2 법정공휴일'!$B$3:$B$17,0),COLUMN()-3),0)</f>
        <v>4</v>
      </c>
      <c r="O25" s="690" cm="1">
        <f t="array" ref="O25">IFERROR(INDEX('부록2 법정공휴일'!$C$3:$N$17,MATCH($C$7+0,'부록2 법정공휴일'!$B$3:$B$17,0),COLUMN()-3),0)</f>
        <v>6</v>
      </c>
      <c r="P25" s="691">
        <f t="shared" si="0"/>
        <v>68</v>
      </c>
    </row>
    <row r="26" spans="2:16" ht="15.75" customHeight="1">
      <c r="B26" s="83" t="s">
        <v>717</v>
      </c>
      <c r="C26" s="84" t="s">
        <v>718</v>
      </c>
      <c r="D26" s="83">
        <f t="shared" ref="D26:O26" si="2">ROUND(D25*D24/DAY(EOMONTH(DATE(2026,COLUMN()-COLUMN($D26)+1,1),0)),0)</f>
        <v>0</v>
      </c>
      <c r="E26" s="83">
        <f t="shared" si="2"/>
        <v>0</v>
      </c>
      <c r="F26" s="83">
        <f t="shared" si="2"/>
        <v>0</v>
      </c>
      <c r="G26" s="83">
        <f t="shared" si="2"/>
        <v>0</v>
      </c>
      <c r="H26" s="83">
        <f t="shared" si="2"/>
        <v>0</v>
      </c>
      <c r="I26" s="83">
        <f t="shared" si="2"/>
        <v>0</v>
      </c>
      <c r="J26" s="83">
        <f t="shared" si="2"/>
        <v>1</v>
      </c>
      <c r="K26" s="83">
        <f t="shared" si="2"/>
        <v>3</v>
      </c>
      <c r="L26" s="83">
        <f t="shared" si="2"/>
        <v>0</v>
      </c>
      <c r="M26" s="83">
        <f t="shared" si="2"/>
        <v>0</v>
      </c>
      <c r="N26" s="83">
        <f t="shared" si="2"/>
        <v>0</v>
      </c>
      <c r="O26" s="83">
        <f t="shared" si="2"/>
        <v>0</v>
      </c>
      <c r="P26" s="85">
        <f t="shared" si="0"/>
        <v>4</v>
      </c>
    </row>
    <row r="27" spans="2:16" ht="15.75" customHeight="1">
      <c r="B27" s="86" t="s">
        <v>719</v>
      </c>
      <c r="C27" s="78" t="s">
        <v>720</v>
      </c>
      <c r="D27" s="79">
        <f t="shared" ref="D27:O27" si="3">D24+D25-D26</f>
        <v>8.3000000000000007</v>
      </c>
      <c r="E27" s="79">
        <f t="shared" si="3"/>
        <v>8.3000000000000007</v>
      </c>
      <c r="F27" s="79">
        <f t="shared" si="3"/>
        <v>5</v>
      </c>
      <c r="G27" s="79">
        <f t="shared" si="3"/>
        <v>4</v>
      </c>
      <c r="H27" s="79">
        <f t="shared" si="3"/>
        <v>7</v>
      </c>
      <c r="I27" s="79">
        <f t="shared" si="3"/>
        <v>4</v>
      </c>
      <c r="J27" s="79">
        <f t="shared" si="3"/>
        <v>10.5</v>
      </c>
      <c r="K27" s="79">
        <f t="shared" si="3"/>
        <v>16.8</v>
      </c>
      <c r="L27" s="79">
        <f t="shared" si="3"/>
        <v>8.1999999999999993</v>
      </c>
      <c r="M27" s="79">
        <f t="shared" si="3"/>
        <v>8</v>
      </c>
      <c r="N27" s="79">
        <f t="shared" si="3"/>
        <v>4</v>
      </c>
      <c r="O27" s="79">
        <f t="shared" si="3"/>
        <v>7.4</v>
      </c>
      <c r="P27" s="87">
        <f t="shared" si="0"/>
        <v>91.500000000000014</v>
      </c>
    </row>
    <row r="28" spans="2:16" ht="13.5" customHeight="1" thickBot="1">
      <c r="B28" s="88" t="s">
        <v>721</v>
      </c>
      <c r="C28" s="89" t="s">
        <v>722</v>
      </c>
      <c r="D28" s="88">
        <f>8</f>
        <v>8</v>
      </c>
      <c r="E28" s="88">
        <f>8</f>
        <v>8</v>
      </c>
      <c r="F28" s="88">
        <f>8</f>
        <v>8</v>
      </c>
      <c r="G28" s="88">
        <f>8</f>
        <v>8</v>
      </c>
      <c r="H28" s="88">
        <f>8</f>
        <v>8</v>
      </c>
      <c r="I28" s="88">
        <f>8</f>
        <v>8</v>
      </c>
      <c r="J28" s="88">
        <f>8</f>
        <v>8</v>
      </c>
      <c r="K28" s="88">
        <f>8</f>
        <v>8</v>
      </c>
      <c r="L28" s="88">
        <f>8</f>
        <v>8</v>
      </c>
      <c r="M28" s="88">
        <f>8</f>
        <v>8</v>
      </c>
      <c r="N28" s="88">
        <f>8</f>
        <v>8</v>
      </c>
      <c r="O28" s="88">
        <f>8</f>
        <v>8</v>
      </c>
      <c r="P28" s="90">
        <f t="shared" si="0"/>
        <v>96</v>
      </c>
    </row>
    <row r="29" spans="2:16" ht="21.75" customHeight="1" thickBot="1">
      <c r="B29" s="730" t="s">
        <v>723</v>
      </c>
      <c r="C29" s="731" t="s">
        <v>724</v>
      </c>
      <c r="D29" s="732">
        <f t="shared" ref="D29:O29" si="4">MAX(D27,D28)</f>
        <v>8.3000000000000007</v>
      </c>
      <c r="E29" s="732">
        <f t="shared" si="4"/>
        <v>8.3000000000000007</v>
      </c>
      <c r="F29" s="732">
        <f t="shared" si="4"/>
        <v>8</v>
      </c>
      <c r="G29" s="732">
        <f t="shared" si="4"/>
        <v>8</v>
      </c>
      <c r="H29" s="732">
        <f t="shared" si="4"/>
        <v>8</v>
      </c>
      <c r="I29" s="732">
        <f t="shared" si="4"/>
        <v>8</v>
      </c>
      <c r="J29" s="732">
        <f t="shared" si="4"/>
        <v>10.5</v>
      </c>
      <c r="K29" s="732">
        <f t="shared" si="4"/>
        <v>16.8</v>
      </c>
      <c r="L29" s="732">
        <f t="shared" si="4"/>
        <v>8.1999999999999993</v>
      </c>
      <c r="M29" s="732">
        <f t="shared" si="4"/>
        <v>8</v>
      </c>
      <c r="N29" s="732">
        <f t="shared" si="4"/>
        <v>8</v>
      </c>
      <c r="O29" s="732">
        <f t="shared" si="4"/>
        <v>8</v>
      </c>
      <c r="P29" s="733">
        <f t="shared" si="0"/>
        <v>108.10000000000001</v>
      </c>
    </row>
    <row r="30" spans="2:16" ht="3.75" customHeight="1"/>
    <row r="31" spans="2:16" ht="19.5" customHeight="1">
      <c r="B31" s="683" t="str">
        <f>"  "&amp;($C$7+1)&amp;"년"</f>
        <v xml:space="preserve">  2028년</v>
      </c>
      <c r="C31" s="683"/>
      <c r="D31" s="683"/>
      <c r="E31" s="683"/>
      <c r="F31" s="683"/>
      <c r="G31" s="683"/>
      <c r="H31" s="683"/>
      <c r="I31" s="683"/>
      <c r="J31" s="683"/>
      <c r="K31" s="683"/>
      <c r="L31" s="683"/>
      <c r="M31" s="683"/>
      <c r="N31" s="683"/>
      <c r="O31" s="683"/>
      <c r="P31" s="683"/>
    </row>
    <row r="32" spans="2:16" ht="15.75" customHeight="1">
      <c r="B32" s="684" t="s">
        <v>681</v>
      </c>
      <c r="C32" s="106" t="s">
        <v>684</v>
      </c>
      <c r="D32" s="685" cm="1">
        <f t="array" ref="D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E32" s="685" cm="1">
        <f t="array" ref="E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F32" s="685" cm="1">
        <f t="array" ref="F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G32" s="685" cm="1">
        <f t="array" ref="G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H32" s="685" cm="1">
        <f t="array" ref="H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I32" s="685" cm="1">
        <f t="array" ref="I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J32" s="685" cm="1">
        <f t="array" ref="J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7.5</v>
      </c>
      <c r="K32" s="685" cm="1">
        <f t="array" ref="K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13.8</v>
      </c>
      <c r="L32" s="685" cm="1">
        <f t="array" ref="L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1.2</v>
      </c>
      <c r="M32" s="685" cm="1">
        <f t="array" ref="M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N32" s="685" cm="1">
        <f t="array" ref="N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O32" s="685" cm="1">
        <f t="array" ref="O32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P32" s="685">
        <f t="shared" ref="P32:P41" si="5">SUM(D32:O32)</f>
        <v>22.5</v>
      </c>
    </row>
    <row r="33" spans="2:16" ht="15.75" customHeight="1">
      <c r="B33" s="77" t="s">
        <v>682</v>
      </c>
      <c r="C33" s="78" t="s">
        <v>685</v>
      </c>
      <c r="D33" s="79" cm="1">
        <f t="array" ref="D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2.2999999999999998</v>
      </c>
      <c r="E33" s="79" cm="1">
        <f t="array" ref="E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1.3</v>
      </c>
      <c r="F33" s="79" cm="1">
        <f t="array" ref="F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G33" s="79" cm="1">
        <f t="array" ref="G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H33" s="79" cm="1">
        <f t="array" ref="H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I33" s="79" cm="1">
        <f t="array" ref="I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J33" s="79" cm="1">
        <f t="array" ref="J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K33" s="79" cm="1">
        <f t="array" ref="K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L33" s="79" cm="1">
        <f t="array" ref="L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M33" s="79" cm="1">
        <f t="array" ref="M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N33" s="79" cm="1">
        <f t="array" ref="N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O33" s="79" cm="1">
        <f t="array" ref="O33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1.4</v>
      </c>
      <c r="P33" s="79">
        <f t="shared" si="5"/>
        <v>5</v>
      </c>
    </row>
    <row r="34" spans="2:16" ht="15.75" customHeight="1">
      <c r="B34" s="727" t="s">
        <v>631</v>
      </c>
      <c r="C34" s="728" t="s">
        <v>686</v>
      </c>
      <c r="D34" s="729" cm="1">
        <f t="array" ref="D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E34" s="729" cm="1">
        <f t="array" ref="E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F34" s="729" cm="1">
        <f t="array" ref="F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G34" s="729" cm="1">
        <f t="array" ref="G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H34" s="729" cm="1">
        <f t="array" ref="H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I34" s="729" cm="1">
        <f t="array" ref="I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J34" s="729" cm="1">
        <f t="array" ref="J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K34" s="729" cm="1">
        <f t="array" ref="K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L34" s="729" cm="1">
        <f t="array" ref="L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M34" s="729" cm="1">
        <f t="array" ref="M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N34" s="729" cm="1">
        <f t="array" ref="N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O34" s="729" cm="1">
        <f t="array" ref="O34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P34" s="729">
        <f t="shared" si="5"/>
        <v>0</v>
      </c>
    </row>
    <row r="35" spans="2:16" ht="15.75" customHeight="1">
      <c r="B35" s="80" t="s">
        <v>683</v>
      </c>
      <c r="C35" s="81" t="s">
        <v>713</v>
      </c>
      <c r="D35" s="82" cm="1">
        <f t="array" ref="D35">IFERROR($N$10*INDEX('부록5 기상데이터'!$E$150:$P$152,MATCH('1. 기본정보'!$C$11,'부록5 기상데이터'!$C$150:$C$152,0),COLUMN()-3),0)</f>
        <v>0</v>
      </c>
      <c r="E35" s="82" cm="1">
        <f t="array" ref="E35">IFERROR($N$10*INDEX('부록5 기상데이터'!$E$150:$P$152,MATCH('1. 기본정보'!$C$11,'부록5 기상데이터'!$C$150:$C$152,0),COLUMN()-3),0)</f>
        <v>0</v>
      </c>
      <c r="F35" s="82" cm="1">
        <f t="array" ref="F35">IFERROR($N$10*INDEX('부록5 기상데이터'!$E$150:$P$152,MATCH('1. 기본정보'!$C$11,'부록5 기상데이터'!$C$150:$C$152,0),COLUMN()-3),0)</f>
        <v>0</v>
      </c>
      <c r="G35" s="82" cm="1">
        <f t="array" ref="G35">IFERROR($N$10*INDEX('부록5 기상데이터'!$E$150:$P$152,MATCH('1. 기본정보'!$C$11,'부록5 기상데이터'!$C$150:$C$152,0),COLUMN()-3),0)</f>
        <v>0</v>
      </c>
      <c r="H35" s="82" cm="1">
        <f t="array" ref="H35">IFERROR($N$10*INDEX('부록5 기상데이터'!$E$150:$P$152,MATCH('1. 기본정보'!$C$11,'부록5 기상데이터'!$C$150:$C$152,0),COLUMN()-3),0)</f>
        <v>0</v>
      </c>
      <c r="I35" s="82" cm="1">
        <f t="array" ref="I35">IFERROR($N$10*INDEX('부록5 기상데이터'!$E$150:$P$152,MATCH('1. 기본정보'!$C$11,'부록5 기상데이터'!$C$150:$C$152,0),COLUMN()-3),0)</f>
        <v>0</v>
      </c>
      <c r="J35" s="82" cm="1">
        <f t="array" ref="J35">IFERROR($N$10*INDEX('부록5 기상데이터'!$E$150:$P$152,MATCH('1. 기본정보'!$C$11,'부록5 기상데이터'!$C$150:$C$152,0),COLUMN()-3),0)</f>
        <v>0</v>
      </c>
      <c r="K35" s="82" cm="1">
        <f t="array" ref="K35">IFERROR($N$10*INDEX('부록5 기상데이터'!$E$150:$P$152,MATCH('1. 기본정보'!$C$11,'부록5 기상데이터'!$C$150:$C$152,0),COLUMN()-3),0)</f>
        <v>0</v>
      </c>
      <c r="L35" s="82" cm="1">
        <f t="array" ref="L35">IFERROR($N$10*INDEX('부록5 기상데이터'!$E$150:$P$152,MATCH('1. 기본정보'!$C$11,'부록5 기상데이터'!$C$150:$C$152,0),COLUMN()-3),0)</f>
        <v>0</v>
      </c>
      <c r="M35" s="82" cm="1">
        <f t="array" ref="M35">IFERROR($N$10*INDEX('부록5 기상데이터'!$E$150:$P$152,MATCH('1. 기본정보'!$C$11,'부록5 기상데이터'!$C$150:$C$152,0),COLUMN()-3),0)</f>
        <v>0</v>
      </c>
      <c r="N35" s="82" cm="1">
        <f t="array" ref="N35">IFERROR($N$10*INDEX('부록5 기상데이터'!$E$150:$P$152,MATCH('1. 기본정보'!$C$11,'부록5 기상데이터'!$C$150:$C$152,0),COLUMN()-3),0)</f>
        <v>0</v>
      </c>
      <c r="O35" s="82" cm="1">
        <f t="array" ref="O35">IFERROR($N$10*INDEX('부록5 기상데이터'!$E$150:$P$152,MATCH('1. 기본정보'!$C$11,'부록5 기상데이터'!$C$150:$C$152,0),COLUMN()-3),0)</f>
        <v>0</v>
      </c>
      <c r="P35" s="82">
        <f t="shared" si="5"/>
        <v>0</v>
      </c>
    </row>
    <row r="36" spans="2:16" ht="18" customHeight="1">
      <c r="B36" s="688" t="s">
        <v>714</v>
      </c>
      <c r="C36" s="689" t="s">
        <v>715</v>
      </c>
      <c r="D36" s="686">
        <f t="shared" ref="D36:O36" si="6">SUM(D32:D35)</f>
        <v>2.2999999999999998</v>
      </c>
      <c r="E36" s="686">
        <f t="shared" si="6"/>
        <v>1.3</v>
      </c>
      <c r="F36" s="686">
        <f t="shared" si="6"/>
        <v>0</v>
      </c>
      <c r="G36" s="686">
        <f t="shared" si="6"/>
        <v>0</v>
      </c>
      <c r="H36" s="686">
        <f t="shared" si="6"/>
        <v>0</v>
      </c>
      <c r="I36" s="686">
        <f t="shared" si="6"/>
        <v>0</v>
      </c>
      <c r="J36" s="686">
        <f t="shared" si="6"/>
        <v>7.5</v>
      </c>
      <c r="K36" s="686">
        <f t="shared" si="6"/>
        <v>13.8</v>
      </c>
      <c r="L36" s="686">
        <f t="shared" si="6"/>
        <v>1.2</v>
      </c>
      <c r="M36" s="686">
        <f t="shared" si="6"/>
        <v>0</v>
      </c>
      <c r="N36" s="686">
        <f t="shared" si="6"/>
        <v>0</v>
      </c>
      <c r="O36" s="686">
        <f t="shared" si="6"/>
        <v>1.4</v>
      </c>
      <c r="P36" s="687">
        <f t="shared" si="5"/>
        <v>27.499999999999996</v>
      </c>
    </row>
    <row r="37" spans="2:16" ht="18" customHeight="1">
      <c r="B37" s="688" t="s">
        <v>716</v>
      </c>
      <c r="C37" s="689" t="str">
        <f>"부록1 · "&amp;($C$7+1)&amp;"년"</f>
        <v>부록1 · 2028년</v>
      </c>
      <c r="D37" s="690" cm="1">
        <f t="array" ref="D37">IFERROR(INDEX('부록2 법정공휴일'!$C$3:$N$17,MATCH($C$7+1,'부록2 법정공휴일'!$B$3:$B$17,0),COLUMN()-3),0)</f>
        <v>9</v>
      </c>
      <c r="E37" s="690" cm="1">
        <f t="array" ref="E37">IFERROR(INDEX('부록2 법정공휴일'!$C$3:$N$17,MATCH($C$7+1,'부록2 법정공휴일'!$B$3:$B$17,0),COLUMN()-3),0)</f>
        <v>4</v>
      </c>
      <c r="F37" s="690" cm="1">
        <f t="array" ref="F37">IFERROR(INDEX('부록2 법정공휴일'!$C$3:$N$17,MATCH($C$7+1,'부록2 법정공휴일'!$B$3:$B$17,0),COLUMN()-3),0)</f>
        <v>5</v>
      </c>
      <c r="G37" s="690" cm="1">
        <f t="array" ref="G37">IFERROR(INDEX('부록2 법정공휴일'!$C$3:$N$17,MATCH($C$7+1,'부록2 법정공휴일'!$B$3:$B$17,0),COLUMN()-3),0)</f>
        <v>5</v>
      </c>
      <c r="H37" s="690" cm="1">
        <f t="array" ref="H37">IFERROR(INDEX('부록2 법정공휴일'!$C$3:$N$17,MATCH($C$7+1,'부록2 법정공휴일'!$B$3:$B$17,0),COLUMN()-3),0)</f>
        <v>6</v>
      </c>
      <c r="I37" s="690" cm="1">
        <f t="array" ref="I37">IFERROR(INDEX('부록2 법정공휴일'!$C$3:$N$17,MATCH($C$7+1,'부록2 법정공휴일'!$B$3:$B$17,0),COLUMN()-3),0)</f>
        <v>5</v>
      </c>
      <c r="J37" s="690" cm="1">
        <f t="array" ref="J37">IFERROR(INDEX('부록2 법정공휴일'!$C$3:$N$17,MATCH($C$7+1,'부록2 법정공휴일'!$B$3:$B$17,0),COLUMN()-3),0)</f>
        <v>5</v>
      </c>
      <c r="K37" s="690" cm="1">
        <f t="array" ref="K37">IFERROR(INDEX('부록2 법정공휴일'!$C$3:$N$17,MATCH($C$7+1,'부록2 법정공휴일'!$B$3:$B$17,0),COLUMN()-3),0)</f>
        <v>5</v>
      </c>
      <c r="L37" s="690" cm="1">
        <f t="array" ref="L37">IFERROR(INDEX('부록2 법정공휴일'!$C$3:$N$17,MATCH($C$7+1,'부록2 법정공휴일'!$B$3:$B$17,0),COLUMN()-3),0)</f>
        <v>4</v>
      </c>
      <c r="M37" s="690" cm="1">
        <f t="array" ref="M37">IFERROR(INDEX('부록2 법정공휴일'!$C$3:$N$17,MATCH($C$7+1,'부록2 법정공휴일'!$B$3:$B$17,0),COLUMN()-3),0)</f>
        <v>10</v>
      </c>
      <c r="N37" s="690" cm="1">
        <f t="array" ref="N37">IFERROR(INDEX('부록2 법정공휴일'!$C$3:$N$17,MATCH($C$7+1,'부록2 법정공휴일'!$B$3:$B$17,0),COLUMN()-3),0)</f>
        <v>4</v>
      </c>
      <c r="O37" s="690" cm="1">
        <f t="array" ref="O37">IFERROR(INDEX('부록2 법정공휴일'!$C$3:$N$17,MATCH($C$7+1,'부록2 법정공휴일'!$B$3:$B$17,0),COLUMN()-3),0)</f>
        <v>6</v>
      </c>
      <c r="P37" s="691">
        <f t="shared" si="5"/>
        <v>68</v>
      </c>
    </row>
    <row r="38" spans="2:16" ht="15.75" customHeight="1">
      <c r="B38" s="83" t="s">
        <v>717</v>
      </c>
      <c r="C38" s="84" t="s">
        <v>718</v>
      </c>
      <c r="D38" s="83">
        <f t="shared" ref="D38:O38" si="7">ROUND(D37*D36/DAY(EOMONTH(DATE(2027,COLUMN()-COLUMN($D38)+1,1),0)),0)</f>
        <v>1</v>
      </c>
      <c r="E38" s="83">
        <f t="shared" si="7"/>
        <v>0</v>
      </c>
      <c r="F38" s="83">
        <f t="shared" si="7"/>
        <v>0</v>
      </c>
      <c r="G38" s="83">
        <f t="shared" si="7"/>
        <v>0</v>
      </c>
      <c r="H38" s="83">
        <f t="shared" si="7"/>
        <v>0</v>
      </c>
      <c r="I38" s="83">
        <f t="shared" si="7"/>
        <v>0</v>
      </c>
      <c r="J38" s="83">
        <f t="shared" si="7"/>
        <v>1</v>
      </c>
      <c r="K38" s="83">
        <f t="shared" si="7"/>
        <v>2</v>
      </c>
      <c r="L38" s="83">
        <f t="shared" si="7"/>
        <v>0</v>
      </c>
      <c r="M38" s="83">
        <f t="shared" si="7"/>
        <v>0</v>
      </c>
      <c r="N38" s="83">
        <f t="shared" si="7"/>
        <v>0</v>
      </c>
      <c r="O38" s="83">
        <f t="shared" si="7"/>
        <v>0</v>
      </c>
      <c r="P38" s="85">
        <f t="shared" si="5"/>
        <v>4</v>
      </c>
    </row>
    <row r="39" spans="2:16" ht="15.75" customHeight="1">
      <c r="B39" s="86" t="s">
        <v>719</v>
      </c>
      <c r="C39" s="78" t="s">
        <v>720</v>
      </c>
      <c r="D39" s="79">
        <f t="shared" ref="D39:O39" si="8">D36+D37-D38</f>
        <v>10.3</v>
      </c>
      <c r="E39" s="79">
        <f t="shared" si="8"/>
        <v>5.3</v>
      </c>
      <c r="F39" s="79">
        <f t="shared" si="8"/>
        <v>5</v>
      </c>
      <c r="G39" s="79">
        <f t="shared" si="8"/>
        <v>5</v>
      </c>
      <c r="H39" s="79">
        <f t="shared" si="8"/>
        <v>6</v>
      </c>
      <c r="I39" s="79">
        <f t="shared" si="8"/>
        <v>5</v>
      </c>
      <c r="J39" s="79">
        <f t="shared" si="8"/>
        <v>11.5</v>
      </c>
      <c r="K39" s="79">
        <f t="shared" si="8"/>
        <v>16.8</v>
      </c>
      <c r="L39" s="79">
        <f t="shared" si="8"/>
        <v>5.2</v>
      </c>
      <c r="M39" s="79">
        <f t="shared" si="8"/>
        <v>10</v>
      </c>
      <c r="N39" s="79">
        <f t="shared" si="8"/>
        <v>4</v>
      </c>
      <c r="O39" s="79">
        <f t="shared" si="8"/>
        <v>7.4</v>
      </c>
      <c r="P39" s="87">
        <f t="shared" si="5"/>
        <v>91.500000000000014</v>
      </c>
    </row>
    <row r="40" spans="2:16" ht="13.5" customHeight="1" thickBot="1">
      <c r="B40" s="88" t="s">
        <v>721</v>
      </c>
      <c r="C40" s="89" t="s">
        <v>722</v>
      </c>
      <c r="D40" s="88">
        <f>8</f>
        <v>8</v>
      </c>
      <c r="E40" s="88">
        <f>8</f>
        <v>8</v>
      </c>
      <c r="F40" s="88">
        <f>8</f>
        <v>8</v>
      </c>
      <c r="G40" s="88">
        <f>8</f>
        <v>8</v>
      </c>
      <c r="H40" s="88">
        <f>8</f>
        <v>8</v>
      </c>
      <c r="I40" s="88">
        <f>8</f>
        <v>8</v>
      </c>
      <c r="J40" s="88">
        <f>8</f>
        <v>8</v>
      </c>
      <c r="K40" s="88">
        <f>8</f>
        <v>8</v>
      </c>
      <c r="L40" s="88">
        <f>8</f>
        <v>8</v>
      </c>
      <c r="M40" s="88">
        <f>8</f>
        <v>8</v>
      </c>
      <c r="N40" s="88">
        <f>8</f>
        <v>8</v>
      </c>
      <c r="O40" s="88">
        <f>8</f>
        <v>8</v>
      </c>
      <c r="P40" s="90">
        <f t="shared" si="5"/>
        <v>96</v>
      </c>
    </row>
    <row r="41" spans="2:16" ht="21.75" customHeight="1" thickBot="1">
      <c r="B41" s="730" t="s">
        <v>723</v>
      </c>
      <c r="C41" s="731" t="s">
        <v>724</v>
      </c>
      <c r="D41" s="732">
        <f t="shared" ref="D41:O41" si="9">MAX(D39,D40)</f>
        <v>10.3</v>
      </c>
      <c r="E41" s="732">
        <f t="shared" si="9"/>
        <v>8</v>
      </c>
      <c r="F41" s="732">
        <f t="shared" si="9"/>
        <v>8</v>
      </c>
      <c r="G41" s="732">
        <f t="shared" si="9"/>
        <v>8</v>
      </c>
      <c r="H41" s="732">
        <f t="shared" si="9"/>
        <v>8</v>
      </c>
      <c r="I41" s="732">
        <f t="shared" si="9"/>
        <v>8</v>
      </c>
      <c r="J41" s="732">
        <f t="shared" si="9"/>
        <v>11.5</v>
      </c>
      <c r="K41" s="732">
        <f t="shared" si="9"/>
        <v>16.8</v>
      </c>
      <c r="L41" s="732">
        <f t="shared" si="9"/>
        <v>8</v>
      </c>
      <c r="M41" s="732">
        <f t="shared" si="9"/>
        <v>10</v>
      </c>
      <c r="N41" s="732">
        <f t="shared" si="9"/>
        <v>8</v>
      </c>
      <c r="O41" s="732">
        <f t="shared" si="9"/>
        <v>8</v>
      </c>
      <c r="P41" s="733">
        <f t="shared" si="5"/>
        <v>112.6</v>
      </c>
    </row>
    <row r="42" spans="2:16" ht="3.75" customHeight="1"/>
    <row r="43" spans="2:16" ht="19.5" customHeight="1">
      <c r="B43" s="683" t="str">
        <f>"  "&amp;($C$7+2)&amp;"년"</f>
        <v xml:space="preserve">  2029년</v>
      </c>
      <c r="C43" s="683"/>
      <c r="D43" s="683"/>
      <c r="E43" s="683"/>
      <c r="F43" s="683"/>
      <c r="G43" s="683"/>
      <c r="H43" s="683"/>
      <c r="I43" s="683"/>
      <c r="J43" s="683"/>
      <c r="K43" s="683"/>
      <c r="L43" s="683"/>
      <c r="M43" s="683"/>
      <c r="N43" s="683"/>
      <c r="O43" s="683"/>
      <c r="P43" s="683"/>
    </row>
    <row r="44" spans="2:16" ht="15.75" customHeight="1">
      <c r="B44" s="684" t="s">
        <v>681</v>
      </c>
      <c r="C44" s="106" t="s">
        <v>684</v>
      </c>
      <c r="D44" s="685" cm="1">
        <f t="array" ref="D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E44" s="685" cm="1">
        <f t="array" ref="E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F44" s="685" cm="1">
        <f t="array" ref="F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G44" s="685" cm="1">
        <f t="array" ref="G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H44" s="685" cm="1">
        <f t="array" ref="H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I44" s="685" cm="1">
        <f t="array" ref="I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J44" s="685" cm="1">
        <f t="array" ref="J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7.5</v>
      </c>
      <c r="K44" s="685" cm="1">
        <f t="array" ref="K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13.8</v>
      </c>
      <c r="L44" s="685" cm="1">
        <f t="array" ref="L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1.2</v>
      </c>
      <c r="M44" s="685" cm="1">
        <f t="array" ref="M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N44" s="685" cm="1">
        <f t="array" ref="N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O44" s="685" cm="1">
        <f t="array" ref="O44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P44" s="685">
        <f t="shared" ref="P44:P53" si="10">SUM(D44:O44)</f>
        <v>22.5</v>
      </c>
    </row>
    <row r="45" spans="2:16" ht="15.75" customHeight="1">
      <c r="B45" s="77" t="s">
        <v>682</v>
      </c>
      <c r="C45" s="78" t="s">
        <v>685</v>
      </c>
      <c r="D45" s="79" cm="1">
        <f t="array" ref="D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2.2999999999999998</v>
      </c>
      <c r="E45" s="79" cm="1">
        <f t="array" ref="E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1.3</v>
      </c>
      <c r="F45" s="79" cm="1">
        <f t="array" ref="F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G45" s="79" cm="1">
        <f t="array" ref="G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H45" s="79" cm="1">
        <f t="array" ref="H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I45" s="79" cm="1">
        <f t="array" ref="I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J45" s="79" cm="1">
        <f t="array" ref="J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K45" s="79" cm="1">
        <f t="array" ref="K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L45" s="79" cm="1">
        <f t="array" ref="L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M45" s="79" cm="1">
        <f t="array" ref="M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N45" s="79" cm="1">
        <f t="array" ref="N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O45" s="79" cm="1">
        <f t="array" ref="O45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1.4</v>
      </c>
      <c r="P45" s="79">
        <f t="shared" si="10"/>
        <v>5</v>
      </c>
    </row>
    <row r="46" spans="2:16" ht="15.75" customHeight="1">
      <c r="B46" s="727" t="s">
        <v>631</v>
      </c>
      <c r="C46" s="728" t="s">
        <v>686</v>
      </c>
      <c r="D46" s="729" cm="1">
        <f t="array" ref="D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E46" s="729" cm="1">
        <f t="array" ref="E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F46" s="729" cm="1">
        <f t="array" ref="F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G46" s="729" cm="1">
        <f t="array" ref="G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H46" s="729" cm="1">
        <f t="array" ref="H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I46" s="729" cm="1">
        <f t="array" ref="I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J46" s="729" cm="1">
        <f t="array" ref="J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K46" s="729" cm="1">
        <f t="array" ref="K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L46" s="729" cm="1">
        <f t="array" ref="L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M46" s="729" cm="1">
        <f t="array" ref="M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N46" s="729" cm="1">
        <f t="array" ref="N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O46" s="729" cm="1">
        <f t="array" ref="O46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P46" s="729">
        <f t="shared" si="10"/>
        <v>0</v>
      </c>
    </row>
    <row r="47" spans="2:16" ht="15.75" customHeight="1">
      <c r="B47" s="80" t="s">
        <v>683</v>
      </c>
      <c r="C47" s="81" t="s">
        <v>713</v>
      </c>
      <c r="D47" s="82" cm="1">
        <f t="array" ref="D47">IFERROR($N$10*INDEX('부록5 기상데이터'!$E$150:$P$152,MATCH('1. 기본정보'!$C$11,'부록5 기상데이터'!$C$150:$C$152,0),COLUMN()-3),0)</f>
        <v>0</v>
      </c>
      <c r="E47" s="82" cm="1">
        <f t="array" ref="E47">IFERROR($N$10*INDEX('부록5 기상데이터'!$E$150:$P$152,MATCH('1. 기본정보'!$C$11,'부록5 기상데이터'!$C$150:$C$152,0),COLUMN()-3),0)</f>
        <v>0</v>
      </c>
      <c r="F47" s="82" cm="1">
        <f t="array" ref="F47">IFERROR($N$10*INDEX('부록5 기상데이터'!$E$150:$P$152,MATCH('1. 기본정보'!$C$11,'부록5 기상데이터'!$C$150:$C$152,0),COLUMN()-3),0)</f>
        <v>0</v>
      </c>
      <c r="G47" s="82" cm="1">
        <f t="array" ref="G47">IFERROR($N$10*INDEX('부록5 기상데이터'!$E$150:$P$152,MATCH('1. 기본정보'!$C$11,'부록5 기상데이터'!$C$150:$C$152,0),COLUMN()-3),0)</f>
        <v>0</v>
      </c>
      <c r="H47" s="82" cm="1">
        <f t="array" ref="H47">IFERROR($N$10*INDEX('부록5 기상데이터'!$E$150:$P$152,MATCH('1. 기본정보'!$C$11,'부록5 기상데이터'!$C$150:$C$152,0),COLUMN()-3),0)</f>
        <v>0</v>
      </c>
      <c r="I47" s="82" cm="1">
        <f t="array" ref="I47">IFERROR($N$10*INDEX('부록5 기상데이터'!$E$150:$P$152,MATCH('1. 기본정보'!$C$11,'부록5 기상데이터'!$C$150:$C$152,0),COLUMN()-3),0)</f>
        <v>0</v>
      </c>
      <c r="J47" s="82" cm="1">
        <f t="array" ref="J47">IFERROR($N$10*INDEX('부록5 기상데이터'!$E$150:$P$152,MATCH('1. 기본정보'!$C$11,'부록5 기상데이터'!$C$150:$C$152,0),COLUMN()-3),0)</f>
        <v>0</v>
      </c>
      <c r="K47" s="82" cm="1">
        <f t="array" ref="K47">IFERROR($N$10*INDEX('부록5 기상데이터'!$E$150:$P$152,MATCH('1. 기본정보'!$C$11,'부록5 기상데이터'!$C$150:$C$152,0),COLUMN()-3),0)</f>
        <v>0</v>
      </c>
      <c r="L47" s="82" cm="1">
        <f t="array" ref="L47">IFERROR($N$10*INDEX('부록5 기상데이터'!$E$150:$P$152,MATCH('1. 기본정보'!$C$11,'부록5 기상데이터'!$C$150:$C$152,0),COLUMN()-3),0)</f>
        <v>0</v>
      </c>
      <c r="M47" s="82" cm="1">
        <f t="array" ref="M47">IFERROR($N$10*INDEX('부록5 기상데이터'!$E$150:$P$152,MATCH('1. 기본정보'!$C$11,'부록5 기상데이터'!$C$150:$C$152,0),COLUMN()-3),0)</f>
        <v>0</v>
      </c>
      <c r="N47" s="82" cm="1">
        <f t="array" ref="N47">IFERROR($N$10*INDEX('부록5 기상데이터'!$E$150:$P$152,MATCH('1. 기본정보'!$C$11,'부록5 기상데이터'!$C$150:$C$152,0),COLUMN()-3),0)</f>
        <v>0</v>
      </c>
      <c r="O47" s="82" cm="1">
        <f t="array" ref="O47">IFERROR($N$10*INDEX('부록5 기상데이터'!$E$150:$P$152,MATCH('1. 기본정보'!$C$11,'부록5 기상데이터'!$C$150:$C$152,0),COLUMN()-3),0)</f>
        <v>0</v>
      </c>
      <c r="P47" s="82">
        <f t="shared" si="10"/>
        <v>0</v>
      </c>
    </row>
    <row r="48" spans="2:16" ht="18" customHeight="1">
      <c r="B48" s="688" t="s">
        <v>714</v>
      </c>
      <c r="C48" s="689" t="s">
        <v>715</v>
      </c>
      <c r="D48" s="686">
        <f t="shared" ref="D48:O48" si="11">SUM(D44:D47)</f>
        <v>2.2999999999999998</v>
      </c>
      <c r="E48" s="686">
        <f t="shared" si="11"/>
        <v>1.3</v>
      </c>
      <c r="F48" s="686">
        <f t="shared" si="11"/>
        <v>0</v>
      </c>
      <c r="G48" s="686">
        <f t="shared" si="11"/>
        <v>0</v>
      </c>
      <c r="H48" s="686">
        <f t="shared" si="11"/>
        <v>0</v>
      </c>
      <c r="I48" s="686">
        <f t="shared" si="11"/>
        <v>0</v>
      </c>
      <c r="J48" s="686">
        <f t="shared" si="11"/>
        <v>7.5</v>
      </c>
      <c r="K48" s="686">
        <f t="shared" si="11"/>
        <v>13.8</v>
      </c>
      <c r="L48" s="686">
        <f t="shared" si="11"/>
        <v>1.2</v>
      </c>
      <c r="M48" s="686">
        <f t="shared" si="11"/>
        <v>0</v>
      </c>
      <c r="N48" s="686">
        <f t="shared" si="11"/>
        <v>0</v>
      </c>
      <c r="O48" s="686">
        <f t="shared" si="11"/>
        <v>1.4</v>
      </c>
      <c r="P48" s="687">
        <f t="shared" si="10"/>
        <v>27.499999999999996</v>
      </c>
    </row>
    <row r="49" spans="2:16" ht="18" customHeight="1">
      <c r="B49" s="688" t="s">
        <v>716</v>
      </c>
      <c r="C49" s="689" t="str">
        <f>"부록1 · "&amp;($C$7+2)&amp;"년"</f>
        <v>부록1 · 2029년</v>
      </c>
      <c r="D49" s="690" cm="1">
        <f t="array" ref="D49">IFERROR(INDEX('부록2 법정공휴일'!$C$3:$N$17,MATCH($C$7+2,'부록2 법정공휴일'!$B$3:$B$17,0),COLUMN()-3),0)</f>
        <v>5</v>
      </c>
      <c r="E49" s="690" cm="1">
        <f t="array" ref="E49">IFERROR(INDEX('부록2 법정공휴일'!$C$3:$N$17,MATCH($C$7+2,'부록2 법정공휴일'!$B$3:$B$17,0),COLUMN()-3),0)</f>
        <v>7</v>
      </c>
      <c r="F49" s="690" cm="1">
        <f t="array" ref="F49">IFERROR(INDEX('부록2 법정공휴일'!$C$3:$N$17,MATCH($C$7+2,'부록2 법정공휴일'!$B$3:$B$17,0),COLUMN()-3),0)</f>
        <v>5</v>
      </c>
      <c r="G49" s="690" cm="1">
        <f t="array" ref="G49">IFERROR(INDEX('부록2 법정공휴일'!$C$3:$N$17,MATCH($C$7+2,'부록2 법정공휴일'!$B$3:$B$17,0),COLUMN()-3),0)</f>
        <v>5</v>
      </c>
      <c r="H49" s="690" cm="1">
        <f t="array" ref="H49">IFERROR(INDEX('부록2 법정공휴일'!$C$3:$N$17,MATCH($C$7+2,'부록2 법정공휴일'!$B$3:$B$17,0),COLUMN()-3),0)</f>
        <v>7</v>
      </c>
      <c r="I49" s="690" cm="1">
        <f t="array" ref="I49">IFERROR(INDEX('부록2 법정공휴일'!$C$3:$N$17,MATCH($C$7+2,'부록2 법정공휴일'!$B$3:$B$17,0),COLUMN()-3),0)</f>
        <v>5</v>
      </c>
      <c r="J49" s="690" cm="1">
        <f t="array" ref="J49">IFERROR(INDEX('부록2 법정공휴일'!$C$3:$N$17,MATCH($C$7+2,'부록2 법정공휴일'!$B$3:$B$17,0),COLUMN()-3),0)</f>
        <v>5</v>
      </c>
      <c r="K49" s="690" cm="1">
        <f t="array" ref="K49">IFERROR(INDEX('부록2 법정공휴일'!$C$3:$N$17,MATCH($C$7+2,'부록2 법정공휴일'!$B$3:$B$17,0),COLUMN()-3),0)</f>
        <v>5</v>
      </c>
      <c r="L49" s="690" cm="1">
        <f t="array" ref="L49">IFERROR(INDEX('부록2 법정공휴일'!$C$3:$N$17,MATCH($C$7+2,'부록2 법정공휴일'!$B$3:$B$17,0),COLUMN()-3),0)</f>
        <v>8</v>
      </c>
      <c r="M49" s="690" cm="1">
        <f t="array" ref="M49">IFERROR(INDEX('부록2 법정공휴일'!$C$3:$N$17,MATCH($C$7+2,'부록2 법정공휴일'!$B$3:$B$17,0),COLUMN()-3),0)</f>
        <v>6</v>
      </c>
      <c r="N49" s="690" cm="1">
        <f t="array" ref="N49">IFERROR(INDEX('부록2 법정공휴일'!$C$3:$N$17,MATCH($C$7+2,'부록2 법정공휴일'!$B$3:$B$17,0),COLUMN()-3),0)</f>
        <v>4</v>
      </c>
      <c r="O49" s="690" cm="1">
        <f t="array" ref="O49">IFERROR(INDEX('부록2 법정공휴일'!$C$3:$N$17,MATCH($C$7+2,'부록2 법정공휴일'!$B$3:$B$17,0),COLUMN()-3),0)</f>
        <v>6</v>
      </c>
      <c r="P49" s="691">
        <f t="shared" si="10"/>
        <v>68</v>
      </c>
    </row>
    <row r="50" spans="2:16" ht="15.75" customHeight="1">
      <c r="B50" s="83" t="s">
        <v>717</v>
      </c>
      <c r="C50" s="84" t="s">
        <v>718</v>
      </c>
      <c r="D50" s="83">
        <f t="shared" ref="D50:O50" si="12">ROUND(D49*D48/DAY(EOMONTH(DATE(2028,COLUMN()-COLUMN($D50)+1,1),0)),0)</f>
        <v>0</v>
      </c>
      <c r="E50" s="83">
        <f t="shared" si="12"/>
        <v>0</v>
      </c>
      <c r="F50" s="83">
        <f t="shared" si="12"/>
        <v>0</v>
      </c>
      <c r="G50" s="83">
        <f t="shared" si="12"/>
        <v>0</v>
      </c>
      <c r="H50" s="83">
        <f t="shared" si="12"/>
        <v>0</v>
      </c>
      <c r="I50" s="83">
        <f t="shared" si="12"/>
        <v>0</v>
      </c>
      <c r="J50" s="83">
        <f t="shared" si="12"/>
        <v>1</v>
      </c>
      <c r="K50" s="83">
        <f t="shared" si="12"/>
        <v>2</v>
      </c>
      <c r="L50" s="83">
        <f t="shared" si="12"/>
        <v>0</v>
      </c>
      <c r="M50" s="83">
        <f t="shared" si="12"/>
        <v>0</v>
      </c>
      <c r="N50" s="83">
        <f t="shared" si="12"/>
        <v>0</v>
      </c>
      <c r="O50" s="83">
        <f t="shared" si="12"/>
        <v>0</v>
      </c>
      <c r="P50" s="85">
        <f t="shared" si="10"/>
        <v>3</v>
      </c>
    </row>
    <row r="51" spans="2:16" ht="15.75" customHeight="1">
      <c r="B51" s="86" t="s">
        <v>719</v>
      </c>
      <c r="C51" s="78" t="s">
        <v>720</v>
      </c>
      <c r="D51" s="79">
        <f t="shared" ref="D51:O51" si="13">D48+D49-D50</f>
        <v>7.3</v>
      </c>
      <c r="E51" s="79">
        <f t="shared" si="13"/>
        <v>8.3000000000000007</v>
      </c>
      <c r="F51" s="79">
        <f t="shared" si="13"/>
        <v>5</v>
      </c>
      <c r="G51" s="79">
        <f t="shared" si="13"/>
        <v>5</v>
      </c>
      <c r="H51" s="79">
        <f t="shared" si="13"/>
        <v>7</v>
      </c>
      <c r="I51" s="79">
        <f t="shared" si="13"/>
        <v>5</v>
      </c>
      <c r="J51" s="79">
        <f t="shared" si="13"/>
        <v>11.5</v>
      </c>
      <c r="K51" s="79">
        <f t="shared" si="13"/>
        <v>16.8</v>
      </c>
      <c r="L51" s="79">
        <f t="shared" si="13"/>
        <v>9.1999999999999993</v>
      </c>
      <c r="M51" s="79">
        <f t="shared" si="13"/>
        <v>6</v>
      </c>
      <c r="N51" s="79">
        <f t="shared" si="13"/>
        <v>4</v>
      </c>
      <c r="O51" s="79">
        <f t="shared" si="13"/>
        <v>7.4</v>
      </c>
      <c r="P51" s="87">
        <f t="shared" si="10"/>
        <v>92.500000000000014</v>
      </c>
    </row>
    <row r="52" spans="2:16" ht="13.5" customHeight="1" thickBot="1">
      <c r="B52" s="88" t="s">
        <v>721</v>
      </c>
      <c r="C52" s="89" t="s">
        <v>722</v>
      </c>
      <c r="D52" s="88">
        <f>8</f>
        <v>8</v>
      </c>
      <c r="E52" s="88">
        <f>8</f>
        <v>8</v>
      </c>
      <c r="F52" s="88">
        <f>8</f>
        <v>8</v>
      </c>
      <c r="G52" s="88">
        <f>8</f>
        <v>8</v>
      </c>
      <c r="H52" s="88">
        <f>8</f>
        <v>8</v>
      </c>
      <c r="I52" s="88">
        <f>8</f>
        <v>8</v>
      </c>
      <c r="J52" s="88">
        <f>8</f>
        <v>8</v>
      </c>
      <c r="K52" s="88">
        <f>8</f>
        <v>8</v>
      </c>
      <c r="L52" s="88">
        <f>8</f>
        <v>8</v>
      </c>
      <c r="M52" s="88">
        <f>8</f>
        <v>8</v>
      </c>
      <c r="N52" s="88">
        <f>8</f>
        <v>8</v>
      </c>
      <c r="O52" s="88">
        <f>8</f>
        <v>8</v>
      </c>
      <c r="P52" s="90">
        <f t="shared" si="10"/>
        <v>96</v>
      </c>
    </row>
    <row r="53" spans="2:16" ht="21.75" customHeight="1" thickBot="1">
      <c r="B53" s="730" t="s">
        <v>723</v>
      </c>
      <c r="C53" s="731" t="s">
        <v>724</v>
      </c>
      <c r="D53" s="732">
        <f t="shared" ref="D53:O53" si="14">MAX(D51,D52)</f>
        <v>8</v>
      </c>
      <c r="E53" s="732">
        <f t="shared" si="14"/>
        <v>8.3000000000000007</v>
      </c>
      <c r="F53" s="732">
        <f t="shared" si="14"/>
        <v>8</v>
      </c>
      <c r="G53" s="732">
        <f t="shared" si="14"/>
        <v>8</v>
      </c>
      <c r="H53" s="732">
        <f t="shared" si="14"/>
        <v>8</v>
      </c>
      <c r="I53" s="732">
        <f t="shared" si="14"/>
        <v>8</v>
      </c>
      <c r="J53" s="732">
        <f t="shared" si="14"/>
        <v>11.5</v>
      </c>
      <c r="K53" s="732">
        <f t="shared" si="14"/>
        <v>16.8</v>
      </c>
      <c r="L53" s="732">
        <f t="shared" si="14"/>
        <v>9.1999999999999993</v>
      </c>
      <c r="M53" s="732">
        <f t="shared" si="14"/>
        <v>8</v>
      </c>
      <c r="N53" s="732">
        <f t="shared" si="14"/>
        <v>8</v>
      </c>
      <c r="O53" s="732">
        <f t="shared" si="14"/>
        <v>8</v>
      </c>
      <c r="P53" s="733">
        <f t="shared" si="10"/>
        <v>109.8</v>
      </c>
    </row>
    <row r="54" spans="2:16" ht="3.75" customHeight="1"/>
    <row r="55" spans="2:16" ht="19.5" customHeight="1">
      <c r="B55" s="683" t="str">
        <f>"  "&amp;($C$7+3)&amp;"년"</f>
        <v xml:space="preserve">  2030년</v>
      </c>
      <c r="C55" s="683"/>
      <c r="D55" s="683"/>
      <c r="E55" s="683"/>
      <c r="F55" s="683"/>
      <c r="G55" s="683"/>
      <c r="H55" s="683"/>
      <c r="I55" s="683"/>
      <c r="J55" s="683"/>
      <c r="K55" s="683"/>
      <c r="L55" s="683"/>
      <c r="M55" s="683"/>
      <c r="N55" s="683"/>
      <c r="O55" s="683"/>
      <c r="P55" s="683"/>
    </row>
    <row r="56" spans="2:16" ht="15.75" customHeight="1">
      <c r="B56" s="684" t="s">
        <v>681</v>
      </c>
      <c r="C56" s="106" t="s">
        <v>684</v>
      </c>
      <c r="D56" s="685" cm="1">
        <f t="array" ref="D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E56" s="685" cm="1">
        <f t="array" ref="E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F56" s="685" cm="1">
        <f t="array" ref="F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G56" s="685" cm="1">
        <f t="array" ref="G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H56" s="685" cm="1">
        <f t="array" ref="H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I56" s="685" cm="1">
        <f t="array" ref="I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J56" s="685" cm="1">
        <f t="array" ref="J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7.5</v>
      </c>
      <c r="K56" s="685" cm="1">
        <f t="array" ref="K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13.8</v>
      </c>
      <c r="L56" s="685" cm="1">
        <f t="array" ref="L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1.2</v>
      </c>
      <c r="M56" s="685" cm="1">
        <f t="array" ref="M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N56" s="685" cm="1">
        <f t="array" ref="N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O56" s="685" cm="1">
        <f t="array" ref="O56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P56" s="685">
        <f t="shared" ref="P56:P65" si="15">SUM(D56:O56)</f>
        <v>22.5</v>
      </c>
    </row>
    <row r="57" spans="2:16" ht="15.75" customHeight="1">
      <c r="B57" s="77" t="s">
        <v>682</v>
      </c>
      <c r="C57" s="78" t="s">
        <v>685</v>
      </c>
      <c r="D57" s="79" cm="1">
        <f t="array" ref="D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2.2999999999999998</v>
      </c>
      <c r="E57" s="79" cm="1">
        <f t="array" ref="E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1.3</v>
      </c>
      <c r="F57" s="79" cm="1">
        <f t="array" ref="F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G57" s="79" cm="1">
        <f t="array" ref="G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H57" s="79" cm="1">
        <f t="array" ref="H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I57" s="79" cm="1">
        <f t="array" ref="I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J57" s="79" cm="1">
        <f t="array" ref="J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K57" s="79" cm="1">
        <f t="array" ref="K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L57" s="79" cm="1">
        <f t="array" ref="L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M57" s="79" cm="1">
        <f t="array" ref="M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N57" s="79" cm="1">
        <f t="array" ref="N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O57" s="79" cm="1">
        <f t="array" ref="O57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1.4</v>
      </c>
      <c r="P57" s="79">
        <f t="shared" si="15"/>
        <v>5</v>
      </c>
    </row>
    <row r="58" spans="2:16" ht="15.75" customHeight="1">
      <c r="B58" s="727" t="s">
        <v>631</v>
      </c>
      <c r="C58" s="728" t="s">
        <v>686</v>
      </c>
      <c r="D58" s="729" cm="1">
        <f t="array" ref="D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E58" s="729" cm="1">
        <f t="array" ref="E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F58" s="729" cm="1">
        <f t="array" ref="F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G58" s="729" cm="1">
        <f t="array" ref="G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H58" s="729" cm="1">
        <f t="array" ref="H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I58" s="729" cm="1">
        <f t="array" ref="I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J58" s="729" cm="1">
        <f t="array" ref="J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K58" s="729" cm="1">
        <f t="array" ref="K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L58" s="729" cm="1">
        <f t="array" ref="L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M58" s="729" cm="1">
        <f t="array" ref="M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N58" s="729" cm="1">
        <f t="array" ref="N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O58" s="729" cm="1">
        <f t="array" ref="O58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P58" s="729">
        <f t="shared" si="15"/>
        <v>0</v>
      </c>
    </row>
    <row r="59" spans="2:16" ht="15.75" customHeight="1">
      <c r="B59" s="80" t="s">
        <v>683</v>
      </c>
      <c r="C59" s="81" t="s">
        <v>713</v>
      </c>
      <c r="D59" s="82" cm="1">
        <f t="array" ref="D59">IFERROR($N$10*INDEX('부록5 기상데이터'!$E$150:$P$152,MATCH('1. 기본정보'!$C$11,'부록5 기상데이터'!$C$150:$C$152,0),COLUMN()-3),0)</f>
        <v>0</v>
      </c>
      <c r="E59" s="82" cm="1">
        <f t="array" ref="E59">IFERROR($N$10*INDEX('부록5 기상데이터'!$E$150:$P$152,MATCH('1. 기본정보'!$C$11,'부록5 기상데이터'!$C$150:$C$152,0),COLUMN()-3),0)</f>
        <v>0</v>
      </c>
      <c r="F59" s="82" cm="1">
        <f t="array" ref="F59">IFERROR($N$10*INDEX('부록5 기상데이터'!$E$150:$P$152,MATCH('1. 기본정보'!$C$11,'부록5 기상데이터'!$C$150:$C$152,0),COLUMN()-3),0)</f>
        <v>0</v>
      </c>
      <c r="G59" s="82" cm="1">
        <f t="array" ref="G59">IFERROR($N$10*INDEX('부록5 기상데이터'!$E$150:$P$152,MATCH('1. 기본정보'!$C$11,'부록5 기상데이터'!$C$150:$C$152,0),COLUMN()-3),0)</f>
        <v>0</v>
      </c>
      <c r="H59" s="82" cm="1">
        <f t="array" ref="H59">IFERROR($N$10*INDEX('부록5 기상데이터'!$E$150:$P$152,MATCH('1. 기본정보'!$C$11,'부록5 기상데이터'!$C$150:$C$152,0),COLUMN()-3),0)</f>
        <v>0</v>
      </c>
      <c r="I59" s="82" cm="1">
        <f t="array" ref="I59">IFERROR($N$10*INDEX('부록5 기상데이터'!$E$150:$P$152,MATCH('1. 기본정보'!$C$11,'부록5 기상데이터'!$C$150:$C$152,0),COLUMN()-3),0)</f>
        <v>0</v>
      </c>
      <c r="J59" s="82" cm="1">
        <f t="array" ref="J59">IFERROR($N$10*INDEX('부록5 기상데이터'!$E$150:$P$152,MATCH('1. 기본정보'!$C$11,'부록5 기상데이터'!$C$150:$C$152,0),COLUMN()-3),0)</f>
        <v>0</v>
      </c>
      <c r="K59" s="82" cm="1">
        <f t="array" ref="K59">IFERROR($N$10*INDEX('부록5 기상데이터'!$E$150:$P$152,MATCH('1. 기본정보'!$C$11,'부록5 기상데이터'!$C$150:$C$152,0),COLUMN()-3),0)</f>
        <v>0</v>
      </c>
      <c r="L59" s="82" cm="1">
        <f t="array" ref="L59">IFERROR($N$10*INDEX('부록5 기상데이터'!$E$150:$P$152,MATCH('1. 기본정보'!$C$11,'부록5 기상데이터'!$C$150:$C$152,0),COLUMN()-3),0)</f>
        <v>0</v>
      </c>
      <c r="M59" s="82" cm="1">
        <f t="array" ref="M59">IFERROR($N$10*INDEX('부록5 기상데이터'!$E$150:$P$152,MATCH('1. 기본정보'!$C$11,'부록5 기상데이터'!$C$150:$C$152,0),COLUMN()-3),0)</f>
        <v>0</v>
      </c>
      <c r="N59" s="82" cm="1">
        <f t="array" ref="N59">IFERROR($N$10*INDEX('부록5 기상데이터'!$E$150:$P$152,MATCH('1. 기본정보'!$C$11,'부록5 기상데이터'!$C$150:$C$152,0),COLUMN()-3),0)</f>
        <v>0</v>
      </c>
      <c r="O59" s="82" cm="1">
        <f t="array" ref="O59">IFERROR($N$10*INDEX('부록5 기상데이터'!$E$150:$P$152,MATCH('1. 기본정보'!$C$11,'부록5 기상데이터'!$C$150:$C$152,0),COLUMN()-3),0)</f>
        <v>0</v>
      </c>
      <c r="P59" s="82">
        <f t="shared" si="15"/>
        <v>0</v>
      </c>
    </row>
    <row r="60" spans="2:16" ht="18" customHeight="1">
      <c r="B60" s="688" t="s">
        <v>714</v>
      </c>
      <c r="C60" s="689" t="s">
        <v>715</v>
      </c>
      <c r="D60" s="686">
        <f t="shared" ref="D60:O60" si="16">SUM(D56:D59)</f>
        <v>2.2999999999999998</v>
      </c>
      <c r="E60" s="686">
        <f t="shared" si="16"/>
        <v>1.3</v>
      </c>
      <c r="F60" s="686">
        <f t="shared" si="16"/>
        <v>0</v>
      </c>
      <c r="G60" s="686">
        <f t="shared" si="16"/>
        <v>0</v>
      </c>
      <c r="H60" s="686">
        <f t="shared" si="16"/>
        <v>0</v>
      </c>
      <c r="I60" s="686">
        <f t="shared" si="16"/>
        <v>0</v>
      </c>
      <c r="J60" s="686">
        <f t="shared" si="16"/>
        <v>7.5</v>
      </c>
      <c r="K60" s="686">
        <f t="shared" si="16"/>
        <v>13.8</v>
      </c>
      <c r="L60" s="686">
        <f t="shared" si="16"/>
        <v>1.2</v>
      </c>
      <c r="M60" s="686">
        <f t="shared" si="16"/>
        <v>0</v>
      </c>
      <c r="N60" s="686">
        <f t="shared" si="16"/>
        <v>0</v>
      </c>
      <c r="O60" s="686">
        <f t="shared" si="16"/>
        <v>1.4</v>
      </c>
      <c r="P60" s="687">
        <f t="shared" si="15"/>
        <v>27.499999999999996</v>
      </c>
    </row>
    <row r="61" spans="2:16" ht="18" customHeight="1">
      <c r="B61" s="688" t="s">
        <v>716</v>
      </c>
      <c r="C61" s="689" t="str">
        <f>"부록1 · "&amp;($C$7+3)&amp;"년"</f>
        <v>부록1 · 2030년</v>
      </c>
      <c r="D61" s="690" cm="1">
        <f t="array" ref="D61">IFERROR(INDEX('부록2 법정공휴일'!$C$3:$N$17,MATCH($C$7+3,'부록2 법정공휴일'!$B$3:$B$17,0),COLUMN()-3),0)</f>
        <v>5</v>
      </c>
      <c r="E61" s="690" cm="1">
        <f t="array" ref="E61">IFERROR(INDEX('부록2 법정공휴일'!$C$3:$N$17,MATCH($C$7+3,'부록2 법정공휴일'!$B$3:$B$17,0),COLUMN()-3),0)</f>
        <v>7</v>
      </c>
      <c r="F61" s="690" cm="1">
        <f t="array" ref="F61">IFERROR(INDEX('부록2 법정공휴일'!$C$3:$N$17,MATCH($C$7+3,'부록2 법정공휴일'!$B$3:$B$17,0),COLUMN()-3),0)</f>
        <v>6</v>
      </c>
      <c r="G61" s="690" cm="1">
        <f t="array" ref="G61">IFERROR(INDEX('부록2 법정공휴일'!$C$3:$N$17,MATCH($C$7+3,'부록2 법정공휴일'!$B$3:$B$17,0),COLUMN()-3),0)</f>
        <v>4</v>
      </c>
      <c r="H61" s="690" cm="1">
        <f t="array" ref="H61">IFERROR(INDEX('부록2 법정공휴일'!$C$3:$N$17,MATCH($C$7+3,'부록2 법정공휴일'!$B$3:$B$17,0),COLUMN()-3),0)</f>
        <v>6</v>
      </c>
      <c r="I61" s="690" cm="1">
        <f t="array" ref="I61">IFERROR(INDEX('부록2 법정공휴일'!$C$3:$N$17,MATCH($C$7+3,'부록2 법정공휴일'!$B$3:$B$17,0),COLUMN()-3),0)</f>
        <v>6</v>
      </c>
      <c r="J61" s="690" cm="1">
        <f t="array" ref="J61">IFERROR(INDEX('부록2 법정공휴일'!$C$3:$N$17,MATCH($C$7+3,'부록2 법정공휴일'!$B$3:$B$17,0),COLUMN()-3),0)</f>
        <v>4</v>
      </c>
      <c r="K61" s="690" cm="1">
        <f t="array" ref="K61">IFERROR(INDEX('부록2 법정공휴일'!$C$3:$N$17,MATCH($C$7+3,'부록2 법정공휴일'!$B$3:$B$17,0),COLUMN()-3),0)</f>
        <v>5</v>
      </c>
      <c r="L61" s="690" cm="1">
        <f t="array" ref="L61">IFERROR(INDEX('부록2 법정공휴일'!$C$3:$N$17,MATCH($C$7+3,'부록2 법정공휴일'!$B$3:$B$17,0),COLUMN()-3),0)</f>
        <v>8</v>
      </c>
      <c r="M61" s="690" cm="1">
        <f t="array" ref="M61">IFERROR(INDEX('부록2 법정공휴일'!$C$3:$N$17,MATCH($C$7+3,'부록2 법정공휴일'!$B$3:$B$17,0),COLUMN()-3),0)</f>
        <v>6</v>
      </c>
      <c r="N61" s="690" cm="1">
        <f t="array" ref="N61">IFERROR(INDEX('부록2 법정공휴일'!$C$3:$N$17,MATCH($C$7+3,'부록2 법정공휴일'!$B$3:$B$17,0),COLUMN()-3),0)</f>
        <v>4</v>
      </c>
      <c r="O61" s="690" cm="1">
        <f t="array" ref="O61">IFERROR(INDEX('부록2 법정공휴일'!$C$3:$N$17,MATCH($C$7+3,'부록2 법정공휴일'!$B$3:$B$17,0),COLUMN()-3),0)</f>
        <v>6</v>
      </c>
      <c r="P61" s="691">
        <f t="shared" si="15"/>
        <v>67</v>
      </c>
    </row>
    <row r="62" spans="2:16" ht="15.75" customHeight="1">
      <c r="B62" s="83" t="s">
        <v>717</v>
      </c>
      <c r="C62" s="84" t="s">
        <v>718</v>
      </c>
      <c r="D62" s="83">
        <f t="shared" ref="D62:O62" si="17">ROUND(D61*D60/DAY(EOMONTH(DATE(2029,COLUMN()-COLUMN($D62)+1,1),0)),0)</f>
        <v>0</v>
      </c>
      <c r="E62" s="83">
        <f t="shared" si="17"/>
        <v>0</v>
      </c>
      <c r="F62" s="83">
        <f t="shared" si="17"/>
        <v>0</v>
      </c>
      <c r="G62" s="83">
        <f t="shared" si="17"/>
        <v>0</v>
      </c>
      <c r="H62" s="83">
        <f t="shared" si="17"/>
        <v>0</v>
      </c>
      <c r="I62" s="83">
        <f t="shared" si="17"/>
        <v>0</v>
      </c>
      <c r="J62" s="83">
        <f t="shared" si="17"/>
        <v>1</v>
      </c>
      <c r="K62" s="83">
        <f t="shared" si="17"/>
        <v>2</v>
      </c>
      <c r="L62" s="83">
        <f t="shared" si="17"/>
        <v>0</v>
      </c>
      <c r="M62" s="83">
        <f t="shared" si="17"/>
        <v>0</v>
      </c>
      <c r="N62" s="83">
        <f t="shared" si="17"/>
        <v>0</v>
      </c>
      <c r="O62" s="83">
        <f t="shared" si="17"/>
        <v>0</v>
      </c>
      <c r="P62" s="85">
        <f t="shared" si="15"/>
        <v>3</v>
      </c>
    </row>
    <row r="63" spans="2:16" ht="15.75" customHeight="1">
      <c r="B63" s="86" t="s">
        <v>719</v>
      </c>
      <c r="C63" s="78" t="s">
        <v>720</v>
      </c>
      <c r="D63" s="79">
        <f t="shared" ref="D63:O63" si="18">D60+D61-D62</f>
        <v>7.3</v>
      </c>
      <c r="E63" s="79">
        <f t="shared" si="18"/>
        <v>8.3000000000000007</v>
      </c>
      <c r="F63" s="79">
        <f t="shared" si="18"/>
        <v>6</v>
      </c>
      <c r="G63" s="79">
        <f t="shared" si="18"/>
        <v>4</v>
      </c>
      <c r="H63" s="79">
        <f t="shared" si="18"/>
        <v>6</v>
      </c>
      <c r="I63" s="79">
        <f t="shared" si="18"/>
        <v>6</v>
      </c>
      <c r="J63" s="79">
        <f t="shared" si="18"/>
        <v>10.5</v>
      </c>
      <c r="K63" s="79">
        <f t="shared" si="18"/>
        <v>16.8</v>
      </c>
      <c r="L63" s="79">
        <f t="shared" si="18"/>
        <v>9.1999999999999993</v>
      </c>
      <c r="M63" s="79">
        <f t="shared" si="18"/>
        <v>6</v>
      </c>
      <c r="N63" s="79">
        <f t="shared" si="18"/>
        <v>4</v>
      </c>
      <c r="O63" s="79">
        <f t="shared" si="18"/>
        <v>7.4</v>
      </c>
      <c r="P63" s="87">
        <f t="shared" si="15"/>
        <v>91.500000000000014</v>
      </c>
    </row>
    <row r="64" spans="2:16" ht="13.5" customHeight="1" thickBot="1">
      <c r="B64" s="88" t="s">
        <v>721</v>
      </c>
      <c r="C64" s="89" t="s">
        <v>722</v>
      </c>
      <c r="D64" s="88">
        <f>8</f>
        <v>8</v>
      </c>
      <c r="E64" s="88">
        <f>8</f>
        <v>8</v>
      </c>
      <c r="F64" s="88">
        <f>8</f>
        <v>8</v>
      </c>
      <c r="G64" s="88">
        <f>8</f>
        <v>8</v>
      </c>
      <c r="H64" s="88">
        <f>8</f>
        <v>8</v>
      </c>
      <c r="I64" s="88">
        <f>8</f>
        <v>8</v>
      </c>
      <c r="J64" s="88">
        <f>8</f>
        <v>8</v>
      </c>
      <c r="K64" s="88">
        <f>8</f>
        <v>8</v>
      </c>
      <c r="L64" s="88">
        <f>8</f>
        <v>8</v>
      </c>
      <c r="M64" s="88">
        <f>8</f>
        <v>8</v>
      </c>
      <c r="N64" s="88">
        <f>8</f>
        <v>8</v>
      </c>
      <c r="O64" s="88">
        <f>8</f>
        <v>8</v>
      </c>
      <c r="P64" s="90">
        <f t="shared" si="15"/>
        <v>96</v>
      </c>
    </row>
    <row r="65" spans="2:16" ht="21.75" customHeight="1" thickBot="1">
      <c r="B65" s="730" t="s">
        <v>723</v>
      </c>
      <c r="C65" s="731" t="s">
        <v>724</v>
      </c>
      <c r="D65" s="732">
        <f t="shared" ref="D65:O65" si="19">MAX(D63,D64)</f>
        <v>8</v>
      </c>
      <c r="E65" s="732">
        <f t="shared" si="19"/>
        <v>8.3000000000000007</v>
      </c>
      <c r="F65" s="732">
        <f t="shared" si="19"/>
        <v>8</v>
      </c>
      <c r="G65" s="732">
        <f t="shared" si="19"/>
        <v>8</v>
      </c>
      <c r="H65" s="732">
        <f t="shared" si="19"/>
        <v>8</v>
      </c>
      <c r="I65" s="732">
        <f t="shared" si="19"/>
        <v>8</v>
      </c>
      <c r="J65" s="732">
        <f t="shared" si="19"/>
        <v>10.5</v>
      </c>
      <c r="K65" s="732">
        <f t="shared" si="19"/>
        <v>16.8</v>
      </c>
      <c r="L65" s="732">
        <f t="shared" si="19"/>
        <v>9.1999999999999993</v>
      </c>
      <c r="M65" s="732">
        <f t="shared" si="19"/>
        <v>8</v>
      </c>
      <c r="N65" s="732">
        <f t="shared" si="19"/>
        <v>8</v>
      </c>
      <c r="O65" s="732">
        <f t="shared" si="19"/>
        <v>8</v>
      </c>
      <c r="P65" s="733">
        <f t="shared" si="15"/>
        <v>108.8</v>
      </c>
    </row>
    <row r="66" spans="2:16" ht="3.75" customHeight="1"/>
    <row r="67" spans="2:16" ht="19.5" customHeight="1">
      <c r="B67" s="683" t="str">
        <f>"  "&amp;($C$7+4)&amp;"년"</f>
        <v xml:space="preserve">  2031년</v>
      </c>
      <c r="C67" s="683"/>
      <c r="D67" s="683"/>
      <c r="E67" s="683"/>
      <c r="F67" s="683"/>
      <c r="G67" s="683"/>
      <c r="H67" s="683"/>
      <c r="I67" s="683"/>
      <c r="J67" s="683"/>
      <c r="K67" s="683"/>
      <c r="L67" s="683"/>
      <c r="M67" s="683"/>
      <c r="N67" s="683"/>
      <c r="O67" s="683"/>
      <c r="P67" s="683"/>
    </row>
    <row r="68" spans="2:16" ht="15.75" customHeight="1">
      <c r="B68" s="684" t="s">
        <v>681</v>
      </c>
      <c r="C68" s="106" t="s">
        <v>684</v>
      </c>
      <c r="D68" s="685" cm="1">
        <f t="array" ref="D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E68" s="685" cm="1">
        <f t="array" ref="E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F68" s="685" cm="1">
        <f t="array" ref="F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G68" s="685" cm="1">
        <f t="array" ref="G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H68" s="685" cm="1">
        <f t="array" ref="H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I68" s="685" cm="1">
        <f t="array" ref="I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J68" s="685" cm="1">
        <f t="array" ref="J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7.5</v>
      </c>
      <c r="K68" s="685" cm="1">
        <f t="array" ref="K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13.8</v>
      </c>
      <c r="L68" s="685" cm="1">
        <f t="array" ref="L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1.2</v>
      </c>
      <c r="M68" s="685" cm="1">
        <f t="array" ref="M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N68" s="685" cm="1">
        <f t="array" ref="N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O68" s="685" cm="1">
        <f t="array" ref="O68">IFERROR($B$10*INDEX('부록5 기상데이터'!$E$6:$P$14,MATCH('1. 기본정보'!$C$11,'부록5 기상데이터'!$C$6:$C$14,0),COLUMN()-3),0)+IFERROR($B$11*INDEX('부록5 기상데이터'!$E$18:$P$26,MATCH('1. 기본정보'!$C$11,'부록5 기상데이터'!$C$18:$C$26,0),COLUMN()-3),0)+IFERROR($B$12*INDEX('부록5 기상데이터'!$E$30:$P$38,MATCH('1. 기본정보'!$C$11,'부록5 기상데이터'!$C$30:$C$38,0),COLUMN()-3),0)+IFERROR($B$13*INDEX('부록5 기상데이터'!$E$42:$P$50,MATCH('1. 기본정보'!$C$11,'부록5 기상데이터'!$C$42:$C$50,0),COLUMN()-3),0)</f>
        <v>0</v>
      </c>
      <c r="P68" s="685">
        <f t="shared" ref="P68:P77" si="20">SUM(D68:O68)</f>
        <v>22.5</v>
      </c>
    </row>
    <row r="69" spans="2:16" ht="15.75" customHeight="1">
      <c r="B69" s="77" t="s">
        <v>682</v>
      </c>
      <c r="C69" s="78" t="s">
        <v>685</v>
      </c>
      <c r="D69" s="79" cm="1">
        <f t="array" ref="D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2.2999999999999998</v>
      </c>
      <c r="E69" s="79" cm="1">
        <f t="array" ref="E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1.3</v>
      </c>
      <c r="F69" s="79" cm="1">
        <f t="array" ref="F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G69" s="79" cm="1">
        <f t="array" ref="G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H69" s="79" cm="1">
        <f t="array" ref="H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I69" s="79" cm="1">
        <f t="array" ref="I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J69" s="79" cm="1">
        <f t="array" ref="J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K69" s="79" cm="1">
        <f t="array" ref="K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L69" s="79" cm="1">
        <f t="array" ref="L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M69" s="79" cm="1">
        <f t="array" ref="M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N69" s="79" cm="1">
        <f t="array" ref="N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0</v>
      </c>
      <c r="O69" s="79" cm="1">
        <f t="array" ref="O69">IFERROR($F$10*INDEX('부록5 기상데이터'!$E$54:$P$62,MATCH('1. 기본정보'!$C$11,'부록5 기상데이터'!$C$54:$C$62,0),COLUMN()-3),0)+IFERROR($F$11*INDEX('부록5 기상데이터'!$E$66:$P$74,MATCH('1. 기본정보'!$C$11,'부록5 기상데이터'!$C$66:$C$74,0),COLUMN()-3),0)+IFERROR($F$12*INDEX('부록5 기상데이터'!$E$78:$P$86,MATCH('1. 기본정보'!$C$11,'부록5 기상데이터'!$C$78:$C$86,0),COLUMN()-3),0)+IFERROR($F$13*INDEX('부록5 기상데이터'!$E$90:$P$98,MATCH('1. 기본정보'!$C$11,'부록5 기상데이터'!$C$90:$C$98,0),COLUMN()-3),0)</f>
        <v>1.4</v>
      </c>
      <c r="P69" s="79">
        <f t="shared" si="20"/>
        <v>5</v>
      </c>
    </row>
    <row r="70" spans="2:16" ht="15.75" customHeight="1">
      <c r="B70" s="727" t="s">
        <v>631</v>
      </c>
      <c r="C70" s="728" t="s">
        <v>686</v>
      </c>
      <c r="D70" s="729" cm="1">
        <f t="array" ref="D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E70" s="729" cm="1">
        <f t="array" ref="E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F70" s="729" cm="1">
        <f t="array" ref="F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G70" s="729" cm="1">
        <f t="array" ref="G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H70" s="729" cm="1">
        <f t="array" ref="H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I70" s="729" cm="1">
        <f t="array" ref="I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J70" s="729" cm="1">
        <f t="array" ref="J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K70" s="729" cm="1">
        <f t="array" ref="K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L70" s="729" cm="1">
        <f t="array" ref="L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M70" s="729" cm="1">
        <f t="array" ref="M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N70" s="729" cm="1">
        <f t="array" ref="N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O70" s="729" cm="1">
        <f t="array" ref="O70">IFERROR($J$10*INDEX('부록5 기상데이터'!$E$102:$P$110,MATCH('1. 기본정보'!$C$11,'부록5 기상데이터'!$C$102:$C$110,0),COLUMN()-3),0)+IFERROR($J$11*INDEX('부록5 기상데이터'!$E$114:$P$122,MATCH('1. 기본정보'!$C$11,'부록5 기상데이터'!$C$114:$C$122,0),COLUMN()-3),0)+IFERROR($J$12*INDEX('부록5 기상데이터'!$E$126:$P$134,MATCH('1. 기본정보'!$C$11,'부록5 기상데이터'!$C$126:$C$134,0),COLUMN()-3),0)+IFERROR($J$13*INDEX('부록5 기상데이터'!$E$138:$P$146,MATCH('1. 기본정보'!$C$11,'부록5 기상데이터'!$C$138:$C$146,0),COLUMN()-3),0)</f>
        <v>0</v>
      </c>
      <c r="P70" s="729">
        <f t="shared" si="20"/>
        <v>0</v>
      </c>
    </row>
    <row r="71" spans="2:16" ht="15.75" customHeight="1">
      <c r="B71" s="80" t="s">
        <v>683</v>
      </c>
      <c r="C71" s="81" t="s">
        <v>713</v>
      </c>
      <c r="D71" s="82" cm="1">
        <f t="array" ref="D71">IFERROR($N$10*INDEX('부록5 기상데이터'!$E$150:$P$152,MATCH('1. 기본정보'!$C$11,'부록5 기상데이터'!$C$150:$C$152,0),COLUMN()-3),0)</f>
        <v>0</v>
      </c>
      <c r="E71" s="82" cm="1">
        <f t="array" ref="E71">IFERROR($N$10*INDEX('부록5 기상데이터'!$E$150:$P$152,MATCH('1. 기본정보'!$C$11,'부록5 기상데이터'!$C$150:$C$152,0),COLUMN()-3),0)</f>
        <v>0</v>
      </c>
      <c r="F71" s="82" cm="1">
        <f t="array" ref="F71">IFERROR($N$10*INDEX('부록5 기상데이터'!$E$150:$P$152,MATCH('1. 기본정보'!$C$11,'부록5 기상데이터'!$C$150:$C$152,0),COLUMN()-3),0)</f>
        <v>0</v>
      </c>
      <c r="G71" s="82" cm="1">
        <f t="array" ref="G71">IFERROR($N$10*INDEX('부록5 기상데이터'!$E$150:$P$152,MATCH('1. 기본정보'!$C$11,'부록5 기상데이터'!$C$150:$C$152,0),COLUMN()-3),0)</f>
        <v>0</v>
      </c>
      <c r="H71" s="82" cm="1">
        <f t="array" ref="H71">IFERROR($N$10*INDEX('부록5 기상데이터'!$E$150:$P$152,MATCH('1. 기본정보'!$C$11,'부록5 기상데이터'!$C$150:$C$152,0),COLUMN()-3),0)</f>
        <v>0</v>
      </c>
      <c r="I71" s="82" cm="1">
        <f t="array" ref="I71">IFERROR($N$10*INDEX('부록5 기상데이터'!$E$150:$P$152,MATCH('1. 기본정보'!$C$11,'부록5 기상데이터'!$C$150:$C$152,0),COLUMN()-3),0)</f>
        <v>0</v>
      </c>
      <c r="J71" s="82" cm="1">
        <f t="array" ref="J71">IFERROR($N$10*INDEX('부록5 기상데이터'!$E$150:$P$152,MATCH('1. 기본정보'!$C$11,'부록5 기상데이터'!$C$150:$C$152,0),COLUMN()-3),0)</f>
        <v>0</v>
      </c>
      <c r="K71" s="82" cm="1">
        <f t="array" ref="K71">IFERROR($N$10*INDEX('부록5 기상데이터'!$E$150:$P$152,MATCH('1. 기본정보'!$C$11,'부록5 기상데이터'!$C$150:$C$152,0),COLUMN()-3),0)</f>
        <v>0</v>
      </c>
      <c r="L71" s="82" cm="1">
        <f t="array" ref="L71">IFERROR($N$10*INDEX('부록5 기상데이터'!$E$150:$P$152,MATCH('1. 기본정보'!$C$11,'부록5 기상데이터'!$C$150:$C$152,0),COLUMN()-3),0)</f>
        <v>0</v>
      </c>
      <c r="M71" s="82" cm="1">
        <f t="array" ref="M71">IFERROR($N$10*INDEX('부록5 기상데이터'!$E$150:$P$152,MATCH('1. 기본정보'!$C$11,'부록5 기상데이터'!$C$150:$C$152,0),COLUMN()-3),0)</f>
        <v>0</v>
      </c>
      <c r="N71" s="82" cm="1">
        <f t="array" ref="N71">IFERROR($N$10*INDEX('부록5 기상데이터'!$E$150:$P$152,MATCH('1. 기본정보'!$C$11,'부록5 기상데이터'!$C$150:$C$152,0),COLUMN()-3),0)</f>
        <v>0</v>
      </c>
      <c r="O71" s="82" cm="1">
        <f t="array" ref="O71">IFERROR($N$10*INDEX('부록5 기상데이터'!$E$150:$P$152,MATCH('1. 기본정보'!$C$11,'부록5 기상데이터'!$C$150:$C$152,0),COLUMN()-3),0)</f>
        <v>0</v>
      </c>
      <c r="P71" s="82">
        <f t="shared" si="20"/>
        <v>0</v>
      </c>
    </row>
    <row r="72" spans="2:16" ht="18" customHeight="1">
      <c r="B72" s="688" t="s">
        <v>714</v>
      </c>
      <c r="C72" s="689" t="s">
        <v>715</v>
      </c>
      <c r="D72" s="686">
        <f t="shared" ref="D72:O72" si="21">SUM(D68:D71)</f>
        <v>2.2999999999999998</v>
      </c>
      <c r="E72" s="686">
        <f t="shared" si="21"/>
        <v>1.3</v>
      </c>
      <c r="F72" s="686">
        <f t="shared" si="21"/>
        <v>0</v>
      </c>
      <c r="G72" s="686">
        <f t="shared" si="21"/>
        <v>0</v>
      </c>
      <c r="H72" s="686">
        <f t="shared" si="21"/>
        <v>0</v>
      </c>
      <c r="I72" s="686">
        <f t="shared" si="21"/>
        <v>0</v>
      </c>
      <c r="J72" s="686">
        <f t="shared" si="21"/>
        <v>7.5</v>
      </c>
      <c r="K72" s="686">
        <f t="shared" si="21"/>
        <v>13.8</v>
      </c>
      <c r="L72" s="686">
        <f t="shared" si="21"/>
        <v>1.2</v>
      </c>
      <c r="M72" s="686">
        <f t="shared" si="21"/>
        <v>0</v>
      </c>
      <c r="N72" s="686">
        <f t="shared" si="21"/>
        <v>0</v>
      </c>
      <c r="O72" s="686">
        <f t="shared" si="21"/>
        <v>1.4</v>
      </c>
      <c r="P72" s="687">
        <f t="shared" si="20"/>
        <v>27.499999999999996</v>
      </c>
    </row>
    <row r="73" spans="2:16" ht="18" customHeight="1">
      <c r="B73" s="688" t="s">
        <v>716</v>
      </c>
      <c r="C73" s="689" t="str">
        <f>"부록1 · "&amp;($C$7+4)&amp;"년"</f>
        <v>부록1 · 2031년</v>
      </c>
      <c r="D73" s="690" cm="1">
        <f t="array" ref="D73">IFERROR(INDEX('부록2 법정공휴일'!$C$3:$N$17,MATCH($C$7+4,'부록2 법정공휴일'!$B$3:$B$17,0),COLUMN()-3),0)</f>
        <v>8</v>
      </c>
      <c r="E73" s="690" cm="1">
        <f t="array" ref="E73">IFERROR(INDEX('부록2 법정공휴일'!$C$3:$N$17,MATCH($C$7+4,'부록2 법정공휴일'!$B$3:$B$17,0),COLUMN()-3),0)</f>
        <v>4</v>
      </c>
      <c r="F73" s="690" cm="1">
        <f t="array" ref="F73">IFERROR(INDEX('부록2 법정공휴일'!$C$3:$N$17,MATCH($C$7+4,'부록2 법정공휴일'!$B$3:$B$17,0),COLUMN()-3),0)</f>
        <v>7</v>
      </c>
      <c r="G73" s="690" cm="1">
        <f t="array" ref="G73">IFERROR(INDEX('부록2 법정공휴일'!$C$3:$N$17,MATCH($C$7+4,'부록2 법정공휴일'!$B$3:$B$17,0),COLUMN()-3),0)</f>
        <v>4</v>
      </c>
      <c r="H73" s="690" cm="1">
        <f t="array" ref="H73">IFERROR(INDEX('부록2 법정공휴일'!$C$3:$N$17,MATCH($C$7+4,'부록2 법정공휴일'!$B$3:$B$17,0),COLUMN()-3),0)</f>
        <v>6</v>
      </c>
      <c r="I73" s="690" cm="1">
        <f t="array" ref="I73">IFERROR(INDEX('부록2 법정공휴일'!$C$3:$N$17,MATCH($C$7+4,'부록2 법정공휴일'!$B$3:$B$17,0),COLUMN()-3),0)</f>
        <v>6</v>
      </c>
      <c r="J73" s="690" cm="1">
        <f t="array" ref="J73">IFERROR(INDEX('부록2 법정공휴일'!$C$3:$N$17,MATCH($C$7+4,'부록2 법정공휴일'!$B$3:$B$17,0),COLUMN()-3),0)</f>
        <v>4</v>
      </c>
      <c r="K73" s="690" cm="1">
        <f t="array" ref="K73">IFERROR(INDEX('부록2 법정공휴일'!$C$3:$N$17,MATCH($C$7+4,'부록2 법정공휴일'!$B$3:$B$17,0),COLUMN()-3),0)</f>
        <v>6</v>
      </c>
      <c r="L73" s="690" cm="1">
        <f t="array" ref="L73">IFERROR(INDEX('부록2 법정공휴일'!$C$3:$N$17,MATCH($C$7+4,'부록2 법정공휴일'!$B$3:$B$17,0),COLUMN()-3),0)</f>
        <v>5</v>
      </c>
      <c r="M73" s="690" cm="1">
        <f t="array" ref="M73">IFERROR(INDEX('부록2 법정공휴일'!$C$3:$N$17,MATCH($C$7+4,'부록2 법정공휴일'!$B$3:$B$17,0),COLUMN()-3),0)</f>
        <v>8</v>
      </c>
      <c r="N73" s="690" cm="1">
        <f t="array" ref="N73">IFERROR(INDEX('부록2 법정공휴일'!$C$3:$N$17,MATCH($C$7+4,'부록2 법정공휴일'!$B$3:$B$17,0),COLUMN()-3),0)</f>
        <v>5</v>
      </c>
      <c r="O73" s="690" cm="1">
        <f t="array" ref="O73">IFERROR(INDEX('부록2 법정공휴일'!$C$3:$N$17,MATCH($C$7+4,'부록2 법정공휴일'!$B$3:$B$17,0),COLUMN()-3),0)</f>
        <v>5</v>
      </c>
      <c r="P73" s="691">
        <f t="shared" si="20"/>
        <v>68</v>
      </c>
    </row>
    <row r="74" spans="2:16" ht="15.75" customHeight="1">
      <c r="B74" s="83" t="s">
        <v>717</v>
      </c>
      <c r="C74" s="84" t="s">
        <v>718</v>
      </c>
      <c r="D74" s="83">
        <f t="shared" ref="D74:O74" si="22">ROUND(D73*D72/DAY(EOMONTH(DATE(2030,COLUMN()-COLUMN($D74)+1,1),0)),0)</f>
        <v>1</v>
      </c>
      <c r="E74" s="83">
        <f t="shared" si="22"/>
        <v>0</v>
      </c>
      <c r="F74" s="83">
        <f t="shared" si="22"/>
        <v>0</v>
      </c>
      <c r="G74" s="83">
        <f t="shared" si="22"/>
        <v>0</v>
      </c>
      <c r="H74" s="83">
        <f t="shared" si="22"/>
        <v>0</v>
      </c>
      <c r="I74" s="83">
        <f t="shared" si="22"/>
        <v>0</v>
      </c>
      <c r="J74" s="83">
        <f t="shared" si="22"/>
        <v>1</v>
      </c>
      <c r="K74" s="83">
        <f t="shared" si="22"/>
        <v>3</v>
      </c>
      <c r="L74" s="83">
        <f t="shared" si="22"/>
        <v>0</v>
      </c>
      <c r="M74" s="83">
        <f t="shared" si="22"/>
        <v>0</v>
      </c>
      <c r="N74" s="83">
        <f t="shared" si="22"/>
        <v>0</v>
      </c>
      <c r="O74" s="83">
        <f t="shared" si="22"/>
        <v>0</v>
      </c>
      <c r="P74" s="85">
        <f t="shared" si="20"/>
        <v>5</v>
      </c>
    </row>
    <row r="75" spans="2:16" ht="15.75" customHeight="1">
      <c r="B75" s="86" t="s">
        <v>719</v>
      </c>
      <c r="C75" s="78" t="s">
        <v>720</v>
      </c>
      <c r="D75" s="79">
        <f t="shared" ref="D75:O75" si="23">D72+D73-D74</f>
        <v>9.3000000000000007</v>
      </c>
      <c r="E75" s="79">
        <f t="shared" si="23"/>
        <v>5.3</v>
      </c>
      <c r="F75" s="79">
        <f t="shared" si="23"/>
        <v>7</v>
      </c>
      <c r="G75" s="79">
        <f t="shared" si="23"/>
        <v>4</v>
      </c>
      <c r="H75" s="79">
        <f t="shared" si="23"/>
        <v>6</v>
      </c>
      <c r="I75" s="79">
        <f t="shared" si="23"/>
        <v>6</v>
      </c>
      <c r="J75" s="79">
        <f t="shared" si="23"/>
        <v>10.5</v>
      </c>
      <c r="K75" s="79">
        <f t="shared" si="23"/>
        <v>16.8</v>
      </c>
      <c r="L75" s="79">
        <f t="shared" si="23"/>
        <v>6.2</v>
      </c>
      <c r="M75" s="79">
        <f t="shared" si="23"/>
        <v>8</v>
      </c>
      <c r="N75" s="79">
        <f t="shared" si="23"/>
        <v>5</v>
      </c>
      <c r="O75" s="79">
        <f t="shared" si="23"/>
        <v>6.4</v>
      </c>
      <c r="P75" s="87">
        <f t="shared" si="20"/>
        <v>90.500000000000014</v>
      </c>
    </row>
    <row r="76" spans="2:16" ht="13.5" customHeight="1" thickBot="1">
      <c r="B76" s="88" t="s">
        <v>721</v>
      </c>
      <c r="C76" s="89" t="s">
        <v>722</v>
      </c>
      <c r="D76" s="88">
        <f>8</f>
        <v>8</v>
      </c>
      <c r="E76" s="88">
        <f>8</f>
        <v>8</v>
      </c>
      <c r="F76" s="88">
        <f>8</f>
        <v>8</v>
      </c>
      <c r="G76" s="88">
        <f>8</f>
        <v>8</v>
      </c>
      <c r="H76" s="88">
        <f>8</f>
        <v>8</v>
      </c>
      <c r="I76" s="88">
        <f>8</f>
        <v>8</v>
      </c>
      <c r="J76" s="88">
        <f>8</f>
        <v>8</v>
      </c>
      <c r="K76" s="88">
        <f>8</f>
        <v>8</v>
      </c>
      <c r="L76" s="88">
        <f>8</f>
        <v>8</v>
      </c>
      <c r="M76" s="88">
        <f>8</f>
        <v>8</v>
      </c>
      <c r="N76" s="88">
        <f>8</f>
        <v>8</v>
      </c>
      <c r="O76" s="88">
        <f>8</f>
        <v>8</v>
      </c>
      <c r="P76" s="90">
        <f t="shared" si="20"/>
        <v>96</v>
      </c>
    </row>
    <row r="77" spans="2:16" ht="21.75" customHeight="1" thickBot="1">
      <c r="B77" s="730" t="s">
        <v>723</v>
      </c>
      <c r="C77" s="731" t="s">
        <v>724</v>
      </c>
      <c r="D77" s="732">
        <f t="shared" ref="D77:O77" si="24">MAX(D75,D76)</f>
        <v>9.3000000000000007</v>
      </c>
      <c r="E77" s="732">
        <f t="shared" si="24"/>
        <v>8</v>
      </c>
      <c r="F77" s="732">
        <f t="shared" si="24"/>
        <v>8</v>
      </c>
      <c r="G77" s="732">
        <f t="shared" si="24"/>
        <v>8</v>
      </c>
      <c r="H77" s="732">
        <f t="shared" si="24"/>
        <v>8</v>
      </c>
      <c r="I77" s="732">
        <f t="shared" si="24"/>
        <v>8</v>
      </c>
      <c r="J77" s="732">
        <f t="shared" si="24"/>
        <v>10.5</v>
      </c>
      <c r="K77" s="732">
        <f t="shared" si="24"/>
        <v>16.8</v>
      </c>
      <c r="L77" s="732">
        <f t="shared" si="24"/>
        <v>8</v>
      </c>
      <c r="M77" s="732">
        <f t="shared" si="24"/>
        <v>8</v>
      </c>
      <c r="N77" s="732">
        <f t="shared" si="24"/>
        <v>8</v>
      </c>
      <c r="O77" s="732">
        <f t="shared" si="24"/>
        <v>8</v>
      </c>
      <c r="P77" s="733">
        <f t="shared" si="20"/>
        <v>108.6</v>
      </c>
    </row>
    <row r="78" spans="2:16" ht="3.75" customHeight="1"/>
    <row r="79" spans="2:16" ht="3.75" customHeight="1"/>
    <row r="80" spans="2:16" ht="18" customHeight="1">
      <c r="B80" s="319" t="s">
        <v>725</v>
      </c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</row>
  </sheetData>
  <mergeCells count="28">
    <mergeCell ref="B2:P2"/>
    <mergeCell ref="B3:P3"/>
    <mergeCell ref="B5:P5"/>
    <mergeCell ref="B8:P8"/>
    <mergeCell ref="B9:E9"/>
    <mergeCell ref="F9:I9"/>
    <mergeCell ref="J9:M9"/>
    <mergeCell ref="N9:P9"/>
    <mergeCell ref="C10:E10"/>
    <mergeCell ref="G10:I10"/>
    <mergeCell ref="K10:M10"/>
    <mergeCell ref="O10:P10"/>
    <mergeCell ref="C11:E11"/>
    <mergeCell ref="G11:I11"/>
    <mergeCell ref="K11:M11"/>
    <mergeCell ref="C12:E12"/>
    <mergeCell ref="G12:I12"/>
    <mergeCell ref="K12:M12"/>
    <mergeCell ref="C13:E13"/>
    <mergeCell ref="G13:I13"/>
    <mergeCell ref="K13:M13"/>
    <mergeCell ref="B80:P80"/>
    <mergeCell ref="B16:P16"/>
    <mergeCell ref="B19:P19"/>
    <mergeCell ref="B31:P31"/>
    <mergeCell ref="B43:P43"/>
    <mergeCell ref="B55:P55"/>
    <mergeCell ref="B67:P67"/>
  </mergeCells>
  <phoneticPr fontId="5" type="noConversion"/>
  <printOptions horizontalCentered="1"/>
  <pageMargins left="0.5" right="0.5" top="0.75" bottom="0.75" header="0.25" footer="0.25"/>
  <pageSetup paperSize="9" scale="64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C4A3-BB1E-4AC9-822A-117B7DC41518}">
  <sheetPr>
    <tabColor rgb="FF64748B"/>
    <pageSetUpPr fitToPage="1"/>
  </sheetPr>
  <dimension ref="B1:Q159"/>
  <sheetViews>
    <sheetView showGridLines="0" topLeftCell="A16" zoomScaleNormal="100" workbookViewId="0">
      <selection activeCell="X9" sqref="X9"/>
    </sheetView>
  </sheetViews>
  <sheetFormatPr defaultColWidth="8.7109375" defaultRowHeight="15"/>
  <cols>
    <col min="1" max="1" width="0.85546875" customWidth="1"/>
    <col min="2" max="2" width="12" customWidth="1"/>
    <col min="3" max="3" width="10" customWidth="1"/>
    <col min="4" max="5" width="8" customWidth="1"/>
    <col min="6" max="17" width="7" customWidth="1"/>
  </cols>
  <sheetData>
    <row r="1" spans="2:17" ht="6" customHeight="1"/>
    <row r="2" spans="2:17" ht="30" customHeight="1">
      <c r="B2" s="734" t="s">
        <v>743</v>
      </c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</row>
    <row r="3" spans="2:17" ht="3.75" customHeight="1"/>
    <row r="4" spans="2:17" ht="19.5" customHeight="1">
      <c r="B4" s="736" t="s">
        <v>763</v>
      </c>
      <c r="C4" s="737"/>
      <c r="D4" s="737"/>
      <c r="E4" s="737"/>
      <c r="F4" s="737"/>
      <c r="G4" s="737"/>
      <c r="H4" s="737"/>
      <c r="I4" s="737"/>
      <c r="J4" s="737"/>
      <c r="K4" s="737"/>
      <c r="L4" s="737"/>
      <c r="M4" s="737"/>
      <c r="N4" s="737"/>
      <c r="O4" s="737"/>
      <c r="P4" s="737"/>
      <c r="Q4" s="737"/>
    </row>
    <row r="5" spans="2:17" ht="15.75" customHeight="1">
      <c r="B5" s="738" t="s">
        <v>651</v>
      </c>
      <c r="C5" s="738" t="s">
        <v>652</v>
      </c>
      <c r="D5" s="738" t="s">
        <v>653</v>
      </c>
      <c r="E5" s="739" t="s">
        <v>654</v>
      </c>
      <c r="F5" s="739" t="s">
        <v>655</v>
      </c>
      <c r="G5" s="739" t="s">
        <v>656</v>
      </c>
      <c r="H5" s="739" t="s">
        <v>657</v>
      </c>
      <c r="I5" s="739" t="s">
        <v>658</v>
      </c>
      <c r="J5" s="739" t="s">
        <v>659</v>
      </c>
      <c r="K5" s="739" t="s">
        <v>660</v>
      </c>
      <c r="L5" s="739" t="s">
        <v>661</v>
      </c>
      <c r="M5" s="739" t="s">
        <v>662</v>
      </c>
      <c r="N5" s="739" t="s">
        <v>663</v>
      </c>
      <c r="O5" s="739" t="s">
        <v>664</v>
      </c>
      <c r="P5" s="739" t="s">
        <v>665</v>
      </c>
      <c r="Q5" s="738" t="s">
        <v>38</v>
      </c>
    </row>
    <row r="6" spans="2:17" ht="15.75" customHeight="1">
      <c r="B6" s="740" t="s">
        <v>666</v>
      </c>
      <c r="C6" s="740" t="s">
        <v>667</v>
      </c>
      <c r="D6" s="741">
        <v>156</v>
      </c>
      <c r="E6" s="91">
        <v>0</v>
      </c>
      <c r="F6" s="91">
        <v>0</v>
      </c>
      <c r="G6" s="91">
        <v>0</v>
      </c>
      <c r="H6" s="91">
        <v>0</v>
      </c>
      <c r="I6" s="91">
        <v>0</v>
      </c>
      <c r="J6" s="742">
        <v>0.7</v>
      </c>
      <c r="K6" s="742">
        <v>14.6</v>
      </c>
      <c r="L6" s="742">
        <v>18.899999999999999</v>
      </c>
      <c r="M6" s="742">
        <v>1.5</v>
      </c>
      <c r="N6" s="91">
        <v>0</v>
      </c>
      <c r="O6" s="91">
        <v>0</v>
      </c>
      <c r="P6" s="91">
        <v>0</v>
      </c>
      <c r="Q6" s="743">
        <v>35.700000000000003</v>
      </c>
    </row>
    <row r="7" spans="2:17" ht="15.75" customHeight="1">
      <c r="B7" s="92" t="s">
        <v>668</v>
      </c>
      <c r="C7" s="92" t="s">
        <v>633</v>
      </c>
      <c r="D7" s="93">
        <v>165</v>
      </c>
      <c r="E7" s="91">
        <v>0</v>
      </c>
      <c r="F7" s="91">
        <v>0</v>
      </c>
      <c r="G7" s="91">
        <v>0</v>
      </c>
      <c r="H7" s="91">
        <v>0</v>
      </c>
      <c r="I7" s="91">
        <v>0</v>
      </c>
      <c r="J7" s="91">
        <v>0</v>
      </c>
      <c r="K7" s="742">
        <v>7.5</v>
      </c>
      <c r="L7" s="742">
        <v>13.8</v>
      </c>
      <c r="M7" s="742">
        <v>1.2</v>
      </c>
      <c r="N7" s="91">
        <v>0</v>
      </c>
      <c r="O7" s="91">
        <v>0</v>
      </c>
      <c r="P7" s="91">
        <v>0</v>
      </c>
      <c r="Q7" s="743">
        <v>22.5</v>
      </c>
    </row>
    <row r="8" spans="2:17" ht="15.75" customHeight="1">
      <c r="B8" s="740" t="s">
        <v>668</v>
      </c>
      <c r="C8" s="740" t="s">
        <v>669</v>
      </c>
      <c r="D8" s="741">
        <v>168</v>
      </c>
      <c r="E8" s="91">
        <v>0</v>
      </c>
      <c r="F8" s="91">
        <v>0</v>
      </c>
      <c r="G8" s="91">
        <v>0</v>
      </c>
      <c r="H8" s="91">
        <v>0</v>
      </c>
      <c r="I8" s="91">
        <v>0</v>
      </c>
      <c r="J8" s="91">
        <v>0</v>
      </c>
      <c r="K8" s="742">
        <v>2.5</v>
      </c>
      <c r="L8" s="742">
        <v>8.6999999999999993</v>
      </c>
      <c r="M8" s="742">
        <v>1</v>
      </c>
      <c r="N8" s="91">
        <v>0</v>
      </c>
      <c r="O8" s="91">
        <v>0</v>
      </c>
      <c r="P8" s="91">
        <v>0</v>
      </c>
      <c r="Q8" s="743">
        <v>12.2</v>
      </c>
    </row>
    <row r="9" spans="2:17" ht="15.75" customHeight="1">
      <c r="B9" s="92" t="s">
        <v>668</v>
      </c>
      <c r="C9" s="92" t="s">
        <v>670</v>
      </c>
      <c r="D9" s="93">
        <v>174</v>
      </c>
      <c r="E9" s="91">
        <v>0</v>
      </c>
      <c r="F9" s="91">
        <v>0</v>
      </c>
      <c r="G9" s="91">
        <v>0</v>
      </c>
      <c r="H9" s="91">
        <v>0</v>
      </c>
      <c r="I9" s="91">
        <v>0</v>
      </c>
      <c r="J9" s="91">
        <v>0</v>
      </c>
      <c r="K9" s="742">
        <v>7.2</v>
      </c>
      <c r="L9" s="742">
        <v>12.1</v>
      </c>
      <c r="M9" s="742">
        <v>0.6</v>
      </c>
      <c r="N9" s="91">
        <v>0</v>
      </c>
      <c r="O9" s="91">
        <v>0</v>
      </c>
      <c r="P9" s="91">
        <v>0</v>
      </c>
      <c r="Q9" s="743">
        <v>19.899999999999999</v>
      </c>
    </row>
    <row r="10" spans="2:17" ht="15.75" customHeight="1">
      <c r="B10" s="740" t="s">
        <v>668</v>
      </c>
      <c r="C10" s="740" t="s">
        <v>671</v>
      </c>
      <c r="D10" s="741">
        <v>170</v>
      </c>
      <c r="E10" s="91">
        <v>0</v>
      </c>
      <c r="F10" s="91">
        <v>0</v>
      </c>
      <c r="G10" s="91">
        <v>0</v>
      </c>
      <c r="H10" s="91">
        <v>0</v>
      </c>
      <c r="I10" s="91">
        <v>0</v>
      </c>
      <c r="J10" s="91">
        <v>0</v>
      </c>
      <c r="K10" s="742">
        <v>9</v>
      </c>
      <c r="L10" s="742">
        <v>17.3</v>
      </c>
      <c r="M10" s="742">
        <v>1.9</v>
      </c>
      <c r="N10" s="91">
        <v>0</v>
      </c>
      <c r="O10" s="91">
        <v>0</v>
      </c>
      <c r="P10" s="91">
        <v>0</v>
      </c>
      <c r="Q10" s="743">
        <v>28.2</v>
      </c>
    </row>
    <row r="11" spans="2:17" ht="15.75" customHeight="1">
      <c r="B11" s="92" t="s">
        <v>668</v>
      </c>
      <c r="C11" s="92" t="s">
        <v>672</v>
      </c>
      <c r="D11" s="93">
        <v>262</v>
      </c>
      <c r="E11" s="91">
        <v>0</v>
      </c>
      <c r="F11" s="91">
        <v>0</v>
      </c>
      <c r="G11" s="91">
        <v>0</v>
      </c>
      <c r="H11" s="91">
        <v>0</v>
      </c>
      <c r="I11" s="91">
        <v>0</v>
      </c>
      <c r="J11" s="91">
        <v>0</v>
      </c>
      <c r="K11" s="742">
        <v>6.6</v>
      </c>
      <c r="L11" s="742">
        <v>13.2</v>
      </c>
      <c r="M11" s="742">
        <v>1.4</v>
      </c>
      <c r="N11" s="91">
        <v>0</v>
      </c>
      <c r="O11" s="91">
        <v>0</v>
      </c>
      <c r="P11" s="91">
        <v>0</v>
      </c>
      <c r="Q11" s="743">
        <v>21.2</v>
      </c>
    </row>
    <row r="12" spans="2:17" ht="15.75" customHeight="1">
      <c r="B12" s="740" t="s">
        <v>668</v>
      </c>
      <c r="C12" s="740" t="s">
        <v>673</v>
      </c>
      <c r="D12" s="741">
        <v>261</v>
      </c>
      <c r="E12" s="91">
        <v>0</v>
      </c>
      <c r="F12" s="91">
        <v>0</v>
      </c>
      <c r="G12" s="91">
        <v>0</v>
      </c>
      <c r="H12" s="91">
        <v>0</v>
      </c>
      <c r="I12" s="91">
        <v>0</v>
      </c>
      <c r="J12" s="91">
        <v>0</v>
      </c>
      <c r="K12" s="742">
        <v>9.1</v>
      </c>
      <c r="L12" s="742">
        <v>17.899999999999999</v>
      </c>
      <c r="M12" s="742">
        <v>1.7</v>
      </c>
      <c r="N12" s="91">
        <v>0</v>
      </c>
      <c r="O12" s="91">
        <v>0</v>
      </c>
      <c r="P12" s="91">
        <v>0</v>
      </c>
      <c r="Q12" s="743">
        <v>28.7</v>
      </c>
    </row>
    <row r="13" spans="2:17" ht="15.75" customHeight="1">
      <c r="B13" s="92" t="s">
        <v>668</v>
      </c>
      <c r="C13" s="92" t="s">
        <v>674</v>
      </c>
      <c r="D13" s="93">
        <v>268</v>
      </c>
      <c r="E13" s="91">
        <v>0</v>
      </c>
      <c r="F13" s="91">
        <v>0</v>
      </c>
      <c r="G13" s="91">
        <v>0</v>
      </c>
      <c r="H13" s="91">
        <v>0</v>
      </c>
      <c r="I13" s="91">
        <v>0</v>
      </c>
      <c r="J13" s="91">
        <v>0</v>
      </c>
      <c r="K13" s="742">
        <v>5.8</v>
      </c>
      <c r="L13" s="742">
        <v>13.1</v>
      </c>
      <c r="M13" s="742">
        <v>1.1000000000000001</v>
      </c>
      <c r="N13" s="91">
        <v>0</v>
      </c>
      <c r="O13" s="91">
        <v>0</v>
      </c>
      <c r="P13" s="91">
        <v>0</v>
      </c>
      <c r="Q13" s="743">
        <v>20</v>
      </c>
    </row>
    <row r="14" spans="2:17" ht="15.75" customHeight="1">
      <c r="B14" s="740" t="s">
        <v>668</v>
      </c>
      <c r="C14" s="740" t="s">
        <v>675</v>
      </c>
      <c r="D14" s="741">
        <v>169</v>
      </c>
      <c r="E14" s="91">
        <v>0</v>
      </c>
      <c r="F14" s="91">
        <v>0</v>
      </c>
      <c r="G14" s="91">
        <v>0</v>
      </c>
      <c r="H14" s="91">
        <v>0</v>
      </c>
      <c r="I14" s="91">
        <v>0</v>
      </c>
      <c r="J14" s="91">
        <v>0</v>
      </c>
      <c r="K14" s="742">
        <v>3.2</v>
      </c>
      <c r="L14" s="742">
        <v>9.6999999999999993</v>
      </c>
      <c r="M14" s="742">
        <v>1.1000000000000001</v>
      </c>
      <c r="N14" s="91">
        <v>0</v>
      </c>
      <c r="O14" s="91">
        <v>0</v>
      </c>
      <c r="P14" s="91">
        <v>0</v>
      </c>
      <c r="Q14" s="743">
        <v>14</v>
      </c>
    </row>
    <row r="15" spans="2:17" ht="3.75" customHeight="1"/>
    <row r="16" spans="2:17" ht="19.5" customHeight="1">
      <c r="B16" s="736" t="s">
        <v>764</v>
      </c>
      <c r="C16" s="737"/>
      <c r="D16" s="737"/>
      <c r="E16" s="737"/>
      <c r="F16" s="737"/>
      <c r="G16" s="737"/>
      <c r="H16" s="737"/>
      <c r="I16" s="737"/>
      <c r="J16" s="737"/>
      <c r="K16" s="737"/>
      <c r="L16" s="737"/>
      <c r="M16" s="737"/>
      <c r="N16" s="737"/>
      <c r="O16" s="737"/>
      <c r="P16" s="737"/>
      <c r="Q16" s="737"/>
    </row>
    <row r="17" spans="2:17" ht="15.75" customHeight="1">
      <c r="B17" s="738" t="s">
        <v>651</v>
      </c>
      <c r="C17" s="738" t="s">
        <v>652</v>
      </c>
      <c r="D17" s="738" t="s">
        <v>653</v>
      </c>
      <c r="E17" s="739" t="s">
        <v>654</v>
      </c>
      <c r="F17" s="739" t="s">
        <v>655</v>
      </c>
      <c r="G17" s="739" t="s">
        <v>656</v>
      </c>
      <c r="H17" s="739" t="s">
        <v>657</v>
      </c>
      <c r="I17" s="739" t="s">
        <v>658</v>
      </c>
      <c r="J17" s="739" t="s">
        <v>659</v>
      </c>
      <c r="K17" s="739" t="s">
        <v>660</v>
      </c>
      <c r="L17" s="739" t="s">
        <v>661</v>
      </c>
      <c r="M17" s="739" t="s">
        <v>662</v>
      </c>
      <c r="N17" s="739" t="s">
        <v>663</v>
      </c>
      <c r="O17" s="739" t="s">
        <v>664</v>
      </c>
      <c r="P17" s="739" t="s">
        <v>665</v>
      </c>
      <c r="Q17" s="738" t="s">
        <v>38</v>
      </c>
    </row>
    <row r="18" spans="2:17" ht="15.75" customHeight="1">
      <c r="B18" s="740" t="s">
        <v>666</v>
      </c>
      <c r="C18" s="740" t="s">
        <v>667</v>
      </c>
      <c r="D18" s="741">
        <v>156</v>
      </c>
      <c r="E18" s="91">
        <v>0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742">
        <v>4</v>
      </c>
      <c r="L18" s="742">
        <v>6.9</v>
      </c>
      <c r="M18" s="742">
        <v>0.4</v>
      </c>
      <c r="N18" s="91">
        <v>0</v>
      </c>
      <c r="O18" s="91">
        <v>0</v>
      </c>
      <c r="P18" s="91">
        <v>0</v>
      </c>
      <c r="Q18" s="743">
        <v>11.3</v>
      </c>
    </row>
    <row r="19" spans="2:17" ht="15.75" customHeight="1">
      <c r="B19" s="92" t="s">
        <v>668</v>
      </c>
      <c r="C19" s="92" t="s">
        <v>633</v>
      </c>
      <c r="D19" s="93">
        <v>165</v>
      </c>
      <c r="E19" s="91">
        <v>0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742">
        <v>0.9</v>
      </c>
      <c r="L19" s="742">
        <v>3.2</v>
      </c>
      <c r="M19" s="91">
        <v>0</v>
      </c>
      <c r="N19" s="91">
        <v>0</v>
      </c>
      <c r="O19" s="91">
        <v>0</v>
      </c>
      <c r="P19" s="91">
        <v>0</v>
      </c>
      <c r="Q19" s="743">
        <v>4.0999999999999996</v>
      </c>
    </row>
    <row r="20" spans="2:17" ht="15.75" customHeight="1">
      <c r="B20" s="740" t="s">
        <v>668</v>
      </c>
      <c r="C20" s="740" t="s">
        <v>669</v>
      </c>
      <c r="D20" s="741">
        <v>168</v>
      </c>
      <c r="E20" s="91">
        <v>0</v>
      </c>
      <c r="F20" s="91">
        <v>0</v>
      </c>
      <c r="G20" s="91">
        <v>0</v>
      </c>
      <c r="H20" s="91">
        <v>0</v>
      </c>
      <c r="I20" s="91">
        <v>0</v>
      </c>
      <c r="J20" s="91">
        <v>0</v>
      </c>
      <c r="K20" s="742">
        <v>0.2</v>
      </c>
      <c r="L20" s="742">
        <v>0.4</v>
      </c>
      <c r="M20" s="91">
        <v>0</v>
      </c>
      <c r="N20" s="91">
        <v>0</v>
      </c>
      <c r="O20" s="91">
        <v>0</v>
      </c>
      <c r="P20" s="91">
        <v>0</v>
      </c>
      <c r="Q20" s="743">
        <v>0.6</v>
      </c>
    </row>
    <row r="21" spans="2:17" ht="15.75" customHeight="1">
      <c r="B21" s="92" t="s">
        <v>668</v>
      </c>
      <c r="C21" s="92" t="s">
        <v>670</v>
      </c>
      <c r="D21" s="93">
        <v>174</v>
      </c>
      <c r="E21" s="91">
        <v>0</v>
      </c>
      <c r="F21" s="91">
        <v>0</v>
      </c>
      <c r="G21" s="91">
        <v>0</v>
      </c>
      <c r="H21" s="91">
        <v>0</v>
      </c>
      <c r="I21" s="91">
        <v>0</v>
      </c>
      <c r="J21" s="91">
        <v>0</v>
      </c>
      <c r="K21" s="742">
        <v>1.3</v>
      </c>
      <c r="L21" s="742">
        <v>2.6</v>
      </c>
      <c r="M21" s="91">
        <v>0</v>
      </c>
      <c r="N21" s="91">
        <v>0</v>
      </c>
      <c r="O21" s="91">
        <v>0</v>
      </c>
      <c r="P21" s="91">
        <v>0</v>
      </c>
      <c r="Q21" s="743">
        <v>3.9</v>
      </c>
    </row>
    <row r="22" spans="2:17" ht="15.75" customHeight="1">
      <c r="B22" s="740" t="s">
        <v>668</v>
      </c>
      <c r="C22" s="740" t="s">
        <v>671</v>
      </c>
      <c r="D22" s="741">
        <v>170</v>
      </c>
      <c r="E22" s="91">
        <v>0</v>
      </c>
      <c r="F22" s="91">
        <v>0</v>
      </c>
      <c r="G22" s="91">
        <v>0</v>
      </c>
      <c r="H22" s="91">
        <v>0</v>
      </c>
      <c r="I22" s="91">
        <v>0</v>
      </c>
      <c r="J22" s="91">
        <v>0</v>
      </c>
      <c r="K22" s="742">
        <v>2.2000000000000002</v>
      </c>
      <c r="L22" s="742">
        <v>5.6</v>
      </c>
      <c r="M22" s="742">
        <v>0.9</v>
      </c>
      <c r="N22" s="91">
        <v>0</v>
      </c>
      <c r="O22" s="91">
        <v>0</v>
      </c>
      <c r="P22" s="91">
        <v>0</v>
      </c>
      <c r="Q22" s="743">
        <v>8.6999999999999993</v>
      </c>
    </row>
    <row r="23" spans="2:17" ht="15.75" customHeight="1">
      <c r="B23" s="92" t="s">
        <v>668</v>
      </c>
      <c r="C23" s="92" t="s">
        <v>672</v>
      </c>
      <c r="D23" s="93">
        <v>262</v>
      </c>
      <c r="E23" s="91">
        <v>0</v>
      </c>
      <c r="F23" s="91">
        <v>0</v>
      </c>
      <c r="G23" s="91">
        <v>0</v>
      </c>
      <c r="H23" s="91">
        <v>0</v>
      </c>
      <c r="I23" s="91">
        <v>0</v>
      </c>
      <c r="J23" s="91">
        <v>0</v>
      </c>
      <c r="K23" s="742">
        <v>1.3</v>
      </c>
      <c r="L23" s="742">
        <v>2.2000000000000002</v>
      </c>
      <c r="M23" s="742">
        <v>0.3</v>
      </c>
      <c r="N23" s="91">
        <v>0</v>
      </c>
      <c r="O23" s="91">
        <v>0</v>
      </c>
      <c r="P23" s="91">
        <v>0</v>
      </c>
      <c r="Q23" s="743">
        <v>3.8</v>
      </c>
    </row>
    <row r="24" spans="2:17" ht="15.75" customHeight="1">
      <c r="B24" s="740" t="s">
        <v>668</v>
      </c>
      <c r="C24" s="740" t="s">
        <v>673</v>
      </c>
      <c r="D24" s="741">
        <v>261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742">
        <v>1.5</v>
      </c>
      <c r="L24" s="742">
        <v>5.5</v>
      </c>
      <c r="M24" s="742">
        <v>0.3</v>
      </c>
      <c r="N24" s="91">
        <v>0</v>
      </c>
      <c r="O24" s="91">
        <v>0</v>
      </c>
      <c r="P24" s="91">
        <v>0</v>
      </c>
      <c r="Q24" s="743">
        <v>7.3</v>
      </c>
    </row>
    <row r="25" spans="2:17" ht="15.75" customHeight="1">
      <c r="B25" s="92" t="s">
        <v>668</v>
      </c>
      <c r="C25" s="92" t="s">
        <v>674</v>
      </c>
      <c r="D25" s="93">
        <v>268</v>
      </c>
      <c r="E25" s="91">
        <v>0</v>
      </c>
      <c r="F25" s="91">
        <v>0</v>
      </c>
      <c r="G25" s="91">
        <v>0</v>
      </c>
      <c r="H25" s="91">
        <v>0</v>
      </c>
      <c r="I25" s="91">
        <v>0</v>
      </c>
      <c r="J25" s="91">
        <v>0</v>
      </c>
      <c r="K25" s="742">
        <v>0.1</v>
      </c>
      <c r="L25" s="742">
        <v>1</v>
      </c>
      <c r="M25" s="742">
        <v>0.1</v>
      </c>
      <c r="N25" s="91">
        <v>0</v>
      </c>
      <c r="O25" s="91">
        <v>0</v>
      </c>
      <c r="P25" s="91">
        <v>0</v>
      </c>
      <c r="Q25" s="743">
        <v>1.2</v>
      </c>
    </row>
    <row r="26" spans="2:17" ht="15.75" customHeight="1">
      <c r="B26" s="740" t="s">
        <v>668</v>
      </c>
      <c r="C26" s="740" t="s">
        <v>675</v>
      </c>
      <c r="D26" s="741">
        <v>169</v>
      </c>
      <c r="E26" s="91">
        <v>0</v>
      </c>
      <c r="F26" s="91">
        <v>0</v>
      </c>
      <c r="G26" s="91">
        <v>0</v>
      </c>
      <c r="H26" s="91">
        <v>0</v>
      </c>
      <c r="I26" s="91">
        <v>0</v>
      </c>
      <c r="J26" s="91">
        <v>0</v>
      </c>
      <c r="K26" s="742">
        <v>0.1</v>
      </c>
      <c r="L26" s="742">
        <v>2.1</v>
      </c>
      <c r="M26" s="742">
        <v>0.4</v>
      </c>
      <c r="N26" s="91">
        <v>0</v>
      </c>
      <c r="O26" s="91">
        <v>0</v>
      </c>
      <c r="P26" s="91">
        <v>0</v>
      </c>
      <c r="Q26" s="743">
        <v>2.6</v>
      </c>
    </row>
    <row r="27" spans="2:17" ht="3.75" customHeight="1"/>
    <row r="28" spans="2:17" ht="19.5" customHeight="1">
      <c r="B28" s="736" t="s">
        <v>765</v>
      </c>
      <c r="C28" s="737"/>
      <c r="D28" s="737"/>
      <c r="E28" s="737"/>
      <c r="F28" s="737"/>
      <c r="G28" s="737"/>
      <c r="H28" s="737"/>
      <c r="I28" s="737"/>
      <c r="J28" s="737"/>
      <c r="K28" s="737"/>
      <c r="L28" s="737"/>
      <c r="M28" s="737"/>
      <c r="N28" s="737"/>
      <c r="O28" s="737"/>
      <c r="P28" s="737"/>
      <c r="Q28" s="737"/>
    </row>
    <row r="29" spans="2:17" ht="15.75" customHeight="1">
      <c r="B29" s="738" t="s">
        <v>651</v>
      </c>
      <c r="C29" s="738" t="s">
        <v>652</v>
      </c>
      <c r="D29" s="738" t="s">
        <v>653</v>
      </c>
      <c r="E29" s="739" t="s">
        <v>654</v>
      </c>
      <c r="F29" s="739" t="s">
        <v>655</v>
      </c>
      <c r="G29" s="739" t="s">
        <v>656</v>
      </c>
      <c r="H29" s="739" t="s">
        <v>657</v>
      </c>
      <c r="I29" s="739" t="s">
        <v>658</v>
      </c>
      <c r="J29" s="739" t="s">
        <v>659</v>
      </c>
      <c r="K29" s="739" t="s">
        <v>660</v>
      </c>
      <c r="L29" s="739" t="s">
        <v>661</v>
      </c>
      <c r="M29" s="739" t="s">
        <v>662</v>
      </c>
      <c r="N29" s="739" t="s">
        <v>663</v>
      </c>
      <c r="O29" s="739" t="s">
        <v>664</v>
      </c>
      <c r="P29" s="739" t="s">
        <v>665</v>
      </c>
      <c r="Q29" s="738" t="s">
        <v>38</v>
      </c>
    </row>
    <row r="30" spans="2:17" ht="15.75" customHeight="1">
      <c r="B30" s="740" t="s">
        <v>666</v>
      </c>
      <c r="C30" s="740" t="s">
        <v>667</v>
      </c>
      <c r="D30" s="741">
        <v>156</v>
      </c>
      <c r="E30" s="91">
        <v>0</v>
      </c>
      <c r="F30" s="91">
        <v>0</v>
      </c>
      <c r="G30" s="91">
        <v>0</v>
      </c>
      <c r="H30" s="91">
        <v>0</v>
      </c>
      <c r="I30" s="744">
        <v>0.2</v>
      </c>
      <c r="J30" s="744">
        <v>1.8</v>
      </c>
      <c r="K30" s="744">
        <v>7.6</v>
      </c>
      <c r="L30" s="744">
        <v>12.5</v>
      </c>
      <c r="M30" s="744">
        <v>1.1000000000000001</v>
      </c>
      <c r="N30" s="91">
        <v>0</v>
      </c>
      <c r="O30" s="91">
        <v>0</v>
      </c>
      <c r="P30" s="91">
        <v>0</v>
      </c>
      <c r="Q30" s="745">
        <v>23.2</v>
      </c>
    </row>
    <row r="31" spans="2:17" ht="15.75" customHeight="1">
      <c r="B31" s="92" t="s">
        <v>668</v>
      </c>
      <c r="C31" s="92" t="s">
        <v>633</v>
      </c>
      <c r="D31" s="93">
        <v>165</v>
      </c>
      <c r="E31" s="91">
        <v>0</v>
      </c>
      <c r="F31" s="91">
        <v>0</v>
      </c>
      <c r="G31" s="91">
        <v>0</v>
      </c>
      <c r="H31" s="91">
        <v>0</v>
      </c>
      <c r="I31" s="91">
        <v>0</v>
      </c>
      <c r="J31" s="91">
        <v>0</v>
      </c>
      <c r="K31" s="744">
        <v>2.2000000000000002</v>
      </c>
      <c r="L31" s="744">
        <v>6.9</v>
      </c>
      <c r="M31" s="744">
        <v>0.7</v>
      </c>
      <c r="N31" s="91">
        <v>0</v>
      </c>
      <c r="O31" s="91">
        <v>0</v>
      </c>
      <c r="P31" s="91">
        <v>0</v>
      </c>
      <c r="Q31" s="745">
        <v>9.8000000000000007</v>
      </c>
    </row>
    <row r="32" spans="2:17" ht="15.75" customHeight="1">
      <c r="B32" s="740" t="s">
        <v>668</v>
      </c>
      <c r="C32" s="740" t="s">
        <v>669</v>
      </c>
      <c r="D32" s="741">
        <v>168</v>
      </c>
      <c r="E32" s="91">
        <v>0</v>
      </c>
      <c r="F32" s="91">
        <v>0</v>
      </c>
      <c r="G32" s="91">
        <v>0</v>
      </c>
      <c r="H32" s="91">
        <v>0</v>
      </c>
      <c r="I32" s="91">
        <v>0</v>
      </c>
      <c r="J32" s="91">
        <v>0</v>
      </c>
      <c r="K32" s="744">
        <v>0.7</v>
      </c>
      <c r="L32" s="744">
        <v>3.1</v>
      </c>
      <c r="M32" s="744">
        <v>0.5</v>
      </c>
      <c r="N32" s="91">
        <v>0</v>
      </c>
      <c r="O32" s="91">
        <v>0</v>
      </c>
      <c r="P32" s="91">
        <v>0</v>
      </c>
      <c r="Q32" s="745">
        <v>4.3</v>
      </c>
    </row>
    <row r="33" spans="2:17" ht="15.75" customHeight="1">
      <c r="B33" s="92" t="s">
        <v>668</v>
      </c>
      <c r="C33" s="92" t="s">
        <v>670</v>
      </c>
      <c r="D33" s="93">
        <v>174</v>
      </c>
      <c r="E33" s="91">
        <v>0</v>
      </c>
      <c r="F33" s="91">
        <v>0</v>
      </c>
      <c r="G33" s="91">
        <v>0</v>
      </c>
      <c r="H33" s="91">
        <v>0</v>
      </c>
      <c r="I33" s="91">
        <v>0</v>
      </c>
      <c r="J33" s="744">
        <v>0.4</v>
      </c>
      <c r="K33" s="744">
        <v>3.9</v>
      </c>
      <c r="L33" s="744">
        <v>8.3000000000000007</v>
      </c>
      <c r="M33" s="744">
        <v>0.4</v>
      </c>
      <c r="N33" s="91">
        <v>0</v>
      </c>
      <c r="O33" s="91">
        <v>0</v>
      </c>
      <c r="P33" s="91">
        <v>0</v>
      </c>
      <c r="Q33" s="745">
        <v>13</v>
      </c>
    </row>
    <row r="34" spans="2:17" ht="15.75" customHeight="1">
      <c r="B34" s="740" t="s">
        <v>668</v>
      </c>
      <c r="C34" s="740" t="s">
        <v>671</v>
      </c>
      <c r="D34" s="741">
        <v>170</v>
      </c>
      <c r="E34" s="91">
        <v>0</v>
      </c>
      <c r="F34" s="91">
        <v>0</v>
      </c>
      <c r="G34" s="91">
        <v>0</v>
      </c>
      <c r="H34" s="91">
        <v>0</v>
      </c>
      <c r="I34" s="91">
        <v>0</v>
      </c>
      <c r="J34" s="744">
        <v>0.1</v>
      </c>
      <c r="K34" s="744">
        <v>2</v>
      </c>
      <c r="L34" s="744">
        <v>7.2</v>
      </c>
      <c r="M34" s="744">
        <v>1.4</v>
      </c>
      <c r="N34" s="91">
        <v>0</v>
      </c>
      <c r="O34" s="91">
        <v>0</v>
      </c>
      <c r="P34" s="91">
        <v>0</v>
      </c>
      <c r="Q34" s="745">
        <v>10.7</v>
      </c>
    </row>
    <row r="35" spans="2:17" ht="15.75" customHeight="1">
      <c r="B35" s="92" t="s">
        <v>668</v>
      </c>
      <c r="C35" s="92" t="s">
        <v>672</v>
      </c>
      <c r="D35" s="93">
        <v>262</v>
      </c>
      <c r="E35" s="91">
        <v>0</v>
      </c>
      <c r="F35" s="91">
        <v>0</v>
      </c>
      <c r="G35" s="91">
        <v>0</v>
      </c>
      <c r="H35" s="91">
        <v>0</v>
      </c>
      <c r="I35" s="91">
        <v>0</v>
      </c>
      <c r="J35" s="744">
        <v>0.2</v>
      </c>
      <c r="K35" s="744">
        <v>2.4</v>
      </c>
      <c r="L35" s="744">
        <v>7.9</v>
      </c>
      <c r="M35" s="744">
        <v>1.2</v>
      </c>
      <c r="N35" s="91">
        <v>0</v>
      </c>
      <c r="O35" s="91">
        <v>0</v>
      </c>
      <c r="P35" s="91">
        <v>0</v>
      </c>
      <c r="Q35" s="745">
        <v>11.7</v>
      </c>
    </row>
    <row r="36" spans="2:17" ht="15.75" customHeight="1">
      <c r="B36" s="740" t="s">
        <v>668</v>
      </c>
      <c r="C36" s="740" t="s">
        <v>673</v>
      </c>
      <c r="D36" s="741">
        <v>261</v>
      </c>
      <c r="E36" s="91">
        <v>0</v>
      </c>
      <c r="F36" s="91">
        <v>0</v>
      </c>
      <c r="G36" s="91">
        <v>0</v>
      </c>
      <c r="H36" s="91">
        <v>0</v>
      </c>
      <c r="I36" s="91">
        <v>0</v>
      </c>
      <c r="J36" s="744">
        <v>0.3</v>
      </c>
      <c r="K36" s="744">
        <v>2.8</v>
      </c>
      <c r="L36" s="744">
        <v>10.9</v>
      </c>
      <c r="M36" s="744">
        <v>1</v>
      </c>
      <c r="N36" s="91">
        <v>0</v>
      </c>
      <c r="O36" s="91">
        <v>0</v>
      </c>
      <c r="P36" s="91">
        <v>0</v>
      </c>
      <c r="Q36" s="745">
        <v>15</v>
      </c>
    </row>
    <row r="37" spans="2:17" ht="15.75" customHeight="1">
      <c r="B37" s="92" t="s">
        <v>668</v>
      </c>
      <c r="C37" s="92" t="s">
        <v>674</v>
      </c>
      <c r="D37" s="93">
        <v>268</v>
      </c>
      <c r="E37" s="91">
        <v>0</v>
      </c>
      <c r="F37" s="91">
        <v>0</v>
      </c>
      <c r="G37" s="91">
        <v>0</v>
      </c>
      <c r="H37" s="91">
        <v>0</v>
      </c>
      <c r="I37" s="91">
        <v>0</v>
      </c>
      <c r="J37" s="91">
        <v>0</v>
      </c>
      <c r="K37" s="744">
        <v>0.8</v>
      </c>
      <c r="L37" s="744">
        <v>5.3</v>
      </c>
      <c r="M37" s="744">
        <v>0.8</v>
      </c>
      <c r="N37" s="91">
        <v>0</v>
      </c>
      <c r="O37" s="91">
        <v>0</v>
      </c>
      <c r="P37" s="91">
        <v>0</v>
      </c>
      <c r="Q37" s="745">
        <v>6.9</v>
      </c>
    </row>
    <row r="38" spans="2:17" ht="15.75" customHeight="1">
      <c r="B38" s="740" t="s">
        <v>668</v>
      </c>
      <c r="C38" s="740" t="s">
        <v>675</v>
      </c>
      <c r="D38" s="741">
        <v>169</v>
      </c>
      <c r="E38" s="91">
        <v>0</v>
      </c>
      <c r="F38" s="91">
        <v>0</v>
      </c>
      <c r="G38" s="91">
        <v>0</v>
      </c>
      <c r="H38" s="91">
        <v>0</v>
      </c>
      <c r="I38" s="91">
        <v>0</v>
      </c>
      <c r="J38" s="91">
        <v>0</v>
      </c>
      <c r="K38" s="744">
        <v>0.1</v>
      </c>
      <c r="L38" s="744">
        <v>2.5</v>
      </c>
      <c r="M38" s="744">
        <v>0.7</v>
      </c>
      <c r="N38" s="91">
        <v>0</v>
      </c>
      <c r="O38" s="91">
        <v>0</v>
      </c>
      <c r="P38" s="91">
        <v>0</v>
      </c>
      <c r="Q38" s="745">
        <v>3.3</v>
      </c>
    </row>
    <row r="39" spans="2:17" ht="3.75" customHeight="1"/>
    <row r="40" spans="2:17" ht="19.5" customHeight="1">
      <c r="B40" s="736" t="s">
        <v>766</v>
      </c>
      <c r="C40" s="737"/>
      <c r="D40" s="737"/>
      <c r="E40" s="737"/>
      <c r="F40" s="737"/>
      <c r="G40" s="737"/>
      <c r="H40" s="737"/>
      <c r="I40" s="737"/>
      <c r="J40" s="737"/>
      <c r="K40" s="737"/>
      <c r="L40" s="737"/>
      <c r="M40" s="737"/>
      <c r="N40" s="737"/>
      <c r="O40" s="737"/>
      <c r="P40" s="737"/>
      <c r="Q40" s="737"/>
    </row>
    <row r="41" spans="2:17" ht="15.75" customHeight="1">
      <c r="B41" s="738" t="s">
        <v>651</v>
      </c>
      <c r="C41" s="738" t="s">
        <v>652</v>
      </c>
      <c r="D41" s="738" t="s">
        <v>653</v>
      </c>
      <c r="E41" s="739" t="s">
        <v>654</v>
      </c>
      <c r="F41" s="739" t="s">
        <v>655</v>
      </c>
      <c r="G41" s="739" t="s">
        <v>656</v>
      </c>
      <c r="H41" s="739" t="s">
        <v>657</v>
      </c>
      <c r="I41" s="739" t="s">
        <v>658</v>
      </c>
      <c r="J41" s="739" t="s">
        <v>659</v>
      </c>
      <c r="K41" s="739" t="s">
        <v>660</v>
      </c>
      <c r="L41" s="739" t="s">
        <v>661</v>
      </c>
      <c r="M41" s="739" t="s">
        <v>662</v>
      </c>
      <c r="N41" s="739" t="s">
        <v>663</v>
      </c>
      <c r="O41" s="739" t="s">
        <v>664</v>
      </c>
      <c r="P41" s="739" t="s">
        <v>665</v>
      </c>
      <c r="Q41" s="738" t="s">
        <v>38</v>
      </c>
    </row>
    <row r="42" spans="2:17" ht="15.75" customHeight="1">
      <c r="B42" s="740" t="s">
        <v>666</v>
      </c>
      <c r="C42" s="740" t="s">
        <v>667</v>
      </c>
      <c r="D42" s="741">
        <v>156</v>
      </c>
      <c r="E42" s="91">
        <v>0</v>
      </c>
      <c r="F42" s="91">
        <v>0</v>
      </c>
      <c r="G42" s="91">
        <v>0</v>
      </c>
      <c r="H42" s="91">
        <v>0</v>
      </c>
      <c r="I42" s="91">
        <v>0</v>
      </c>
      <c r="J42" s="744">
        <v>0.2</v>
      </c>
      <c r="K42" s="744">
        <v>2</v>
      </c>
      <c r="L42" s="744">
        <v>3.5</v>
      </c>
      <c r="M42" s="744">
        <v>0.4</v>
      </c>
      <c r="N42" s="91">
        <v>0</v>
      </c>
      <c r="O42" s="91">
        <v>0</v>
      </c>
      <c r="P42" s="91">
        <v>0</v>
      </c>
      <c r="Q42" s="745">
        <v>6.1</v>
      </c>
    </row>
    <row r="43" spans="2:17" ht="15.75" customHeight="1">
      <c r="B43" s="92" t="s">
        <v>668</v>
      </c>
      <c r="C43" s="92" t="s">
        <v>633</v>
      </c>
      <c r="D43" s="93">
        <v>165</v>
      </c>
      <c r="E43" s="91">
        <v>0</v>
      </c>
      <c r="F43" s="91">
        <v>0</v>
      </c>
      <c r="G43" s="91">
        <v>0</v>
      </c>
      <c r="H43" s="91">
        <v>0</v>
      </c>
      <c r="I43" s="91">
        <v>0</v>
      </c>
      <c r="J43" s="91">
        <v>0</v>
      </c>
      <c r="K43" s="744">
        <v>0.2</v>
      </c>
      <c r="L43" s="744">
        <v>1</v>
      </c>
      <c r="M43" s="91">
        <v>0</v>
      </c>
      <c r="N43" s="91">
        <v>0</v>
      </c>
      <c r="O43" s="91">
        <v>0</v>
      </c>
      <c r="P43" s="91">
        <v>0</v>
      </c>
      <c r="Q43" s="745">
        <v>1.2</v>
      </c>
    </row>
    <row r="44" spans="2:17" ht="15.75" customHeight="1">
      <c r="B44" s="740" t="s">
        <v>668</v>
      </c>
      <c r="C44" s="740" t="s">
        <v>669</v>
      </c>
      <c r="D44" s="741">
        <v>168</v>
      </c>
      <c r="E44" s="91">
        <v>0</v>
      </c>
      <c r="F44" s="91">
        <v>0</v>
      </c>
      <c r="G44" s="91">
        <v>0</v>
      </c>
      <c r="H44" s="91">
        <v>0</v>
      </c>
      <c r="I44" s="91">
        <v>0</v>
      </c>
      <c r="J44" s="91">
        <v>0</v>
      </c>
      <c r="K44" s="744">
        <v>0.1</v>
      </c>
      <c r="L44" s="744">
        <v>0.1</v>
      </c>
      <c r="M44" s="91">
        <v>0</v>
      </c>
      <c r="N44" s="91">
        <v>0</v>
      </c>
      <c r="O44" s="91">
        <v>0</v>
      </c>
      <c r="P44" s="91">
        <v>0</v>
      </c>
      <c r="Q44" s="745">
        <v>0.2</v>
      </c>
    </row>
    <row r="45" spans="2:17" ht="15.75" customHeight="1">
      <c r="B45" s="92" t="s">
        <v>668</v>
      </c>
      <c r="C45" s="92" t="s">
        <v>670</v>
      </c>
      <c r="D45" s="93">
        <v>174</v>
      </c>
      <c r="E45" s="91">
        <v>0</v>
      </c>
      <c r="F45" s="91">
        <v>0</v>
      </c>
      <c r="G45" s="91">
        <v>0</v>
      </c>
      <c r="H45" s="91">
        <v>0</v>
      </c>
      <c r="I45" s="91">
        <v>0</v>
      </c>
      <c r="J45" s="91">
        <v>0</v>
      </c>
      <c r="K45" s="744">
        <v>0.9</v>
      </c>
      <c r="L45" s="744">
        <v>1.9</v>
      </c>
      <c r="M45" s="91">
        <v>0</v>
      </c>
      <c r="N45" s="91">
        <v>0</v>
      </c>
      <c r="O45" s="91">
        <v>0</v>
      </c>
      <c r="P45" s="91">
        <v>0</v>
      </c>
      <c r="Q45" s="745">
        <v>2.8</v>
      </c>
    </row>
    <row r="46" spans="2:17" ht="15.75" customHeight="1">
      <c r="B46" s="740" t="s">
        <v>668</v>
      </c>
      <c r="C46" s="740" t="s">
        <v>671</v>
      </c>
      <c r="D46" s="741">
        <v>170</v>
      </c>
      <c r="E46" s="91">
        <v>0</v>
      </c>
      <c r="F46" s="91">
        <v>0</v>
      </c>
      <c r="G46" s="91">
        <v>0</v>
      </c>
      <c r="H46" s="91">
        <v>0</v>
      </c>
      <c r="I46" s="91">
        <v>0</v>
      </c>
      <c r="J46" s="91">
        <v>0</v>
      </c>
      <c r="K46" s="744">
        <v>0.1</v>
      </c>
      <c r="L46" s="744">
        <v>2</v>
      </c>
      <c r="M46" s="744">
        <v>0.7</v>
      </c>
      <c r="N46" s="91">
        <v>0</v>
      </c>
      <c r="O46" s="91">
        <v>0</v>
      </c>
      <c r="P46" s="91">
        <v>0</v>
      </c>
      <c r="Q46" s="745">
        <v>2.8</v>
      </c>
    </row>
    <row r="47" spans="2:17" ht="15.75" customHeight="1">
      <c r="B47" s="92" t="s">
        <v>668</v>
      </c>
      <c r="C47" s="92" t="s">
        <v>672</v>
      </c>
      <c r="D47" s="93">
        <v>262</v>
      </c>
      <c r="E47" s="91">
        <v>0</v>
      </c>
      <c r="F47" s="91">
        <v>0</v>
      </c>
      <c r="G47" s="91">
        <v>0</v>
      </c>
      <c r="H47" s="91">
        <v>0</v>
      </c>
      <c r="I47" s="91">
        <v>0</v>
      </c>
      <c r="J47" s="91">
        <v>0</v>
      </c>
      <c r="K47" s="744">
        <v>0.2</v>
      </c>
      <c r="L47" s="744">
        <v>1.9</v>
      </c>
      <c r="M47" s="91">
        <v>0</v>
      </c>
      <c r="N47" s="91">
        <v>0</v>
      </c>
      <c r="O47" s="91">
        <v>0</v>
      </c>
      <c r="P47" s="91">
        <v>0</v>
      </c>
      <c r="Q47" s="745">
        <v>2.1</v>
      </c>
    </row>
    <row r="48" spans="2:17" ht="15.75" customHeight="1">
      <c r="B48" s="740" t="s">
        <v>668</v>
      </c>
      <c r="C48" s="740" t="s">
        <v>673</v>
      </c>
      <c r="D48" s="741">
        <v>261</v>
      </c>
      <c r="E48" s="91">
        <v>0</v>
      </c>
      <c r="F48" s="91">
        <v>0</v>
      </c>
      <c r="G48" s="91">
        <v>0</v>
      </c>
      <c r="H48" s="91">
        <v>0</v>
      </c>
      <c r="I48" s="91">
        <v>0</v>
      </c>
      <c r="J48" s="91">
        <v>0</v>
      </c>
      <c r="K48" s="744">
        <v>0.5</v>
      </c>
      <c r="L48" s="744">
        <v>2.4</v>
      </c>
      <c r="M48" s="91">
        <v>0</v>
      </c>
      <c r="N48" s="91">
        <v>0</v>
      </c>
      <c r="O48" s="91">
        <v>0</v>
      </c>
      <c r="P48" s="91">
        <v>0</v>
      </c>
      <c r="Q48" s="745">
        <v>2.9</v>
      </c>
    </row>
    <row r="49" spans="2:17" ht="15.75" customHeight="1">
      <c r="B49" s="92" t="s">
        <v>668</v>
      </c>
      <c r="C49" s="92" t="s">
        <v>674</v>
      </c>
      <c r="D49" s="93">
        <v>268</v>
      </c>
      <c r="E49" s="91">
        <v>0</v>
      </c>
      <c r="F49" s="91">
        <v>0</v>
      </c>
      <c r="G49" s="91">
        <v>0</v>
      </c>
      <c r="H49" s="91">
        <v>0</v>
      </c>
      <c r="I49" s="91">
        <v>0</v>
      </c>
      <c r="J49" s="91">
        <v>0</v>
      </c>
      <c r="K49" s="91">
        <v>0</v>
      </c>
      <c r="L49" s="744">
        <v>0.3</v>
      </c>
      <c r="M49" s="91">
        <v>0</v>
      </c>
      <c r="N49" s="91">
        <v>0</v>
      </c>
      <c r="O49" s="91">
        <v>0</v>
      </c>
      <c r="P49" s="91">
        <v>0</v>
      </c>
      <c r="Q49" s="745">
        <v>0.3</v>
      </c>
    </row>
    <row r="50" spans="2:17" ht="15.75" customHeight="1">
      <c r="B50" s="740" t="s">
        <v>668</v>
      </c>
      <c r="C50" s="740" t="s">
        <v>675</v>
      </c>
      <c r="D50" s="741">
        <v>169</v>
      </c>
      <c r="E50" s="91">
        <v>0</v>
      </c>
      <c r="F50" s="91">
        <v>0</v>
      </c>
      <c r="G50" s="91">
        <v>0</v>
      </c>
      <c r="H50" s="91">
        <v>0</v>
      </c>
      <c r="I50" s="91">
        <v>0</v>
      </c>
      <c r="J50" s="91">
        <v>0</v>
      </c>
      <c r="K50" s="91">
        <v>0</v>
      </c>
      <c r="L50" s="744">
        <v>0.2</v>
      </c>
      <c r="M50" s="744">
        <v>0.1</v>
      </c>
      <c r="N50" s="91">
        <v>0</v>
      </c>
      <c r="O50" s="91">
        <v>0</v>
      </c>
      <c r="P50" s="91">
        <v>0</v>
      </c>
      <c r="Q50" s="745">
        <v>0.3</v>
      </c>
    </row>
    <row r="51" spans="2:17" ht="3.75" customHeight="1"/>
    <row r="52" spans="2:17" ht="19.5" customHeight="1">
      <c r="B52" s="736" t="s">
        <v>767</v>
      </c>
      <c r="C52" s="737"/>
      <c r="D52" s="737"/>
      <c r="E52" s="737"/>
      <c r="F52" s="737"/>
      <c r="G52" s="737"/>
      <c r="H52" s="737"/>
      <c r="I52" s="737"/>
      <c r="J52" s="737"/>
      <c r="K52" s="737"/>
      <c r="L52" s="737"/>
      <c r="M52" s="737"/>
      <c r="N52" s="737"/>
      <c r="O52" s="737"/>
      <c r="P52" s="737"/>
      <c r="Q52" s="737"/>
    </row>
    <row r="53" spans="2:17" ht="15.75" customHeight="1">
      <c r="B53" s="738" t="s">
        <v>651</v>
      </c>
      <c r="C53" s="738" t="s">
        <v>652</v>
      </c>
      <c r="D53" s="738" t="s">
        <v>653</v>
      </c>
      <c r="E53" s="739" t="s">
        <v>654</v>
      </c>
      <c r="F53" s="739" t="s">
        <v>655</v>
      </c>
      <c r="G53" s="739" t="s">
        <v>656</v>
      </c>
      <c r="H53" s="739" t="s">
        <v>657</v>
      </c>
      <c r="I53" s="739" t="s">
        <v>658</v>
      </c>
      <c r="J53" s="739" t="s">
        <v>659</v>
      </c>
      <c r="K53" s="739" t="s">
        <v>660</v>
      </c>
      <c r="L53" s="739" t="s">
        <v>661</v>
      </c>
      <c r="M53" s="739" t="s">
        <v>662</v>
      </c>
      <c r="N53" s="739" t="s">
        <v>663</v>
      </c>
      <c r="O53" s="739" t="s">
        <v>664</v>
      </c>
      <c r="P53" s="739" t="s">
        <v>665</v>
      </c>
      <c r="Q53" s="738" t="s">
        <v>38</v>
      </c>
    </row>
    <row r="54" spans="2:17" ht="15.75" customHeight="1">
      <c r="B54" s="94" t="s">
        <v>666</v>
      </c>
      <c r="C54" s="94" t="s">
        <v>667</v>
      </c>
      <c r="D54" s="95">
        <v>156</v>
      </c>
      <c r="E54" s="96">
        <v>2.2000000000000002</v>
      </c>
      <c r="F54" s="96">
        <v>0.8</v>
      </c>
      <c r="G54" s="91">
        <v>0</v>
      </c>
      <c r="H54" s="91">
        <v>0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6">
        <v>1</v>
      </c>
      <c r="Q54" s="97">
        <v>4</v>
      </c>
    </row>
    <row r="55" spans="2:17" ht="15.75" customHeight="1">
      <c r="B55" s="92" t="s">
        <v>668</v>
      </c>
      <c r="C55" s="92" t="s">
        <v>633</v>
      </c>
      <c r="D55" s="93">
        <v>165</v>
      </c>
      <c r="E55" s="96">
        <v>2.2999999999999998</v>
      </c>
      <c r="F55" s="96">
        <v>1.3</v>
      </c>
      <c r="G55" s="91">
        <v>0</v>
      </c>
      <c r="H55" s="91">
        <v>0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6">
        <v>1.4</v>
      </c>
      <c r="Q55" s="97">
        <v>5</v>
      </c>
    </row>
    <row r="56" spans="2:17" ht="15.75" customHeight="1">
      <c r="B56" s="94" t="s">
        <v>668</v>
      </c>
      <c r="C56" s="94" t="s">
        <v>669</v>
      </c>
      <c r="D56" s="95">
        <v>168</v>
      </c>
      <c r="E56" s="96">
        <v>1.3</v>
      </c>
      <c r="F56" s="96">
        <v>0.3</v>
      </c>
      <c r="G56" s="91">
        <v>0</v>
      </c>
      <c r="H56" s="91">
        <v>0</v>
      </c>
      <c r="I56" s="91">
        <v>0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6">
        <v>0.5</v>
      </c>
      <c r="Q56" s="97">
        <v>2.1</v>
      </c>
    </row>
    <row r="57" spans="2:17" ht="15.75" customHeight="1">
      <c r="B57" s="92" t="s">
        <v>668</v>
      </c>
      <c r="C57" s="92" t="s">
        <v>670</v>
      </c>
      <c r="D57" s="93">
        <v>174</v>
      </c>
      <c r="E57" s="96">
        <v>2.6</v>
      </c>
      <c r="F57" s="96">
        <v>0.9</v>
      </c>
      <c r="G57" s="91">
        <v>0</v>
      </c>
      <c r="H57" s="91">
        <v>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6">
        <v>1.1000000000000001</v>
      </c>
      <c r="Q57" s="97">
        <v>4.5999999999999996</v>
      </c>
    </row>
    <row r="58" spans="2:17" ht="15.75" customHeight="1">
      <c r="B58" s="94" t="s">
        <v>668</v>
      </c>
      <c r="C58" s="94" t="s">
        <v>671</v>
      </c>
      <c r="D58" s="95">
        <v>170</v>
      </c>
      <c r="E58" s="96">
        <v>1.2</v>
      </c>
      <c r="F58" s="96">
        <v>0.3</v>
      </c>
      <c r="G58" s="91">
        <v>0</v>
      </c>
      <c r="H58" s="91">
        <v>0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6">
        <v>0.4</v>
      </c>
      <c r="Q58" s="97">
        <v>1.9</v>
      </c>
    </row>
    <row r="59" spans="2:17" ht="15.75" customHeight="1">
      <c r="B59" s="92" t="s">
        <v>668</v>
      </c>
      <c r="C59" s="92" t="s">
        <v>672</v>
      </c>
      <c r="D59" s="93">
        <v>262</v>
      </c>
      <c r="E59" s="96">
        <v>1.2</v>
      </c>
      <c r="F59" s="96">
        <v>0.4</v>
      </c>
      <c r="G59" s="91">
        <v>0</v>
      </c>
      <c r="H59" s="91">
        <v>0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6">
        <v>0.3</v>
      </c>
      <c r="Q59" s="97">
        <v>1.9</v>
      </c>
    </row>
    <row r="60" spans="2:17" ht="15.75" customHeight="1">
      <c r="B60" s="94" t="s">
        <v>668</v>
      </c>
      <c r="C60" s="94" t="s">
        <v>673</v>
      </c>
      <c r="D60" s="95">
        <v>261</v>
      </c>
      <c r="E60" s="96">
        <v>1.5</v>
      </c>
      <c r="F60" s="96">
        <v>1</v>
      </c>
      <c r="G60" s="91">
        <v>0</v>
      </c>
      <c r="H60" s="91">
        <v>0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6">
        <v>0.8</v>
      </c>
      <c r="Q60" s="97">
        <v>3.3</v>
      </c>
    </row>
    <row r="61" spans="2:17" ht="15.75" customHeight="1">
      <c r="B61" s="92" t="s">
        <v>668</v>
      </c>
      <c r="C61" s="92" t="s">
        <v>674</v>
      </c>
      <c r="D61" s="93">
        <v>268</v>
      </c>
      <c r="E61" s="96">
        <v>1.3</v>
      </c>
      <c r="F61" s="96">
        <v>0.4</v>
      </c>
      <c r="G61" s="91">
        <v>0</v>
      </c>
      <c r="H61" s="91">
        <v>0</v>
      </c>
      <c r="I61" s="91">
        <v>0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6">
        <v>0.3</v>
      </c>
      <c r="Q61" s="97">
        <v>2</v>
      </c>
    </row>
    <row r="62" spans="2:17" ht="15.75" customHeight="1">
      <c r="B62" s="94" t="s">
        <v>668</v>
      </c>
      <c r="C62" s="94" t="s">
        <v>675</v>
      </c>
      <c r="D62" s="95">
        <v>169</v>
      </c>
      <c r="E62" s="96">
        <v>1.2</v>
      </c>
      <c r="F62" s="96">
        <v>0.2</v>
      </c>
      <c r="G62" s="91">
        <v>0</v>
      </c>
      <c r="H62" s="91">
        <v>0</v>
      </c>
      <c r="I62" s="91">
        <v>0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6">
        <v>0.1</v>
      </c>
      <c r="Q62" s="97">
        <v>1.5</v>
      </c>
    </row>
    <row r="63" spans="2:17" ht="3.75" customHeight="1"/>
    <row r="64" spans="2:17" ht="19.5" customHeight="1">
      <c r="B64" s="736" t="s">
        <v>768</v>
      </c>
      <c r="C64" s="737"/>
      <c r="D64" s="737"/>
      <c r="E64" s="737"/>
      <c r="F64" s="737"/>
      <c r="G64" s="737"/>
      <c r="H64" s="737"/>
      <c r="I64" s="737"/>
      <c r="J64" s="737"/>
      <c r="K64" s="737"/>
      <c r="L64" s="737"/>
      <c r="M64" s="737"/>
      <c r="N64" s="737"/>
      <c r="O64" s="737"/>
      <c r="P64" s="737"/>
      <c r="Q64" s="737"/>
    </row>
    <row r="65" spans="2:17" ht="15.75" customHeight="1">
      <c r="B65" s="738" t="s">
        <v>651</v>
      </c>
      <c r="C65" s="738" t="s">
        <v>652</v>
      </c>
      <c r="D65" s="738" t="s">
        <v>653</v>
      </c>
      <c r="E65" s="739" t="s">
        <v>654</v>
      </c>
      <c r="F65" s="739" t="s">
        <v>655</v>
      </c>
      <c r="G65" s="739" t="s">
        <v>656</v>
      </c>
      <c r="H65" s="739" t="s">
        <v>657</v>
      </c>
      <c r="I65" s="739" t="s">
        <v>658</v>
      </c>
      <c r="J65" s="739" t="s">
        <v>659</v>
      </c>
      <c r="K65" s="739" t="s">
        <v>660</v>
      </c>
      <c r="L65" s="739" t="s">
        <v>661</v>
      </c>
      <c r="M65" s="739" t="s">
        <v>662</v>
      </c>
      <c r="N65" s="739" t="s">
        <v>663</v>
      </c>
      <c r="O65" s="739" t="s">
        <v>664</v>
      </c>
      <c r="P65" s="739" t="s">
        <v>665</v>
      </c>
      <c r="Q65" s="738" t="s">
        <v>38</v>
      </c>
    </row>
    <row r="66" spans="2:17" ht="15.75" customHeight="1">
      <c r="B66" s="98" t="s">
        <v>666</v>
      </c>
      <c r="C66" s="98" t="s">
        <v>667</v>
      </c>
      <c r="D66" s="99">
        <v>156</v>
      </c>
      <c r="E66" s="100">
        <v>1.2</v>
      </c>
      <c r="F66" s="100">
        <v>0.4</v>
      </c>
      <c r="G66" s="91">
        <v>0</v>
      </c>
      <c r="H66" s="91">
        <v>0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100">
        <v>0.1</v>
      </c>
      <c r="P66" s="100">
        <v>0.9</v>
      </c>
      <c r="Q66" s="101">
        <v>2.6</v>
      </c>
    </row>
    <row r="67" spans="2:17" ht="15.75" customHeight="1">
      <c r="B67" s="92" t="s">
        <v>668</v>
      </c>
      <c r="C67" s="92" t="s">
        <v>633</v>
      </c>
      <c r="D67" s="93">
        <v>165</v>
      </c>
      <c r="E67" s="100">
        <v>1</v>
      </c>
      <c r="F67" s="100">
        <v>0.3</v>
      </c>
      <c r="G67" s="91">
        <v>0</v>
      </c>
      <c r="H67" s="91">
        <v>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100">
        <v>0.9</v>
      </c>
      <c r="Q67" s="101">
        <v>2.2000000000000002</v>
      </c>
    </row>
    <row r="68" spans="2:17" ht="15.75" customHeight="1">
      <c r="B68" s="98" t="s">
        <v>668</v>
      </c>
      <c r="C68" s="98" t="s">
        <v>669</v>
      </c>
      <c r="D68" s="99">
        <v>168</v>
      </c>
      <c r="E68" s="91">
        <v>0</v>
      </c>
      <c r="F68" s="91">
        <v>0</v>
      </c>
      <c r="G68" s="91">
        <v>0</v>
      </c>
      <c r="H68" s="91">
        <v>0</v>
      </c>
      <c r="I68" s="91">
        <v>0</v>
      </c>
      <c r="J68" s="91">
        <v>0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101">
        <v>0</v>
      </c>
    </row>
    <row r="69" spans="2:17" ht="15.75" customHeight="1">
      <c r="B69" s="92" t="s">
        <v>668</v>
      </c>
      <c r="C69" s="92" t="s">
        <v>670</v>
      </c>
      <c r="D69" s="93">
        <v>174</v>
      </c>
      <c r="E69" s="100">
        <v>0.1</v>
      </c>
      <c r="F69" s="91">
        <v>0</v>
      </c>
      <c r="G69" s="91">
        <v>0</v>
      </c>
      <c r="H69" s="91">
        <v>0</v>
      </c>
      <c r="I69" s="91">
        <v>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0</v>
      </c>
      <c r="Q69" s="101">
        <v>0.1</v>
      </c>
    </row>
    <row r="70" spans="2:17" ht="15.75" customHeight="1">
      <c r="B70" s="98" t="s">
        <v>668</v>
      </c>
      <c r="C70" s="98" t="s">
        <v>671</v>
      </c>
      <c r="D70" s="99">
        <v>170</v>
      </c>
      <c r="E70" s="91">
        <v>0</v>
      </c>
      <c r="F70" s="91">
        <v>0</v>
      </c>
      <c r="G70" s="91">
        <v>0</v>
      </c>
      <c r="H70" s="91">
        <v>0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0</v>
      </c>
      <c r="Q70" s="101">
        <v>0</v>
      </c>
    </row>
    <row r="71" spans="2:17" ht="15.75" customHeight="1">
      <c r="B71" s="92" t="s">
        <v>668</v>
      </c>
      <c r="C71" s="92" t="s">
        <v>672</v>
      </c>
      <c r="D71" s="93">
        <v>262</v>
      </c>
      <c r="E71" s="91">
        <v>0</v>
      </c>
      <c r="F71" s="91">
        <v>0</v>
      </c>
      <c r="G71" s="91">
        <v>0</v>
      </c>
      <c r="H71" s="91">
        <v>0</v>
      </c>
      <c r="I71" s="91">
        <v>0</v>
      </c>
      <c r="J71" s="91">
        <v>0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91">
        <v>0</v>
      </c>
      <c r="Q71" s="101">
        <v>0</v>
      </c>
    </row>
    <row r="72" spans="2:17" ht="15.75" customHeight="1">
      <c r="B72" s="98" t="s">
        <v>668</v>
      </c>
      <c r="C72" s="98" t="s">
        <v>673</v>
      </c>
      <c r="D72" s="99">
        <v>261</v>
      </c>
      <c r="E72" s="91">
        <v>0</v>
      </c>
      <c r="F72" s="91">
        <v>0</v>
      </c>
      <c r="G72" s="91">
        <v>0</v>
      </c>
      <c r="H72" s="91">
        <v>0</v>
      </c>
      <c r="I72" s="91">
        <v>0</v>
      </c>
      <c r="J72" s="91">
        <v>0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0</v>
      </c>
      <c r="Q72" s="101">
        <v>0</v>
      </c>
    </row>
    <row r="73" spans="2:17" ht="15.75" customHeight="1">
      <c r="B73" s="92" t="s">
        <v>668</v>
      </c>
      <c r="C73" s="92" t="s">
        <v>674</v>
      </c>
      <c r="D73" s="93">
        <v>268</v>
      </c>
      <c r="E73" s="91">
        <v>0</v>
      </c>
      <c r="F73" s="91">
        <v>0</v>
      </c>
      <c r="G73" s="91">
        <v>0</v>
      </c>
      <c r="H73" s="91">
        <v>0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101">
        <v>0</v>
      </c>
    </row>
    <row r="74" spans="2:17" ht="15.75" customHeight="1">
      <c r="B74" s="98" t="s">
        <v>668</v>
      </c>
      <c r="C74" s="98" t="s">
        <v>675</v>
      </c>
      <c r="D74" s="99">
        <v>169</v>
      </c>
      <c r="E74" s="100">
        <v>0.4</v>
      </c>
      <c r="F74" s="100">
        <v>0.1</v>
      </c>
      <c r="G74" s="91">
        <v>0</v>
      </c>
      <c r="H74" s="91">
        <v>0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100">
        <v>0.4</v>
      </c>
      <c r="Q74" s="101">
        <v>0.9</v>
      </c>
    </row>
    <row r="75" spans="2:17" ht="3.75" customHeight="1"/>
    <row r="76" spans="2:17" ht="19.5" customHeight="1">
      <c r="B76" s="736" t="s">
        <v>769</v>
      </c>
      <c r="C76" s="737"/>
      <c r="D76" s="737"/>
      <c r="E76" s="737"/>
      <c r="F76" s="737"/>
      <c r="G76" s="737"/>
      <c r="H76" s="737"/>
      <c r="I76" s="737"/>
      <c r="J76" s="737"/>
      <c r="K76" s="737"/>
      <c r="L76" s="737"/>
      <c r="M76" s="737"/>
      <c r="N76" s="737"/>
      <c r="O76" s="737"/>
      <c r="P76" s="737"/>
      <c r="Q76" s="737"/>
    </row>
    <row r="77" spans="2:17" ht="15.75" customHeight="1">
      <c r="B77" s="738" t="s">
        <v>651</v>
      </c>
      <c r="C77" s="738" t="s">
        <v>652</v>
      </c>
      <c r="D77" s="738" t="s">
        <v>653</v>
      </c>
      <c r="E77" s="739" t="s">
        <v>654</v>
      </c>
      <c r="F77" s="739" t="s">
        <v>655</v>
      </c>
      <c r="G77" s="739" t="s">
        <v>656</v>
      </c>
      <c r="H77" s="739" t="s">
        <v>657</v>
      </c>
      <c r="I77" s="739" t="s">
        <v>658</v>
      </c>
      <c r="J77" s="739" t="s">
        <v>659</v>
      </c>
      <c r="K77" s="739" t="s">
        <v>660</v>
      </c>
      <c r="L77" s="739" t="s">
        <v>661</v>
      </c>
      <c r="M77" s="739" t="s">
        <v>662</v>
      </c>
      <c r="N77" s="739" t="s">
        <v>663</v>
      </c>
      <c r="O77" s="739" t="s">
        <v>664</v>
      </c>
      <c r="P77" s="739" t="s">
        <v>665</v>
      </c>
      <c r="Q77" s="738" t="s">
        <v>38</v>
      </c>
    </row>
    <row r="78" spans="2:17" ht="15.75" customHeight="1">
      <c r="B78" s="94" t="s">
        <v>666</v>
      </c>
      <c r="C78" s="94" t="s">
        <v>667</v>
      </c>
      <c r="D78" s="95">
        <v>156</v>
      </c>
      <c r="E78" s="96">
        <v>2.8</v>
      </c>
      <c r="F78" s="96">
        <v>1.1000000000000001</v>
      </c>
      <c r="G78" s="91">
        <v>0</v>
      </c>
      <c r="H78" s="91">
        <v>0</v>
      </c>
      <c r="I78" s="91">
        <v>0</v>
      </c>
      <c r="J78" s="91">
        <v>0</v>
      </c>
      <c r="K78" s="91">
        <v>0</v>
      </c>
      <c r="L78" s="91">
        <v>0</v>
      </c>
      <c r="M78" s="91">
        <v>0</v>
      </c>
      <c r="N78" s="91">
        <v>0</v>
      </c>
      <c r="O78" s="96">
        <v>0.1</v>
      </c>
      <c r="P78" s="96">
        <v>1.6</v>
      </c>
      <c r="Q78" s="97">
        <v>5.6</v>
      </c>
    </row>
    <row r="79" spans="2:17" ht="15.75" customHeight="1">
      <c r="B79" s="92" t="s">
        <v>668</v>
      </c>
      <c r="C79" s="92" t="s">
        <v>633</v>
      </c>
      <c r="D79" s="93">
        <v>165</v>
      </c>
      <c r="E79" s="96">
        <v>2.4</v>
      </c>
      <c r="F79" s="96">
        <v>1.3</v>
      </c>
      <c r="G79" s="91">
        <v>0</v>
      </c>
      <c r="H79" s="91">
        <v>0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96">
        <v>1.9</v>
      </c>
      <c r="Q79" s="97">
        <v>5.6</v>
      </c>
    </row>
    <row r="80" spans="2:17" ht="15.75" customHeight="1">
      <c r="B80" s="94" t="s">
        <v>668</v>
      </c>
      <c r="C80" s="94" t="s">
        <v>669</v>
      </c>
      <c r="D80" s="95">
        <v>168</v>
      </c>
      <c r="E80" s="96">
        <v>1.3</v>
      </c>
      <c r="F80" s="96">
        <v>0.3</v>
      </c>
      <c r="G80" s="91">
        <v>0</v>
      </c>
      <c r="H80" s="91">
        <v>0</v>
      </c>
      <c r="I80" s="91">
        <v>0</v>
      </c>
      <c r="J80" s="91">
        <v>0</v>
      </c>
      <c r="K80" s="91">
        <v>0</v>
      </c>
      <c r="L80" s="91">
        <v>0</v>
      </c>
      <c r="M80" s="91">
        <v>0</v>
      </c>
      <c r="N80" s="91">
        <v>0</v>
      </c>
      <c r="O80" s="91">
        <v>0</v>
      </c>
      <c r="P80" s="96">
        <v>0.5</v>
      </c>
      <c r="Q80" s="97">
        <v>2.1</v>
      </c>
    </row>
    <row r="81" spans="2:17" ht="15.75" customHeight="1">
      <c r="B81" s="92" t="s">
        <v>668</v>
      </c>
      <c r="C81" s="92" t="s">
        <v>670</v>
      </c>
      <c r="D81" s="93">
        <v>174</v>
      </c>
      <c r="E81" s="96">
        <v>2.6</v>
      </c>
      <c r="F81" s="96">
        <v>0.9</v>
      </c>
      <c r="G81" s="91">
        <v>0</v>
      </c>
      <c r="H81" s="91">
        <v>0</v>
      </c>
      <c r="I81" s="91">
        <v>0</v>
      </c>
      <c r="J81" s="91">
        <v>0</v>
      </c>
      <c r="K81" s="91">
        <v>0</v>
      </c>
      <c r="L81" s="91">
        <v>0</v>
      </c>
      <c r="M81" s="91">
        <v>0</v>
      </c>
      <c r="N81" s="91">
        <v>0</v>
      </c>
      <c r="O81" s="91">
        <v>0</v>
      </c>
      <c r="P81" s="96">
        <v>1.1000000000000001</v>
      </c>
      <c r="Q81" s="97">
        <v>4.5999999999999996</v>
      </c>
    </row>
    <row r="82" spans="2:17" ht="15.75" customHeight="1">
      <c r="B82" s="94" t="s">
        <v>668</v>
      </c>
      <c r="C82" s="94" t="s">
        <v>671</v>
      </c>
      <c r="D82" s="95">
        <v>170</v>
      </c>
      <c r="E82" s="96">
        <v>1.2</v>
      </c>
      <c r="F82" s="96">
        <v>0.3</v>
      </c>
      <c r="G82" s="91">
        <v>0</v>
      </c>
      <c r="H82" s="91">
        <v>0</v>
      </c>
      <c r="I82" s="91">
        <v>0</v>
      </c>
      <c r="J82" s="91">
        <v>0</v>
      </c>
      <c r="K82" s="91">
        <v>0</v>
      </c>
      <c r="L82" s="91">
        <v>0</v>
      </c>
      <c r="M82" s="91">
        <v>0</v>
      </c>
      <c r="N82" s="91">
        <v>0</v>
      </c>
      <c r="O82" s="91">
        <v>0</v>
      </c>
      <c r="P82" s="96">
        <v>0.4</v>
      </c>
      <c r="Q82" s="97">
        <v>1.9</v>
      </c>
    </row>
    <row r="83" spans="2:17" ht="15.75" customHeight="1">
      <c r="B83" s="92" t="s">
        <v>668</v>
      </c>
      <c r="C83" s="92" t="s">
        <v>672</v>
      </c>
      <c r="D83" s="93">
        <v>262</v>
      </c>
      <c r="E83" s="96">
        <v>1.2</v>
      </c>
      <c r="F83" s="96">
        <v>0.4</v>
      </c>
      <c r="G83" s="91">
        <v>0</v>
      </c>
      <c r="H83" s="91">
        <v>0</v>
      </c>
      <c r="I83" s="91">
        <v>0</v>
      </c>
      <c r="J83" s="91">
        <v>0</v>
      </c>
      <c r="K83" s="91">
        <v>0</v>
      </c>
      <c r="L83" s="91">
        <v>0</v>
      </c>
      <c r="M83" s="91">
        <v>0</v>
      </c>
      <c r="N83" s="91">
        <v>0</v>
      </c>
      <c r="O83" s="91">
        <v>0</v>
      </c>
      <c r="P83" s="96">
        <v>0.3</v>
      </c>
      <c r="Q83" s="97">
        <v>1.9</v>
      </c>
    </row>
    <row r="84" spans="2:17" ht="15.75" customHeight="1">
      <c r="B84" s="94" t="s">
        <v>668</v>
      </c>
      <c r="C84" s="94" t="s">
        <v>673</v>
      </c>
      <c r="D84" s="95">
        <v>261</v>
      </c>
      <c r="E84" s="96">
        <v>1.5</v>
      </c>
      <c r="F84" s="96">
        <v>1</v>
      </c>
      <c r="G84" s="91">
        <v>0</v>
      </c>
      <c r="H84" s="91">
        <v>0</v>
      </c>
      <c r="I84" s="91">
        <v>0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6">
        <v>0.8</v>
      </c>
      <c r="Q84" s="97">
        <v>3.3</v>
      </c>
    </row>
    <row r="85" spans="2:17" ht="15.75" customHeight="1">
      <c r="B85" s="92" t="s">
        <v>668</v>
      </c>
      <c r="C85" s="92" t="s">
        <v>674</v>
      </c>
      <c r="D85" s="93">
        <v>268</v>
      </c>
      <c r="E85" s="96">
        <v>1.3</v>
      </c>
      <c r="F85" s="96">
        <v>0.4</v>
      </c>
      <c r="G85" s="91">
        <v>0</v>
      </c>
      <c r="H85" s="91">
        <v>0</v>
      </c>
      <c r="I85" s="91">
        <v>0</v>
      </c>
      <c r="J85" s="91">
        <v>0</v>
      </c>
      <c r="K85" s="91">
        <v>0</v>
      </c>
      <c r="L85" s="91">
        <v>0</v>
      </c>
      <c r="M85" s="91">
        <v>0</v>
      </c>
      <c r="N85" s="91">
        <v>0</v>
      </c>
      <c r="O85" s="91">
        <v>0</v>
      </c>
      <c r="P85" s="96">
        <v>0.3</v>
      </c>
      <c r="Q85" s="97">
        <v>2</v>
      </c>
    </row>
    <row r="86" spans="2:17" ht="15.75" customHeight="1">
      <c r="B86" s="94" t="s">
        <v>668</v>
      </c>
      <c r="C86" s="94" t="s">
        <v>675</v>
      </c>
      <c r="D86" s="95">
        <v>169</v>
      </c>
      <c r="E86" s="96">
        <v>1.5</v>
      </c>
      <c r="F86" s="96">
        <v>0.2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  <c r="L86" s="91">
        <v>0</v>
      </c>
      <c r="M86" s="91">
        <v>0</v>
      </c>
      <c r="N86" s="91">
        <v>0</v>
      </c>
      <c r="O86" s="91">
        <v>0</v>
      </c>
      <c r="P86" s="96">
        <v>0.1</v>
      </c>
      <c r="Q86" s="97">
        <v>1.8</v>
      </c>
    </row>
    <row r="87" spans="2:17" ht="3.75" customHeight="1"/>
    <row r="88" spans="2:17" ht="19.5" customHeight="1">
      <c r="B88" s="736" t="s">
        <v>770</v>
      </c>
      <c r="C88" s="737"/>
      <c r="D88" s="737"/>
      <c r="E88" s="737"/>
      <c r="F88" s="737"/>
      <c r="G88" s="737"/>
      <c r="H88" s="737"/>
      <c r="I88" s="737"/>
      <c r="J88" s="737"/>
      <c r="K88" s="737"/>
      <c r="L88" s="737"/>
      <c r="M88" s="737"/>
      <c r="N88" s="737"/>
      <c r="O88" s="737"/>
      <c r="P88" s="737"/>
      <c r="Q88" s="737"/>
    </row>
    <row r="89" spans="2:17" ht="15.75" customHeight="1">
      <c r="B89" s="738" t="s">
        <v>651</v>
      </c>
      <c r="C89" s="738" t="s">
        <v>652</v>
      </c>
      <c r="D89" s="738" t="s">
        <v>653</v>
      </c>
      <c r="E89" s="739" t="s">
        <v>654</v>
      </c>
      <c r="F89" s="739" t="s">
        <v>655</v>
      </c>
      <c r="G89" s="739" t="s">
        <v>656</v>
      </c>
      <c r="H89" s="739" t="s">
        <v>657</v>
      </c>
      <c r="I89" s="739" t="s">
        <v>658</v>
      </c>
      <c r="J89" s="739" t="s">
        <v>659</v>
      </c>
      <c r="K89" s="739" t="s">
        <v>660</v>
      </c>
      <c r="L89" s="739" t="s">
        <v>661</v>
      </c>
      <c r="M89" s="739" t="s">
        <v>662</v>
      </c>
      <c r="N89" s="739" t="s">
        <v>663</v>
      </c>
      <c r="O89" s="739" t="s">
        <v>664</v>
      </c>
      <c r="P89" s="739" t="s">
        <v>665</v>
      </c>
      <c r="Q89" s="738" t="s">
        <v>38</v>
      </c>
    </row>
    <row r="90" spans="2:17" ht="15.75" customHeight="1">
      <c r="B90" s="98" t="s">
        <v>666</v>
      </c>
      <c r="C90" s="98" t="s">
        <v>667</v>
      </c>
      <c r="D90" s="99">
        <v>156</v>
      </c>
      <c r="E90" s="91">
        <v>0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101">
        <v>0</v>
      </c>
    </row>
    <row r="91" spans="2:17" ht="15.75" customHeight="1">
      <c r="B91" s="92" t="s">
        <v>668</v>
      </c>
      <c r="C91" s="92" t="s">
        <v>633</v>
      </c>
      <c r="D91" s="93">
        <v>165</v>
      </c>
      <c r="E91" s="91">
        <v>0</v>
      </c>
      <c r="F91" s="91">
        <v>0</v>
      </c>
      <c r="G91" s="91">
        <v>0</v>
      </c>
      <c r="H91" s="91">
        <v>0</v>
      </c>
      <c r="I91" s="91">
        <v>0</v>
      </c>
      <c r="J91" s="91">
        <v>0</v>
      </c>
      <c r="K91" s="91">
        <v>0</v>
      </c>
      <c r="L91" s="91">
        <v>0</v>
      </c>
      <c r="M91" s="91">
        <v>0</v>
      </c>
      <c r="N91" s="91">
        <v>0</v>
      </c>
      <c r="O91" s="91">
        <v>0</v>
      </c>
      <c r="P91" s="91">
        <v>0</v>
      </c>
      <c r="Q91" s="101">
        <v>0</v>
      </c>
    </row>
    <row r="92" spans="2:17" ht="15.75" customHeight="1">
      <c r="B92" s="98" t="s">
        <v>668</v>
      </c>
      <c r="C92" s="98" t="s">
        <v>669</v>
      </c>
      <c r="D92" s="99">
        <v>168</v>
      </c>
      <c r="E92" s="91">
        <v>0</v>
      </c>
      <c r="F92" s="91">
        <v>0</v>
      </c>
      <c r="G92" s="91">
        <v>0</v>
      </c>
      <c r="H92" s="91">
        <v>0</v>
      </c>
      <c r="I92" s="91">
        <v>0</v>
      </c>
      <c r="J92" s="91">
        <v>0</v>
      </c>
      <c r="K92" s="91">
        <v>0</v>
      </c>
      <c r="L92" s="91">
        <v>0</v>
      </c>
      <c r="M92" s="91">
        <v>0</v>
      </c>
      <c r="N92" s="91">
        <v>0</v>
      </c>
      <c r="O92" s="91">
        <v>0</v>
      </c>
      <c r="P92" s="91">
        <v>0</v>
      </c>
      <c r="Q92" s="101">
        <v>0</v>
      </c>
    </row>
    <row r="93" spans="2:17" ht="15.75" customHeight="1">
      <c r="B93" s="92" t="s">
        <v>668</v>
      </c>
      <c r="C93" s="92" t="s">
        <v>670</v>
      </c>
      <c r="D93" s="93">
        <v>174</v>
      </c>
      <c r="E93" s="91">
        <v>0</v>
      </c>
      <c r="F93" s="91">
        <v>0</v>
      </c>
      <c r="G93" s="91">
        <v>0</v>
      </c>
      <c r="H93" s="91">
        <v>0</v>
      </c>
      <c r="I93" s="91">
        <v>0</v>
      </c>
      <c r="J93" s="91">
        <v>0</v>
      </c>
      <c r="K93" s="91">
        <v>0</v>
      </c>
      <c r="L93" s="91">
        <v>0</v>
      </c>
      <c r="M93" s="91">
        <v>0</v>
      </c>
      <c r="N93" s="91">
        <v>0</v>
      </c>
      <c r="O93" s="91">
        <v>0</v>
      </c>
      <c r="P93" s="91">
        <v>0</v>
      </c>
      <c r="Q93" s="101">
        <v>0</v>
      </c>
    </row>
    <row r="94" spans="2:17" ht="15.75" customHeight="1">
      <c r="B94" s="98" t="s">
        <v>668</v>
      </c>
      <c r="C94" s="98" t="s">
        <v>671</v>
      </c>
      <c r="D94" s="99">
        <v>170</v>
      </c>
      <c r="E94" s="91">
        <v>0</v>
      </c>
      <c r="F94" s="91">
        <v>0</v>
      </c>
      <c r="G94" s="91">
        <v>0</v>
      </c>
      <c r="H94" s="91">
        <v>0</v>
      </c>
      <c r="I94" s="91">
        <v>0</v>
      </c>
      <c r="J94" s="91">
        <v>0</v>
      </c>
      <c r="K94" s="91">
        <v>0</v>
      </c>
      <c r="L94" s="91">
        <v>0</v>
      </c>
      <c r="M94" s="91">
        <v>0</v>
      </c>
      <c r="N94" s="91">
        <v>0</v>
      </c>
      <c r="O94" s="91">
        <v>0</v>
      </c>
      <c r="P94" s="91">
        <v>0</v>
      </c>
      <c r="Q94" s="101">
        <v>0</v>
      </c>
    </row>
    <row r="95" spans="2:17" ht="15.75" customHeight="1">
      <c r="B95" s="92" t="s">
        <v>668</v>
      </c>
      <c r="C95" s="92" t="s">
        <v>672</v>
      </c>
      <c r="D95" s="93">
        <v>262</v>
      </c>
      <c r="E95" s="91">
        <v>0</v>
      </c>
      <c r="F95" s="91">
        <v>0</v>
      </c>
      <c r="G95" s="91">
        <v>0</v>
      </c>
      <c r="H95" s="91">
        <v>0</v>
      </c>
      <c r="I95" s="91">
        <v>0</v>
      </c>
      <c r="J95" s="91">
        <v>0</v>
      </c>
      <c r="K95" s="91">
        <v>0</v>
      </c>
      <c r="L95" s="91">
        <v>0</v>
      </c>
      <c r="M95" s="91">
        <v>0</v>
      </c>
      <c r="N95" s="91">
        <v>0</v>
      </c>
      <c r="O95" s="91">
        <v>0</v>
      </c>
      <c r="P95" s="91">
        <v>0</v>
      </c>
      <c r="Q95" s="101">
        <v>0</v>
      </c>
    </row>
    <row r="96" spans="2:17" ht="15.75" customHeight="1">
      <c r="B96" s="98" t="s">
        <v>668</v>
      </c>
      <c r="C96" s="98" t="s">
        <v>673</v>
      </c>
      <c r="D96" s="99">
        <v>261</v>
      </c>
      <c r="E96" s="91">
        <v>0</v>
      </c>
      <c r="F96" s="91">
        <v>0</v>
      </c>
      <c r="G96" s="91">
        <v>0</v>
      </c>
      <c r="H96" s="91">
        <v>0</v>
      </c>
      <c r="I96" s="91">
        <v>0</v>
      </c>
      <c r="J96" s="91">
        <v>0</v>
      </c>
      <c r="K96" s="91">
        <v>0</v>
      </c>
      <c r="L96" s="91">
        <v>0</v>
      </c>
      <c r="M96" s="91">
        <v>0</v>
      </c>
      <c r="N96" s="91">
        <v>0</v>
      </c>
      <c r="O96" s="91">
        <v>0</v>
      </c>
      <c r="P96" s="91">
        <v>0</v>
      </c>
      <c r="Q96" s="101">
        <v>0</v>
      </c>
    </row>
    <row r="97" spans="2:17" ht="15.75" customHeight="1">
      <c r="B97" s="92" t="s">
        <v>668</v>
      </c>
      <c r="C97" s="92" t="s">
        <v>674</v>
      </c>
      <c r="D97" s="93">
        <v>268</v>
      </c>
      <c r="E97" s="91">
        <v>0</v>
      </c>
      <c r="F97" s="91">
        <v>0</v>
      </c>
      <c r="G97" s="91">
        <v>0</v>
      </c>
      <c r="H97" s="91">
        <v>0</v>
      </c>
      <c r="I97" s="91">
        <v>0</v>
      </c>
      <c r="J97" s="91">
        <v>0</v>
      </c>
      <c r="K97" s="91">
        <v>0</v>
      </c>
      <c r="L97" s="91">
        <v>0</v>
      </c>
      <c r="M97" s="91">
        <v>0</v>
      </c>
      <c r="N97" s="91">
        <v>0</v>
      </c>
      <c r="O97" s="91">
        <v>0</v>
      </c>
      <c r="P97" s="91">
        <v>0</v>
      </c>
      <c r="Q97" s="101">
        <v>0</v>
      </c>
    </row>
    <row r="98" spans="2:17" ht="15.75" customHeight="1">
      <c r="B98" s="98" t="s">
        <v>668</v>
      </c>
      <c r="C98" s="98" t="s">
        <v>675</v>
      </c>
      <c r="D98" s="99">
        <v>169</v>
      </c>
      <c r="E98" s="91">
        <v>0</v>
      </c>
      <c r="F98" s="91">
        <v>0</v>
      </c>
      <c r="G98" s="91">
        <v>0</v>
      </c>
      <c r="H98" s="91">
        <v>0</v>
      </c>
      <c r="I98" s="91">
        <v>0</v>
      </c>
      <c r="J98" s="91">
        <v>0</v>
      </c>
      <c r="K98" s="91">
        <v>0</v>
      </c>
      <c r="L98" s="91">
        <v>0</v>
      </c>
      <c r="M98" s="91">
        <v>0</v>
      </c>
      <c r="N98" s="91">
        <v>0</v>
      </c>
      <c r="O98" s="91">
        <v>0</v>
      </c>
      <c r="P98" s="91">
        <v>0</v>
      </c>
      <c r="Q98" s="101">
        <v>0</v>
      </c>
    </row>
    <row r="99" spans="2:17" ht="3.75" customHeight="1"/>
    <row r="100" spans="2:17" ht="19.5" customHeight="1">
      <c r="B100" s="736" t="s">
        <v>771</v>
      </c>
      <c r="C100" s="737"/>
      <c r="D100" s="737"/>
      <c r="E100" s="737"/>
      <c r="F100" s="737"/>
      <c r="G100" s="737"/>
      <c r="H100" s="737"/>
      <c r="I100" s="737"/>
      <c r="J100" s="737"/>
      <c r="K100" s="737"/>
      <c r="L100" s="737"/>
      <c r="M100" s="737"/>
      <c r="N100" s="737"/>
      <c r="O100" s="737"/>
      <c r="P100" s="737"/>
      <c r="Q100" s="737"/>
    </row>
    <row r="101" spans="2:17" ht="15.75" customHeight="1">
      <c r="B101" s="738" t="s">
        <v>651</v>
      </c>
      <c r="C101" s="738" t="s">
        <v>652</v>
      </c>
      <c r="D101" s="738" t="s">
        <v>653</v>
      </c>
      <c r="E101" s="739" t="s">
        <v>654</v>
      </c>
      <c r="F101" s="739" t="s">
        <v>655</v>
      </c>
      <c r="G101" s="739" t="s">
        <v>656</v>
      </c>
      <c r="H101" s="739" t="s">
        <v>657</v>
      </c>
      <c r="I101" s="739" t="s">
        <v>658</v>
      </c>
      <c r="J101" s="739" t="s">
        <v>659</v>
      </c>
      <c r="K101" s="739" t="s">
        <v>660</v>
      </c>
      <c r="L101" s="739" t="s">
        <v>661</v>
      </c>
      <c r="M101" s="739" t="s">
        <v>662</v>
      </c>
      <c r="N101" s="739" t="s">
        <v>663</v>
      </c>
      <c r="O101" s="739" t="s">
        <v>664</v>
      </c>
      <c r="P101" s="739" t="s">
        <v>665</v>
      </c>
      <c r="Q101" s="738" t="s">
        <v>38</v>
      </c>
    </row>
    <row r="102" spans="2:17" ht="15.75" customHeight="1">
      <c r="B102" s="740" t="s">
        <v>666</v>
      </c>
      <c r="C102" s="740" t="s">
        <v>667</v>
      </c>
      <c r="D102" s="741">
        <v>156</v>
      </c>
      <c r="E102" s="742">
        <v>3.2</v>
      </c>
      <c r="F102" s="742">
        <v>3.4</v>
      </c>
      <c r="G102" s="742">
        <v>4.5</v>
      </c>
      <c r="H102" s="742">
        <v>5.3</v>
      </c>
      <c r="I102" s="742">
        <v>4.8</v>
      </c>
      <c r="J102" s="742">
        <v>6.5</v>
      </c>
      <c r="K102" s="742">
        <v>10.7</v>
      </c>
      <c r="L102" s="742">
        <v>9.1</v>
      </c>
      <c r="M102" s="742">
        <v>5.9</v>
      </c>
      <c r="N102" s="742">
        <v>3.7</v>
      </c>
      <c r="O102" s="742">
        <v>4.2</v>
      </c>
      <c r="P102" s="742">
        <v>2.7</v>
      </c>
      <c r="Q102" s="743">
        <v>64</v>
      </c>
    </row>
    <row r="103" spans="2:17" ht="15.75" customHeight="1">
      <c r="B103" s="92" t="s">
        <v>668</v>
      </c>
      <c r="C103" s="92" t="s">
        <v>633</v>
      </c>
      <c r="D103" s="93">
        <v>165</v>
      </c>
      <c r="E103" s="742">
        <v>3.5</v>
      </c>
      <c r="F103" s="742">
        <v>3.7</v>
      </c>
      <c r="G103" s="742">
        <v>4.5999999999999996</v>
      </c>
      <c r="H103" s="742">
        <v>5.7</v>
      </c>
      <c r="I103" s="742">
        <v>4.8</v>
      </c>
      <c r="J103" s="742">
        <v>5.7</v>
      </c>
      <c r="K103" s="742">
        <v>9.1</v>
      </c>
      <c r="L103" s="742">
        <v>8.8000000000000007</v>
      </c>
      <c r="M103" s="742">
        <v>5.5</v>
      </c>
      <c r="N103" s="742">
        <v>4.3</v>
      </c>
      <c r="O103" s="742">
        <v>4.4000000000000004</v>
      </c>
      <c r="P103" s="742">
        <v>3.6</v>
      </c>
      <c r="Q103" s="743">
        <v>63.7</v>
      </c>
    </row>
    <row r="104" spans="2:17" ht="15.75" customHeight="1">
      <c r="B104" s="740" t="s">
        <v>668</v>
      </c>
      <c r="C104" s="740" t="s">
        <v>669</v>
      </c>
      <c r="D104" s="741">
        <v>168</v>
      </c>
      <c r="E104" s="742">
        <v>3.2</v>
      </c>
      <c r="F104" s="742">
        <v>3.6</v>
      </c>
      <c r="G104" s="742">
        <v>4.2</v>
      </c>
      <c r="H104" s="742">
        <v>5.3</v>
      </c>
      <c r="I104" s="742">
        <v>5.0999999999999996</v>
      </c>
      <c r="J104" s="742">
        <v>6.1</v>
      </c>
      <c r="K104" s="742">
        <v>8.8000000000000007</v>
      </c>
      <c r="L104" s="742">
        <v>7.5</v>
      </c>
      <c r="M104" s="742">
        <v>5.8</v>
      </c>
      <c r="N104" s="742">
        <v>3.6</v>
      </c>
      <c r="O104" s="742">
        <v>4.3</v>
      </c>
      <c r="P104" s="742">
        <v>3.2</v>
      </c>
      <c r="Q104" s="743">
        <v>60.7</v>
      </c>
    </row>
    <row r="105" spans="2:17" ht="15.75" customHeight="1">
      <c r="B105" s="92" t="s">
        <v>668</v>
      </c>
      <c r="C105" s="92" t="s">
        <v>670</v>
      </c>
      <c r="D105" s="93">
        <v>174</v>
      </c>
      <c r="E105" s="742">
        <v>3</v>
      </c>
      <c r="F105" s="742">
        <v>3</v>
      </c>
      <c r="G105" s="742">
        <v>4</v>
      </c>
      <c r="H105" s="742">
        <v>5.0999999999999996</v>
      </c>
      <c r="I105" s="742">
        <v>4.8</v>
      </c>
      <c r="J105" s="742">
        <v>5.4</v>
      </c>
      <c r="K105" s="742">
        <v>9.1</v>
      </c>
      <c r="L105" s="742">
        <v>8.1999999999999993</v>
      </c>
      <c r="M105" s="742">
        <v>5.3</v>
      </c>
      <c r="N105" s="742">
        <v>3.6</v>
      </c>
      <c r="O105" s="742">
        <v>3.9</v>
      </c>
      <c r="P105" s="742">
        <v>3</v>
      </c>
      <c r="Q105" s="743">
        <v>58.4</v>
      </c>
    </row>
    <row r="106" spans="2:17" ht="15.75" customHeight="1">
      <c r="B106" s="740" t="s">
        <v>668</v>
      </c>
      <c r="C106" s="740" t="s">
        <v>671</v>
      </c>
      <c r="D106" s="741">
        <v>170</v>
      </c>
      <c r="E106" s="742">
        <v>3.7</v>
      </c>
      <c r="F106" s="742">
        <v>3.8</v>
      </c>
      <c r="G106" s="742">
        <v>4.5</v>
      </c>
      <c r="H106" s="742">
        <v>5.5</v>
      </c>
      <c r="I106" s="742">
        <v>5</v>
      </c>
      <c r="J106" s="742">
        <v>6.7</v>
      </c>
      <c r="K106" s="742">
        <v>10.3</v>
      </c>
      <c r="L106" s="742">
        <v>8.8000000000000007</v>
      </c>
      <c r="M106" s="742">
        <v>6.7</v>
      </c>
      <c r="N106" s="742">
        <v>4.3</v>
      </c>
      <c r="O106" s="742">
        <v>4.7</v>
      </c>
      <c r="P106" s="742">
        <v>3.8</v>
      </c>
      <c r="Q106" s="743">
        <v>67.8</v>
      </c>
    </row>
    <row r="107" spans="2:17" ht="15.75" customHeight="1">
      <c r="B107" s="92" t="s">
        <v>668</v>
      </c>
      <c r="C107" s="92" t="s">
        <v>672</v>
      </c>
      <c r="D107" s="93">
        <v>262</v>
      </c>
      <c r="E107" s="742">
        <v>2.9</v>
      </c>
      <c r="F107" s="742">
        <v>3</v>
      </c>
      <c r="G107" s="742">
        <v>4</v>
      </c>
      <c r="H107" s="742">
        <v>5.3</v>
      </c>
      <c r="I107" s="742">
        <v>4.9000000000000004</v>
      </c>
      <c r="J107" s="742">
        <v>5.9</v>
      </c>
      <c r="K107" s="742">
        <v>9.3000000000000007</v>
      </c>
      <c r="L107" s="742">
        <v>8.1999999999999993</v>
      </c>
      <c r="M107" s="742">
        <v>5.8</v>
      </c>
      <c r="N107" s="742">
        <v>3.7</v>
      </c>
      <c r="O107" s="742">
        <v>4.2</v>
      </c>
      <c r="P107" s="742">
        <v>2.9</v>
      </c>
      <c r="Q107" s="743">
        <v>60.1</v>
      </c>
    </row>
    <row r="108" spans="2:17" ht="15.75" customHeight="1">
      <c r="B108" s="740" t="s">
        <v>668</v>
      </c>
      <c r="C108" s="740" t="s">
        <v>673</v>
      </c>
      <c r="D108" s="741">
        <v>261</v>
      </c>
      <c r="E108" s="742">
        <v>3.2</v>
      </c>
      <c r="F108" s="742">
        <v>3.5</v>
      </c>
      <c r="G108" s="742">
        <v>4.4000000000000004</v>
      </c>
      <c r="H108" s="742">
        <v>5.4</v>
      </c>
      <c r="I108" s="742">
        <v>4.9000000000000004</v>
      </c>
      <c r="J108" s="742">
        <v>6.1</v>
      </c>
      <c r="K108" s="742">
        <v>9.5</v>
      </c>
      <c r="L108" s="742">
        <v>9.1</v>
      </c>
      <c r="M108" s="742">
        <v>6</v>
      </c>
      <c r="N108" s="742">
        <v>3.8</v>
      </c>
      <c r="O108" s="742">
        <v>4.3</v>
      </c>
      <c r="P108" s="742">
        <v>3.1</v>
      </c>
      <c r="Q108" s="743">
        <v>63.3</v>
      </c>
    </row>
    <row r="109" spans="2:17" ht="15.75" customHeight="1">
      <c r="B109" s="92" t="s">
        <v>668</v>
      </c>
      <c r="C109" s="92" t="s">
        <v>674</v>
      </c>
      <c r="D109" s="93">
        <v>268</v>
      </c>
      <c r="E109" s="742">
        <v>3.4</v>
      </c>
      <c r="F109" s="742">
        <v>3.7</v>
      </c>
      <c r="G109" s="742">
        <v>4.3</v>
      </c>
      <c r="H109" s="742">
        <v>5.6</v>
      </c>
      <c r="I109" s="742">
        <v>5</v>
      </c>
      <c r="J109" s="742">
        <v>6.2</v>
      </c>
      <c r="K109" s="742">
        <v>9.6999999999999993</v>
      </c>
      <c r="L109" s="742">
        <v>9.1</v>
      </c>
      <c r="M109" s="742">
        <v>6.1</v>
      </c>
      <c r="N109" s="742">
        <v>3.9</v>
      </c>
      <c r="O109" s="742">
        <v>4.3</v>
      </c>
      <c r="P109" s="742">
        <v>3.4</v>
      </c>
      <c r="Q109" s="743">
        <v>64.7</v>
      </c>
    </row>
    <row r="110" spans="2:17" ht="15.75" customHeight="1">
      <c r="B110" s="740" t="s">
        <v>668</v>
      </c>
      <c r="C110" s="740" t="s">
        <v>675</v>
      </c>
      <c r="D110" s="741">
        <v>169</v>
      </c>
      <c r="E110" s="742">
        <v>4.8</v>
      </c>
      <c r="F110" s="742">
        <v>4.5</v>
      </c>
      <c r="G110" s="742">
        <v>5.0999999999999996</v>
      </c>
      <c r="H110" s="742">
        <v>6</v>
      </c>
      <c r="I110" s="742">
        <v>5.5</v>
      </c>
      <c r="J110" s="742">
        <v>6.3</v>
      </c>
      <c r="K110" s="742">
        <v>9.6999999999999993</v>
      </c>
      <c r="L110" s="742">
        <v>9</v>
      </c>
      <c r="M110" s="742">
        <v>6.6</v>
      </c>
      <c r="N110" s="742">
        <v>4.8</v>
      </c>
      <c r="O110" s="742">
        <v>5.0999999999999996</v>
      </c>
      <c r="P110" s="742">
        <v>5.3</v>
      </c>
      <c r="Q110" s="743">
        <v>72.7</v>
      </c>
    </row>
    <row r="111" spans="2:17" ht="3.75" customHeight="1"/>
    <row r="112" spans="2:17" ht="19.5" customHeight="1">
      <c r="B112" s="736" t="s">
        <v>772</v>
      </c>
      <c r="C112" s="737"/>
      <c r="D112" s="737"/>
      <c r="E112" s="737"/>
      <c r="F112" s="737"/>
      <c r="G112" s="737"/>
      <c r="H112" s="737"/>
      <c r="I112" s="737"/>
      <c r="J112" s="737"/>
      <c r="K112" s="737"/>
      <c r="L112" s="737"/>
      <c r="M112" s="737"/>
      <c r="N112" s="737"/>
      <c r="O112" s="737"/>
      <c r="P112" s="737"/>
      <c r="Q112" s="737"/>
    </row>
    <row r="113" spans="2:17" ht="15.75" customHeight="1">
      <c r="B113" s="738" t="s">
        <v>651</v>
      </c>
      <c r="C113" s="738" t="s">
        <v>652</v>
      </c>
      <c r="D113" s="738" t="s">
        <v>653</v>
      </c>
      <c r="E113" s="739" t="s">
        <v>654</v>
      </c>
      <c r="F113" s="739" t="s">
        <v>655</v>
      </c>
      <c r="G113" s="739" t="s">
        <v>656</v>
      </c>
      <c r="H113" s="739" t="s">
        <v>657</v>
      </c>
      <c r="I113" s="739" t="s">
        <v>658</v>
      </c>
      <c r="J113" s="739" t="s">
        <v>659</v>
      </c>
      <c r="K113" s="739" t="s">
        <v>660</v>
      </c>
      <c r="L113" s="739" t="s">
        <v>661</v>
      </c>
      <c r="M113" s="739" t="s">
        <v>662</v>
      </c>
      <c r="N113" s="739" t="s">
        <v>663</v>
      </c>
      <c r="O113" s="739" t="s">
        <v>664</v>
      </c>
      <c r="P113" s="739" t="s">
        <v>665</v>
      </c>
      <c r="Q113" s="738" t="s">
        <v>38</v>
      </c>
    </row>
    <row r="114" spans="2:17" ht="15.75" customHeight="1">
      <c r="B114" s="740" t="s">
        <v>666</v>
      </c>
      <c r="C114" s="740" t="s">
        <v>667</v>
      </c>
      <c r="D114" s="741">
        <v>156</v>
      </c>
      <c r="E114" s="91">
        <v>0</v>
      </c>
      <c r="F114" s="91">
        <v>0</v>
      </c>
      <c r="G114" s="91">
        <v>0</v>
      </c>
      <c r="H114" s="91">
        <v>0</v>
      </c>
      <c r="I114" s="91">
        <v>0</v>
      </c>
      <c r="J114" s="91">
        <v>0</v>
      </c>
      <c r="K114" s="91">
        <v>0</v>
      </c>
      <c r="L114" s="91">
        <v>0</v>
      </c>
      <c r="M114" s="91">
        <v>0</v>
      </c>
      <c r="N114" s="91">
        <v>0</v>
      </c>
      <c r="O114" s="91">
        <v>0</v>
      </c>
      <c r="P114" s="91">
        <v>0</v>
      </c>
      <c r="Q114" s="743">
        <v>0</v>
      </c>
    </row>
    <row r="115" spans="2:17" ht="15.75" customHeight="1">
      <c r="B115" s="92" t="s">
        <v>668</v>
      </c>
      <c r="C115" s="92" t="s">
        <v>633</v>
      </c>
      <c r="D115" s="93">
        <v>165</v>
      </c>
      <c r="E115" s="91">
        <v>0</v>
      </c>
      <c r="F115" s="91">
        <v>0</v>
      </c>
      <c r="G115" s="91">
        <v>0</v>
      </c>
      <c r="H115" s="91">
        <v>0</v>
      </c>
      <c r="I115" s="91">
        <v>0</v>
      </c>
      <c r="J115" s="91">
        <v>0</v>
      </c>
      <c r="K115" s="91">
        <v>0</v>
      </c>
      <c r="L115" s="91">
        <v>0</v>
      </c>
      <c r="M115" s="91">
        <v>0</v>
      </c>
      <c r="N115" s="91">
        <v>0</v>
      </c>
      <c r="O115" s="91">
        <v>0</v>
      </c>
      <c r="P115" s="91">
        <v>0</v>
      </c>
      <c r="Q115" s="743">
        <v>0</v>
      </c>
    </row>
    <row r="116" spans="2:17" ht="15.75" customHeight="1">
      <c r="B116" s="740" t="s">
        <v>668</v>
      </c>
      <c r="C116" s="740" t="s">
        <v>669</v>
      </c>
      <c r="D116" s="741">
        <v>168</v>
      </c>
      <c r="E116" s="91">
        <v>0</v>
      </c>
      <c r="F116" s="91">
        <v>0</v>
      </c>
      <c r="G116" s="91">
        <v>0</v>
      </c>
      <c r="H116" s="91">
        <v>0</v>
      </c>
      <c r="I116" s="91">
        <v>0</v>
      </c>
      <c r="J116" s="91">
        <v>0</v>
      </c>
      <c r="K116" s="91">
        <v>0</v>
      </c>
      <c r="L116" s="91">
        <v>0</v>
      </c>
      <c r="M116" s="91">
        <v>0</v>
      </c>
      <c r="N116" s="91">
        <v>0</v>
      </c>
      <c r="O116" s="91">
        <v>0</v>
      </c>
      <c r="P116" s="91">
        <v>0</v>
      </c>
      <c r="Q116" s="743">
        <v>0</v>
      </c>
    </row>
    <row r="117" spans="2:17" ht="15.75" customHeight="1">
      <c r="B117" s="92" t="s">
        <v>668</v>
      </c>
      <c r="C117" s="92" t="s">
        <v>670</v>
      </c>
      <c r="D117" s="93">
        <v>174</v>
      </c>
      <c r="E117" s="91">
        <v>0</v>
      </c>
      <c r="F117" s="91">
        <v>0</v>
      </c>
      <c r="G117" s="91">
        <v>0</v>
      </c>
      <c r="H117" s="91">
        <v>0</v>
      </c>
      <c r="I117" s="91">
        <v>0</v>
      </c>
      <c r="J117" s="91">
        <v>0</v>
      </c>
      <c r="K117" s="91">
        <v>0</v>
      </c>
      <c r="L117" s="91">
        <v>0</v>
      </c>
      <c r="M117" s="91">
        <v>0</v>
      </c>
      <c r="N117" s="91">
        <v>0</v>
      </c>
      <c r="O117" s="91">
        <v>0</v>
      </c>
      <c r="P117" s="91">
        <v>0</v>
      </c>
      <c r="Q117" s="743">
        <v>0</v>
      </c>
    </row>
    <row r="118" spans="2:17" ht="15.75" customHeight="1">
      <c r="B118" s="740" t="s">
        <v>668</v>
      </c>
      <c r="C118" s="740" t="s">
        <v>671</v>
      </c>
      <c r="D118" s="741">
        <v>170</v>
      </c>
      <c r="E118" s="91">
        <v>0</v>
      </c>
      <c r="F118" s="91">
        <v>0</v>
      </c>
      <c r="G118" s="91">
        <v>0</v>
      </c>
      <c r="H118" s="91">
        <v>0</v>
      </c>
      <c r="I118" s="91">
        <v>0</v>
      </c>
      <c r="J118" s="91">
        <v>0</v>
      </c>
      <c r="K118" s="91">
        <v>0</v>
      </c>
      <c r="L118" s="91">
        <v>0</v>
      </c>
      <c r="M118" s="91">
        <v>0</v>
      </c>
      <c r="N118" s="91">
        <v>0</v>
      </c>
      <c r="O118" s="91">
        <v>0</v>
      </c>
      <c r="P118" s="91">
        <v>0</v>
      </c>
      <c r="Q118" s="743">
        <v>0</v>
      </c>
    </row>
    <row r="119" spans="2:17" ht="15.75" customHeight="1">
      <c r="B119" s="92" t="s">
        <v>668</v>
      </c>
      <c r="C119" s="92" t="s">
        <v>672</v>
      </c>
      <c r="D119" s="93">
        <v>262</v>
      </c>
      <c r="E119" s="91">
        <v>0</v>
      </c>
      <c r="F119" s="91">
        <v>0</v>
      </c>
      <c r="G119" s="91">
        <v>0</v>
      </c>
      <c r="H119" s="91">
        <v>0</v>
      </c>
      <c r="I119" s="91">
        <v>0</v>
      </c>
      <c r="J119" s="91">
        <v>0</v>
      </c>
      <c r="K119" s="91">
        <v>0</v>
      </c>
      <c r="L119" s="91">
        <v>0</v>
      </c>
      <c r="M119" s="91">
        <v>0</v>
      </c>
      <c r="N119" s="91">
        <v>0</v>
      </c>
      <c r="O119" s="91">
        <v>0</v>
      </c>
      <c r="P119" s="91">
        <v>0</v>
      </c>
      <c r="Q119" s="743">
        <v>0</v>
      </c>
    </row>
    <row r="120" spans="2:17" ht="15.75" customHeight="1">
      <c r="B120" s="740" t="s">
        <v>668</v>
      </c>
      <c r="C120" s="740" t="s">
        <v>673</v>
      </c>
      <c r="D120" s="741">
        <v>261</v>
      </c>
      <c r="E120" s="91">
        <v>0</v>
      </c>
      <c r="F120" s="91">
        <v>0</v>
      </c>
      <c r="G120" s="91">
        <v>0</v>
      </c>
      <c r="H120" s="91">
        <v>0</v>
      </c>
      <c r="I120" s="91">
        <v>0</v>
      </c>
      <c r="J120" s="91">
        <v>0</v>
      </c>
      <c r="K120" s="91">
        <v>0</v>
      </c>
      <c r="L120" s="91">
        <v>0</v>
      </c>
      <c r="M120" s="91">
        <v>0</v>
      </c>
      <c r="N120" s="91">
        <v>0</v>
      </c>
      <c r="O120" s="91">
        <v>0</v>
      </c>
      <c r="P120" s="91">
        <v>0</v>
      </c>
      <c r="Q120" s="743">
        <v>0</v>
      </c>
    </row>
    <row r="121" spans="2:17" ht="15.75" customHeight="1">
      <c r="B121" s="92" t="s">
        <v>668</v>
      </c>
      <c r="C121" s="92" t="s">
        <v>674</v>
      </c>
      <c r="D121" s="93">
        <v>268</v>
      </c>
      <c r="E121" s="91">
        <v>0</v>
      </c>
      <c r="F121" s="91">
        <v>0</v>
      </c>
      <c r="G121" s="91">
        <v>0</v>
      </c>
      <c r="H121" s="91">
        <v>0</v>
      </c>
      <c r="I121" s="91">
        <v>0</v>
      </c>
      <c r="J121" s="91">
        <v>0</v>
      </c>
      <c r="K121" s="91">
        <v>0</v>
      </c>
      <c r="L121" s="91">
        <v>0</v>
      </c>
      <c r="M121" s="91">
        <v>0</v>
      </c>
      <c r="N121" s="91">
        <v>0</v>
      </c>
      <c r="O121" s="91">
        <v>0</v>
      </c>
      <c r="P121" s="91">
        <v>0</v>
      </c>
      <c r="Q121" s="743">
        <v>0</v>
      </c>
    </row>
    <row r="122" spans="2:17" ht="15.75" customHeight="1">
      <c r="B122" s="740" t="s">
        <v>668</v>
      </c>
      <c r="C122" s="740" t="s">
        <v>675</v>
      </c>
      <c r="D122" s="741">
        <v>169</v>
      </c>
      <c r="E122" s="91">
        <v>0</v>
      </c>
      <c r="F122" s="91">
        <v>0</v>
      </c>
      <c r="G122" s="91">
        <v>0</v>
      </c>
      <c r="H122" s="91">
        <v>0</v>
      </c>
      <c r="I122" s="91">
        <v>0</v>
      </c>
      <c r="J122" s="91">
        <v>0</v>
      </c>
      <c r="K122" s="91">
        <v>0</v>
      </c>
      <c r="L122" s="91">
        <v>0</v>
      </c>
      <c r="M122" s="91">
        <v>0</v>
      </c>
      <c r="N122" s="91">
        <v>0</v>
      </c>
      <c r="O122" s="91">
        <v>0</v>
      </c>
      <c r="P122" s="91">
        <v>0</v>
      </c>
      <c r="Q122" s="743">
        <v>0</v>
      </c>
    </row>
    <row r="123" spans="2:17" ht="3.75" customHeight="1"/>
    <row r="124" spans="2:17" ht="19.5" customHeight="1">
      <c r="B124" s="736" t="s">
        <v>773</v>
      </c>
      <c r="C124" s="737"/>
      <c r="D124" s="737"/>
      <c r="E124" s="737"/>
      <c r="F124" s="737"/>
      <c r="G124" s="737"/>
      <c r="H124" s="737"/>
      <c r="I124" s="737"/>
      <c r="J124" s="737"/>
      <c r="K124" s="737"/>
      <c r="L124" s="737"/>
      <c r="M124" s="737"/>
      <c r="N124" s="737"/>
      <c r="O124" s="737"/>
      <c r="P124" s="737"/>
      <c r="Q124" s="737"/>
    </row>
    <row r="125" spans="2:17" ht="15.75" customHeight="1">
      <c r="B125" s="738" t="s">
        <v>651</v>
      </c>
      <c r="C125" s="738" t="s">
        <v>652</v>
      </c>
      <c r="D125" s="738" t="s">
        <v>653</v>
      </c>
      <c r="E125" s="739" t="s">
        <v>654</v>
      </c>
      <c r="F125" s="739" t="s">
        <v>655</v>
      </c>
      <c r="G125" s="739" t="s">
        <v>656</v>
      </c>
      <c r="H125" s="739" t="s">
        <v>657</v>
      </c>
      <c r="I125" s="739" t="s">
        <v>658</v>
      </c>
      <c r="J125" s="739" t="s">
        <v>659</v>
      </c>
      <c r="K125" s="739" t="s">
        <v>660</v>
      </c>
      <c r="L125" s="739" t="s">
        <v>661</v>
      </c>
      <c r="M125" s="739" t="s">
        <v>662</v>
      </c>
      <c r="N125" s="739" t="s">
        <v>663</v>
      </c>
      <c r="O125" s="739" t="s">
        <v>664</v>
      </c>
      <c r="P125" s="739" t="s">
        <v>665</v>
      </c>
      <c r="Q125" s="738" t="s">
        <v>38</v>
      </c>
    </row>
    <row r="126" spans="2:17" ht="15.75" customHeight="1">
      <c r="B126" s="740" t="s">
        <v>666</v>
      </c>
      <c r="C126" s="740" t="s">
        <v>667</v>
      </c>
      <c r="D126" s="741">
        <v>156</v>
      </c>
      <c r="E126" s="91">
        <v>0</v>
      </c>
      <c r="F126" s="91">
        <v>0</v>
      </c>
      <c r="G126" s="91">
        <v>0</v>
      </c>
      <c r="H126" s="91">
        <v>0</v>
      </c>
      <c r="I126" s="91">
        <v>0</v>
      </c>
      <c r="J126" s="91">
        <v>0</v>
      </c>
      <c r="K126" s="91">
        <v>0</v>
      </c>
      <c r="L126" s="91">
        <v>0</v>
      </c>
      <c r="M126" s="91">
        <v>0</v>
      </c>
      <c r="N126" s="91">
        <v>0</v>
      </c>
      <c r="O126" s="91">
        <v>0</v>
      </c>
      <c r="P126" s="91">
        <v>0</v>
      </c>
      <c r="Q126" s="743">
        <v>0</v>
      </c>
    </row>
    <row r="127" spans="2:17" ht="15.75" customHeight="1">
      <c r="B127" s="92" t="s">
        <v>668</v>
      </c>
      <c r="C127" s="92" t="s">
        <v>633</v>
      </c>
      <c r="D127" s="93">
        <v>165</v>
      </c>
      <c r="E127" s="91">
        <v>0</v>
      </c>
      <c r="F127" s="91">
        <v>0</v>
      </c>
      <c r="G127" s="91">
        <v>0</v>
      </c>
      <c r="H127" s="91">
        <v>0</v>
      </c>
      <c r="I127" s="91">
        <v>0</v>
      </c>
      <c r="J127" s="91">
        <v>0</v>
      </c>
      <c r="K127" s="91">
        <v>0</v>
      </c>
      <c r="L127" s="91">
        <v>0</v>
      </c>
      <c r="M127" s="91">
        <v>0</v>
      </c>
      <c r="N127" s="91">
        <v>0</v>
      </c>
      <c r="O127" s="91">
        <v>0</v>
      </c>
      <c r="P127" s="91">
        <v>0</v>
      </c>
      <c r="Q127" s="743">
        <v>0</v>
      </c>
    </row>
    <row r="128" spans="2:17" ht="15.75" customHeight="1">
      <c r="B128" s="740" t="s">
        <v>668</v>
      </c>
      <c r="C128" s="740" t="s">
        <v>669</v>
      </c>
      <c r="D128" s="741">
        <v>168</v>
      </c>
      <c r="E128" s="91">
        <v>0</v>
      </c>
      <c r="F128" s="91">
        <v>0</v>
      </c>
      <c r="G128" s="91">
        <v>0</v>
      </c>
      <c r="H128" s="91">
        <v>0</v>
      </c>
      <c r="I128" s="91">
        <v>0</v>
      </c>
      <c r="J128" s="91">
        <v>0</v>
      </c>
      <c r="K128" s="91">
        <v>0</v>
      </c>
      <c r="L128" s="91">
        <v>0</v>
      </c>
      <c r="M128" s="91">
        <v>0</v>
      </c>
      <c r="N128" s="91">
        <v>0</v>
      </c>
      <c r="O128" s="91">
        <v>0</v>
      </c>
      <c r="P128" s="91">
        <v>0</v>
      </c>
      <c r="Q128" s="743">
        <v>0</v>
      </c>
    </row>
    <row r="129" spans="2:17" ht="15.75" customHeight="1">
      <c r="B129" s="92" t="s">
        <v>668</v>
      </c>
      <c r="C129" s="92" t="s">
        <v>670</v>
      </c>
      <c r="D129" s="93">
        <v>174</v>
      </c>
      <c r="E129" s="91">
        <v>0</v>
      </c>
      <c r="F129" s="91">
        <v>0</v>
      </c>
      <c r="G129" s="91">
        <v>0</v>
      </c>
      <c r="H129" s="91">
        <v>0</v>
      </c>
      <c r="I129" s="91">
        <v>0</v>
      </c>
      <c r="J129" s="91">
        <v>0</v>
      </c>
      <c r="K129" s="91">
        <v>0</v>
      </c>
      <c r="L129" s="91">
        <v>0</v>
      </c>
      <c r="M129" s="91">
        <v>0</v>
      </c>
      <c r="N129" s="91">
        <v>0</v>
      </c>
      <c r="O129" s="91">
        <v>0</v>
      </c>
      <c r="P129" s="91">
        <v>0</v>
      </c>
      <c r="Q129" s="743">
        <v>0</v>
      </c>
    </row>
    <row r="130" spans="2:17" ht="15.75" customHeight="1">
      <c r="B130" s="740" t="s">
        <v>668</v>
      </c>
      <c r="C130" s="740" t="s">
        <v>671</v>
      </c>
      <c r="D130" s="741">
        <v>170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91">
        <v>0</v>
      </c>
      <c r="K130" s="91">
        <v>0</v>
      </c>
      <c r="L130" s="91">
        <v>0</v>
      </c>
      <c r="M130" s="91">
        <v>0</v>
      </c>
      <c r="N130" s="91">
        <v>0</v>
      </c>
      <c r="O130" s="91">
        <v>0</v>
      </c>
      <c r="P130" s="91">
        <v>0</v>
      </c>
      <c r="Q130" s="743">
        <v>0</v>
      </c>
    </row>
    <row r="131" spans="2:17" ht="15.75" customHeight="1">
      <c r="B131" s="92" t="s">
        <v>668</v>
      </c>
      <c r="C131" s="92" t="s">
        <v>672</v>
      </c>
      <c r="D131" s="93">
        <v>262</v>
      </c>
      <c r="E131" s="91">
        <v>0</v>
      </c>
      <c r="F131" s="91">
        <v>0</v>
      </c>
      <c r="G131" s="91">
        <v>0</v>
      </c>
      <c r="H131" s="91">
        <v>0</v>
      </c>
      <c r="I131" s="91">
        <v>0</v>
      </c>
      <c r="J131" s="91">
        <v>0</v>
      </c>
      <c r="K131" s="91">
        <v>0</v>
      </c>
      <c r="L131" s="91">
        <v>0</v>
      </c>
      <c r="M131" s="91">
        <v>0</v>
      </c>
      <c r="N131" s="91">
        <v>0</v>
      </c>
      <c r="O131" s="91">
        <v>0</v>
      </c>
      <c r="P131" s="91">
        <v>0</v>
      </c>
      <c r="Q131" s="743">
        <v>0</v>
      </c>
    </row>
    <row r="132" spans="2:17" ht="15.75" customHeight="1">
      <c r="B132" s="740" t="s">
        <v>668</v>
      </c>
      <c r="C132" s="740" t="s">
        <v>673</v>
      </c>
      <c r="D132" s="741">
        <v>261</v>
      </c>
      <c r="E132" s="91">
        <v>0</v>
      </c>
      <c r="F132" s="91">
        <v>0</v>
      </c>
      <c r="G132" s="91">
        <v>0</v>
      </c>
      <c r="H132" s="91">
        <v>0</v>
      </c>
      <c r="I132" s="91">
        <v>0</v>
      </c>
      <c r="J132" s="91">
        <v>0</v>
      </c>
      <c r="K132" s="91">
        <v>0</v>
      </c>
      <c r="L132" s="91">
        <v>0</v>
      </c>
      <c r="M132" s="91">
        <v>0</v>
      </c>
      <c r="N132" s="91">
        <v>0</v>
      </c>
      <c r="O132" s="91">
        <v>0</v>
      </c>
      <c r="P132" s="91">
        <v>0</v>
      </c>
      <c r="Q132" s="743">
        <v>0</v>
      </c>
    </row>
    <row r="133" spans="2:17" ht="15.75" customHeight="1">
      <c r="B133" s="92" t="s">
        <v>668</v>
      </c>
      <c r="C133" s="92" t="s">
        <v>674</v>
      </c>
      <c r="D133" s="93">
        <v>268</v>
      </c>
      <c r="E133" s="91">
        <v>0</v>
      </c>
      <c r="F133" s="91">
        <v>0</v>
      </c>
      <c r="G133" s="91">
        <v>0</v>
      </c>
      <c r="H133" s="91">
        <v>0</v>
      </c>
      <c r="I133" s="91">
        <v>0</v>
      </c>
      <c r="J133" s="91">
        <v>0</v>
      </c>
      <c r="K133" s="91">
        <v>0</v>
      </c>
      <c r="L133" s="91">
        <v>0</v>
      </c>
      <c r="M133" s="91">
        <v>0</v>
      </c>
      <c r="N133" s="91">
        <v>0</v>
      </c>
      <c r="O133" s="91">
        <v>0</v>
      </c>
      <c r="P133" s="91">
        <v>0</v>
      </c>
      <c r="Q133" s="743">
        <v>0</v>
      </c>
    </row>
    <row r="134" spans="2:17" ht="15.75" customHeight="1">
      <c r="B134" s="740" t="s">
        <v>668</v>
      </c>
      <c r="C134" s="740" t="s">
        <v>675</v>
      </c>
      <c r="D134" s="741">
        <v>169</v>
      </c>
      <c r="E134" s="91">
        <v>0</v>
      </c>
      <c r="F134" s="91">
        <v>0</v>
      </c>
      <c r="G134" s="91">
        <v>0</v>
      </c>
      <c r="H134" s="91">
        <v>0</v>
      </c>
      <c r="I134" s="91">
        <v>0</v>
      </c>
      <c r="J134" s="91">
        <v>0</v>
      </c>
      <c r="K134" s="91">
        <v>0</v>
      </c>
      <c r="L134" s="91">
        <v>0</v>
      </c>
      <c r="M134" s="91">
        <v>0</v>
      </c>
      <c r="N134" s="91">
        <v>0</v>
      </c>
      <c r="O134" s="91">
        <v>0</v>
      </c>
      <c r="P134" s="91">
        <v>0</v>
      </c>
      <c r="Q134" s="743">
        <v>0</v>
      </c>
    </row>
    <row r="135" spans="2:17" ht="3.75" customHeight="1"/>
    <row r="136" spans="2:17" ht="19.5" customHeight="1">
      <c r="B136" s="736" t="s">
        <v>774</v>
      </c>
      <c r="C136" s="737"/>
      <c r="D136" s="737"/>
      <c r="E136" s="737"/>
      <c r="F136" s="737"/>
      <c r="G136" s="737"/>
      <c r="H136" s="737"/>
      <c r="I136" s="737"/>
      <c r="J136" s="737"/>
      <c r="K136" s="737"/>
      <c r="L136" s="737"/>
      <c r="M136" s="737"/>
      <c r="N136" s="737"/>
      <c r="O136" s="737"/>
      <c r="P136" s="737"/>
      <c r="Q136" s="737"/>
    </row>
    <row r="137" spans="2:17" ht="15.75" customHeight="1">
      <c r="B137" s="738" t="s">
        <v>651</v>
      </c>
      <c r="C137" s="738" t="s">
        <v>652</v>
      </c>
      <c r="D137" s="738" t="s">
        <v>653</v>
      </c>
      <c r="E137" s="739" t="s">
        <v>654</v>
      </c>
      <c r="F137" s="739" t="s">
        <v>655</v>
      </c>
      <c r="G137" s="739" t="s">
        <v>656</v>
      </c>
      <c r="H137" s="739" t="s">
        <v>657</v>
      </c>
      <c r="I137" s="739" t="s">
        <v>658</v>
      </c>
      <c r="J137" s="739" t="s">
        <v>659</v>
      </c>
      <c r="K137" s="739" t="s">
        <v>660</v>
      </c>
      <c r="L137" s="739" t="s">
        <v>661</v>
      </c>
      <c r="M137" s="739" t="s">
        <v>662</v>
      </c>
      <c r="N137" s="739" t="s">
        <v>663</v>
      </c>
      <c r="O137" s="739" t="s">
        <v>664</v>
      </c>
      <c r="P137" s="739" t="s">
        <v>665</v>
      </c>
      <c r="Q137" s="738" t="s">
        <v>38</v>
      </c>
    </row>
    <row r="138" spans="2:17" ht="15.75" customHeight="1">
      <c r="B138" s="740" t="s">
        <v>666</v>
      </c>
      <c r="C138" s="740" t="s">
        <v>667</v>
      </c>
      <c r="D138" s="741">
        <v>156</v>
      </c>
      <c r="E138" s="91">
        <v>0</v>
      </c>
      <c r="F138" s="91">
        <v>0</v>
      </c>
      <c r="G138" s="91">
        <v>0</v>
      </c>
      <c r="H138" s="91">
        <v>0</v>
      </c>
      <c r="I138" s="91">
        <v>0</v>
      </c>
      <c r="J138" s="91">
        <v>0</v>
      </c>
      <c r="K138" s="91">
        <v>0</v>
      </c>
      <c r="L138" s="91">
        <v>0</v>
      </c>
      <c r="M138" s="91">
        <v>0</v>
      </c>
      <c r="N138" s="91">
        <v>0</v>
      </c>
      <c r="O138" s="91">
        <v>0</v>
      </c>
      <c r="P138" s="91">
        <v>0</v>
      </c>
      <c r="Q138" s="743">
        <v>0</v>
      </c>
    </row>
    <row r="139" spans="2:17" ht="15.75" customHeight="1">
      <c r="B139" s="92" t="s">
        <v>668</v>
      </c>
      <c r="C139" s="92" t="s">
        <v>633</v>
      </c>
      <c r="D139" s="93">
        <v>165</v>
      </c>
      <c r="E139" s="91">
        <v>0</v>
      </c>
      <c r="F139" s="91">
        <v>0</v>
      </c>
      <c r="G139" s="91">
        <v>0</v>
      </c>
      <c r="H139" s="91">
        <v>0</v>
      </c>
      <c r="I139" s="91">
        <v>0</v>
      </c>
      <c r="J139" s="91">
        <v>0</v>
      </c>
      <c r="K139" s="91">
        <v>0</v>
      </c>
      <c r="L139" s="91">
        <v>0</v>
      </c>
      <c r="M139" s="91">
        <v>0</v>
      </c>
      <c r="N139" s="91">
        <v>0</v>
      </c>
      <c r="O139" s="91">
        <v>0</v>
      </c>
      <c r="P139" s="91">
        <v>0</v>
      </c>
      <c r="Q139" s="743">
        <v>0</v>
      </c>
    </row>
    <row r="140" spans="2:17" ht="15.75" customHeight="1">
      <c r="B140" s="740" t="s">
        <v>668</v>
      </c>
      <c r="C140" s="740" t="s">
        <v>669</v>
      </c>
      <c r="D140" s="741">
        <v>168</v>
      </c>
      <c r="E140" s="91">
        <v>0</v>
      </c>
      <c r="F140" s="91">
        <v>0</v>
      </c>
      <c r="G140" s="91">
        <v>0</v>
      </c>
      <c r="H140" s="91">
        <v>0</v>
      </c>
      <c r="I140" s="91">
        <v>0</v>
      </c>
      <c r="J140" s="91">
        <v>0</v>
      </c>
      <c r="K140" s="91">
        <v>0</v>
      </c>
      <c r="L140" s="91">
        <v>0</v>
      </c>
      <c r="M140" s="91">
        <v>0</v>
      </c>
      <c r="N140" s="91">
        <v>0</v>
      </c>
      <c r="O140" s="91">
        <v>0</v>
      </c>
      <c r="P140" s="91">
        <v>0</v>
      </c>
      <c r="Q140" s="743">
        <v>0</v>
      </c>
    </row>
    <row r="141" spans="2:17" ht="15.75" customHeight="1">
      <c r="B141" s="92" t="s">
        <v>668</v>
      </c>
      <c r="C141" s="92" t="s">
        <v>670</v>
      </c>
      <c r="D141" s="93">
        <v>174</v>
      </c>
      <c r="E141" s="91">
        <v>0</v>
      </c>
      <c r="F141" s="91">
        <v>0</v>
      </c>
      <c r="G141" s="91">
        <v>0</v>
      </c>
      <c r="H141" s="91">
        <v>0</v>
      </c>
      <c r="I141" s="91">
        <v>0</v>
      </c>
      <c r="J141" s="91">
        <v>0</v>
      </c>
      <c r="K141" s="91">
        <v>0</v>
      </c>
      <c r="L141" s="91">
        <v>0</v>
      </c>
      <c r="M141" s="91">
        <v>0</v>
      </c>
      <c r="N141" s="91">
        <v>0</v>
      </c>
      <c r="O141" s="91">
        <v>0</v>
      </c>
      <c r="P141" s="91">
        <v>0</v>
      </c>
      <c r="Q141" s="743">
        <v>0</v>
      </c>
    </row>
    <row r="142" spans="2:17" ht="15.75" customHeight="1">
      <c r="B142" s="740" t="s">
        <v>668</v>
      </c>
      <c r="C142" s="740" t="s">
        <v>671</v>
      </c>
      <c r="D142" s="741">
        <v>170</v>
      </c>
      <c r="E142" s="91">
        <v>0</v>
      </c>
      <c r="F142" s="91">
        <v>0</v>
      </c>
      <c r="G142" s="91">
        <v>0</v>
      </c>
      <c r="H142" s="91">
        <v>0</v>
      </c>
      <c r="I142" s="91">
        <v>0</v>
      </c>
      <c r="J142" s="91">
        <v>0</v>
      </c>
      <c r="K142" s="91">
        <v>0</v>
      </c>
      <c r="L142" s="91">
        <v>0</v>
      </c>
      <c r="M142" s="91">
        <v>0</v>
      </c>
      <c r="N142" s="91">
        <v>0</v>
      </c>
      <c r="O142" s="91">
        <v>0</v>
      </c>
      <c r="P142" s="91">
        <v>0</v>
      </c>
      <c r="Q142" s="743">
        <v>0</v>
      </c>
    </row>
    <row r="143" spans="2:17" ht="15.75" customHeight="1">
      <c r="B143" s="92" t="s">
        <v>668</v>
      </c>
      <c r="C143" s="92" t="s">
        <v>672</v>
      </c>
      <c r="D143" s="93">
        <v>262</v>
      </c>
      <c r="E143" s="91">
        <v>0</v>
      </c>
      <c r="F143" s="91">
        <v>0</v>
      </c>
      <c r="G143" s="91">
        <v>0</v>
      </c>
      <c r="H143" s="91">
        <v>0</v>
      </c>
      <c r="I143" s="91">
        <v>0</v>
      </c>
      <c r="J143" s="91">
        <v>0</v>
      </c>
      <c r="K143" s="91">
        <v>0</v>
      </c>
      <c r="L143" s="91">
        <v>0</v>
      </c>
      <c r="M143" s="91">
        <v>0</v>
      </c>
      <c r="N143" s="91">
        <v>0</v>
      </c>
      <c r="O143" s="91">
        <v>0</v>
      </c>
      <c r="P143" s="91">
        <v>0</v>
      </c>
      <c r="Q143" s="743">
        <v>0</v>
      </c>
    </row>
    <row r="144" spans="2:17" ht="15.75" customHeight="1">
      <c r="B144" s="740" t="s">
        <v>668</v>
      </c>
      <c r="C144" s="740" t="s">
        <v>673</v>
      </c>
      <c r="D144" s="741">
        <v>261</v>
      </c>
      <c r="E144" s="91">
        <v>0</v>
      </c>
      <c r="F144" s="91">
        <v>0</v>
      </c>
      <c r="G144" s="91">
        <v>0</v>
      </c>
      <c r="H144" s="91">
        <v>0</v>
      </c>
      <c r="I144" s="91">
        <v>0</v>
      </c>
      <c r="J144" s="91">
        <v>0</v>
      </c>
      <c r="K144" s="91">
        <v>0</v>
      </c>
      <c r="L144" s="91">
        <v>0</v>
      </c>
      <c r="M144" s="91">
        <v>0</v>
      </c>
      <c r="N144" s="91">
        <v>0</v>
      </c>
      <c r="O144" s="91">
        <v>0</v>
      </c>
      <c r="P144" s="91">
        <v>0</v>
      </c>
      <c r="Q144" s="743">
        <v>0</v>
      </c>
    </row>
    <row r="145" spans="2:17" ht="15.75" customHeight="1">
      <c r="B145" s="92" t="s">
        <v>668</v>
      </c>
      <c r="C145" s="92" t="s">
        <v>674</v>
      </c>
      <c r="D145" s="93">
        <v>268</v>
      </c>
      <c r="E145" s="91">
        <v>0</v>
      </c>
      <c r="F145" s="91">
        <v>0</v>
      </c>
      <c r="G145" s="91">
        <v>0</v>
      </c>
      <c r="H145" s="91">
        <v>0</v>
      </c>
      <c r="I145" s="91">
        <v>0</v>
      </c>
      <c r="J145" s="91">
        <v>0</v>
      </c>
      <c r="K145" s="91">
        <v>0</v>
      </c>
      <c r="L145" s="91">
        <v>0</v>
      </c>
      <c r="M145" s="91">
        <v>0</v>
      </c>
      <c r="N145" s="91">
        <v>0</v>
      </c>
      <c r="O145" s="91">
        <v>0</v>
      </c>
      <c r="P145" s="91">
        <v>0</v>
      </c>
      <c r="Q145" s="743">
        <v>0</v>
      </c>
    </row>
    <row r="146" spans="2:17" ht="15.75" customHeight="1">
      <c r="B146" s="740" t="s">
        <v>668</v>
      </c>
      <c r="C146" s="740" t="s">
        <v>675</v>
      </c>
      <c r="D146" s="741">
        <v>169</v>
      </c>
      <c r="E146" s="91">
        <v>0</v>
      </c>
      <c r="F146" s="91">
        <v>0</v>
      </c>
      <c r="G146" s="91">
        <v>0</v>
      </c>
      <c r="H146" s="91">
        <v>0</v>
      </c>
      <c r="I146" s="91">
        <v>0</v>
      </c>
      <c r="J146" s="91">
        <v>0</v>
      </c>
      <c r="K146" s="91">
        <v>0</v>
      </c>
      <c r="L146" s="91">
        <v>0</v>
      </c>
      <c r="M146" s="91">
        <v>0</v>
      </c>
      <c r="N146" s="91">
        <v>0</v>
      </c>
      <c r="O146" s="91">
        <v>0</v>
      </c>
      <c r="P146" s="91">
        <v>0</v>
      </c>
      <c r="Q146" s="743">
        <v>0</v>
      </c>
    </row>
    <row r="147" spans="2:17" ht="3.75" customHeight="1"/>
    <row r="148" spans="2:17" ht="19.5" customHeight="1">
      <c r="B148" s="736" t="s">
        <v>775</v>
      </c>
      <c r="C148" s="737"/>
      <c r="D148" s="737"/>
      <c r="E148" s="737"/>
      <c r="F148" s="737"/>
      <c r="G148" s="737"/>
      <c r="H148" s="737"/>
      <c r="I148" s="737"/>
      <c r="J148" s="737"/>
      <c r="K148" s="737"/>
      <c r="L148" s="737"/>
      <c r="M148" s="737"/>
      <c r="N148" s="737"/>
      <c r="O148" s="737"/>
      <c r="P148" s="737"/>
      <c r="Q148" s="737"/>
    </row>
    <row r="149" spans="2:17" ht="15.75" customHeight="1">
      <c r="B149" s="738" t="s">
        <v>651</v>
      </c>
      <c r="C149" s="738" t="s">
        <v>652</v>
      </c>
      <c r="D149" s="738" t="s">
        <v>653</v>
      </c>
      <c r="E149" s="739" t="s">
        <v>654</v>
      </c>
      <c r="F149" s="739" t="s">
        <v>655</v>
      </c>
      <c r="G149" s="739" t="s">
        <v>656</v>
      </c>
      <c r="H149" s="739" t="s">
        <v>657</v>
      </c>
      <c r="I149" s="739" t="s">
        <v>658</v>
      </c>
      <c r="J149" s="739" t="s">
        <v>659</v>
      </c>
      <c r="K149" s="739" t="s">
        <v>660</v>
      </c>
      <c r="L149" s="739" t="s">
        <v>661</v>
      </c>
      <c r="M149" s="739" t="s">
        <v>662</v>
      </c>
      <c r="N149" s="739" t="s">
        <v>663</v>
      </c>
      <c r="O149" s="739" t="s">
        <v>664</v>
      </c>
      <c r="P149" s="739" t="s">
        <v>665</v>
      </c>
      <c r="Q149" s="738" t="s">
        <v>38</v>
      </c>
    </row>
    <row r="150" spans="2:17" ht="15.75" customHeight="1">
      <c r="B150" s="102" t="s">
        <v>666</v>
      </c>
      <c r="C150" s="102" t="s">
        <v>667</v>
      </c>
      <c r="D150" s="103">
        <v>156</v>
      </c>
      <c r="E150" s="104">
        <v>0.1</v>
      </c>
      <c r="F150" s="104">
        <v>0.1</v>
      </c>
      <c r="G150" s="104">
        <v>0.2</v>
      </c>
      <c r="H150" s="104">
        <v>0.9</v>
      </c>
      <c r="I150" s="104">
        <v>0.1</v>
      </c>
      <c r="J150" s="104">
        <v>0.3</v>
      </c>
      <c r="K150" s="104">
        <v>0.3</v>
      </c>
      <c r="L150" s="104">
        <v>0.7</v>
      </c>
      <c r="M150" s="104">
        <v>0.3</v>
      </c>
      <c r="N150" s="104">
        <v>0.4</v>
      </c>
      <c r="O150" s="104">
        <v>0.2</v>
      </c>
      <c r="P150" s="104">
        <v>0.2</v>
      </c>
      <c r="Q150" s="105">
        <v>3.8</v>
      </c>
    </row>
    <row r="151" spans="2:17" ht="15.75" customHeight="1">
      <c r="B151" s="92" t="s">
        <v>668</v>
      </c>
      <c r="C151" s="92" t="s">
        <v>633</v>
      </c>
      <c r="D151" s="93">
        <v>165</v>
      </c>
      <c r="E151" s="104">
        <v>6.3</v>
      </c>
      <c r="F151" s="104">
        <v>5.3</v>
      </c>
      <c r="G151" s="104">
        <v>4.8</v>
      </c>
      <c r="H151" s="104">
        <v>2.5</v>
      </c>
      <c r="I151" s="104">
        <v>1.3</v>
      </c>
      <c r="J151" s="104">
        <v>0.8</v>
      </c>
      <c r="K151" s="104">
        <v>1.4</v>
      </c>
      <c r="L151" s="104">
        <v>1.1000000000000001</v>
      </c>
      <c r="M151" s="104">
        <v>1.5</v>
      </c>
      <c r="N151" s="104">
        <v>3.5</v>
      </c>
      <c r="O151" s="104">
        <v>5.7</v>
      </c>
      <c r="P151" s="104">
        <v>7.1</v>
      </c>
      <c r="Q151" s="105">
        <v>41.3</v>
      </c>
    </row>
    <row r="152" spans="2:17" ht="15.75" customHeight="1">
      <c r="B152" s="102" t="s">
        <v>668</v>
      </c>
      <c r="C152" s="102" t="s">
        <v>669</v>
      </c>
      <c r="D152" s="103">
        <v>168</v>
      </c>
      <c r="E152" s="104">
        <v>12.4</v>
      </c>
      <c r="F152" s="104">
        <v>11.9</v>
      </c>
      <c r="G152" s="104">
        <v>9.1999999999999993</v>
      </c>
      <c r="H152" s="104">
        <v>6.6</v>
      </c>
      <c r="I152" s="104">
        <v>5</v>
      </c>
      <c r="J152" s="104">
        <v>2.5</v>
      </c>
      <c r="K152" s="104">
        <v>2.9</v>
      </c>
      <c r="L152" s="104">
        <v>3.6</v>
      </c>
      <c r="M152" s="104">
        <v>5.6</v>
      </c>
      <c r="N152" s="104">
        <v>6.8</v>
      </c>
      <c r="O152" s="104">
        <v>8.1999999999999993</v>
      </c>
      <c r="P152" s="104">
        <v>12.7</v>
      </c>
      <c r="Q152" s="105">
        <v>87.4</v>
      </c>
    </row>
    <row r="153" spans="2:17" ht="15.75" customHeight="1">
      <c r="B153" s="92" t="s">
        <v>668</v>
      </c>
      <c r="C153" s="92" t="s">
        <v>670</v>
      </c>
      <c r="D153" s="93">
        <v>174</v>
      </c>
      <c r="E153" s="104">
        <v>2.6</v>
      </c>
      <c r="F153" s="104">
        <v>2.6</v>
      </c>
      <c r="G153" s="104">
        <v>2.8</v>
      </c>
      <c r="H153" s="104">
        <v>2.1</v>
      </c>
      <c r="I153" s="104">
        <v>1.6</v>
      </c>
      <c r="J153" s="104">
        <v>0.2</v>
      </c>
      <c r="K153" s="104">
        <v>0.4</v>
      </c>
      <c r="L153" s="104">
        <v>0.6</v>
      </c>
      <c r="M153" s="104">
        <v>0.9</v>
      </c>
      <c r="N153" s="104">
        <v>0.5</v>
      </c>
      <c r="O153" s="104">
        <v>1.8</v>
      </c>
      <c r="P153" s="104">
        <v>2.2999999999999998</v>
      </c>
      <c r="Q153" s="105">
        <v>18.399999999999999</v>
      </c>
    </row>
    <row r="154" spans="2:17" ht="15.75" customHeight="1">
      <c r="B154" s="102" t="s">
        <v>668</v>
      </c>
      <c r="C154" s="102" t="s">
        <v>671</v>
      </c>
      <c r="D154" s="103">
        <v>170</v>
      </c>
      <c r="E154" s="104">
        <v>2.8</v>
      </c>
      <c r="F154" s="104">
        <v>2.4</v>
      </c>
      <c r="G154" s="104">
        <v>2.5</v>
      </c>
      <c r="H154" s="104">
        <v>3.1</v>
      </c>
      <c r="I154" s="104">
        <v>2.4</v>
      </c>
      <c r="J154" s="104">
        <v>1.3</v>
      </c>
      <c r="K154" s="104">
        <v>2.1</v>
      </c>
      <c r="L154" s="104">
        <v>1.8</v>
      </c>
      <c r="M154" s="104">
        <v>1.3</v>
      </c>
      <c r="N154" s="104">
        <v>1</v>
      </c>
      <c r="O154" s="104">
        <v>1.7</v>
      </c>
      <c r="P154" s="104">
        <v>2.9</v>
      </c>
      <c r="Q154" s="105">
        <v>25.3</v>
      </c>
    </row>
    <row r="155" spans="2:17" ht="15.75" customHeight="1">
      <c r="B155" s="92" t="s">
        <v>668</v>
      </c>
      <c r="C155" s="92" t="s">
        <v>672</v>
      </c>
      <c r="D155" s="93">
        <v>262</v>
      </c>
      <c r="E155" s="104">
        <v>1.5</v>
      </c>
      <c r="F155" s="104">
        <v>0.9</v>
      </c>
      <c r="G155" s="104">
        <v>1.5</v>
      </c>
      <c r="H155" s="104">
        <v>0.8</v>
      </c>
      <c r="I155" s="104">
        <v>0.9</v>
      </c>
      <c r="J155" s="104">
        <v>0.1</v>
      </c>
      <c r="K155" s="104">
        <v>0.3</v>
      </c>
      <c r="L155" s="104">
        <v>0.4</v>
      </c>
      <c r="M155" s="104">
        <v>0.8</v>
      </c>
      <c r="N155" s="104">
        <v>0.4</v>
      </c>
      <c r="O155" s="104">
        <v>1</v>
      </c>
      <c r="P155" s="104">
        <v>1</v>
      </c>
      <c r="Q155" s="105">
        <v>9.6</v>
      </c>
    </row>
    <row r="156" spans="2:17" ht="15.75" customHeight="1">
      <c r="B156" s="102" t="s">
        <v>668</v>
      </c>
      <c r="C156" s="102" t="s">
        <v>673</v>
      </c>
      <c r="D156" s="103">
        <v>261</v>
      </c>
      <c r="E156" s="104">
        <v>1.7</v>
      </c>
      <c r="F156" s="104">
        <v>2.8</v>
      </c>
      <c r="G156" s="104">
        <v>1.9</v>
      </c>
      <c r="H156" s="104">
        <v>1.6</v>
      </c>
      <c r="I156" s="104">
        <v>1.1000000000000001</v>
      </c>
      <c r="J156" s="104">
        <v>0.3</v>
      </c>
      <c r="K156" s="104">
        <v>1.5</v>
      </c>
      <c r="L156" s="104">
        <v>0.7</v>
      </c>
      <c r="M156" s="104">
        <v>1.1000000000000001</v>
      </c>
      <c r="N156" s="104">
        <v>1.2</v>
      </c>
      <c r="O156" s="104">
        <v>1.3</v>
      </c>
      <c r="P156" s="104">
        <v>2</v>
      </c>
      <c r="Q156" s="105">
        <v>17.2</v>
      </c>
    </row>
    <row r="157" spans="2:17" ht="15.75" customHeight="1">
      <c r="B157" s="92" t="s">
        <v>668</v>
      </c>
      <c r="C157" s="92" t="s">
        <v>674</v>
      </c>
      <c r="D157" s="93">
        <v>268</v>
      </c>
      <c r="E157" s="104">
        <v>1.9</v>
      </c>
      <c r="F157" s="104">
        <v>1.6</v>
      </c>
      <c r="G157" s="104">
        <v>1.4</v>
      </c>
      <c r="H157" s="104">
        <v>0.6</v>
      </c>
      <c r="I157" s="104">
        <v>0.6</v>
      </c>
      <c r="J157" s="104">
        <v>0.4</v>
      </c>
      <c r="K157" s="104">
        <v>1</v>
      </c>
      <c r="L157" s="104">
        <v>0.7</v>
      </c>
      <c r="M157" s="104">
        <v>1</v>
      </c>
      <c r="N157" s="104">
        <v>1.4</v>
      </c>
      <c r="O157" s="104">
        <v>2.1</v>
      </c>
      <c r="P157" s="104">
        <v>3.1</v>
      </c>
      <c r="Q157" s="105">
        <v>15.8</v>
      </c>
    </row>
    <row r="158" spans="2:17" ht="15.75" customHeight="1">
      <c r="B158" s="102" t="s">
        <v>668</v>
      </c>
      <c r="C158" s="102" t="s">
        <v>675</v>
      </c>
      <c r="D158" s="103">
        <v>169</v>
      </c>
      <c r="E158" s="104">
        <v>12.8</v>
      </c>
      <c r="F158" s="104">
        <v>12.7</v>
      </c>
      <c r="G158" s="104">
        <v>11.1</v>
      </c>
      <c r="H158" s="104">
        <v>7.7</v>
      </c>
      <c r="I158" s="104">
        <v>6.7</v>
      </c>
      <c r="J158" s="104">
        <v>4.5</v>
      </c>
      <c r="K158" s="104">
        <v>6.6</v>
      </c>
      <c r="L158" s="104">
        <v>4.3</v>
      </c>
      <c r="M158" s="104">
        <v>4.3</v>
      </c>
      <c r="N158" s="104">
        <v>8.1999999999999993</v>
      </c>
      <c r="O158" s="104">
        <v>10.9</v>
      </c>
      <c r="P158" s="104">
        <v>14.8</v>
      </c>
      <c r="Q158" s="105">
        <v>104.6</v>
      </c>
    </row>
    <row r="159" spans="2:17" ht="3.75" customHeight="1"/>
  </sheetData>
  <mergeCells count="14">
    <mergeCell ref="B52:Q52"/>
    <mergeCell ref="B2:Q2"/>
    <mergeCell ref="B4:Q4"/>
    <mergeCell ref="B16:Q16"/>
    <mergeCell ref="B28:Q28"/>
    <mergeCell ref="B40:Q40"/>
    <mergeCell ref="B136:Q136"/>
    <mergeCell ref="B148:Q148"/>
    <mergeCell ref="B64:Q64"/>
    <mergeCell ref="B76:Q76"/>
    <mergeCell ref="B88:Q88"/>
    <mergeCell ref="B100:Q100"/>
    <mergeCell ref="B112:Q112"/>
    <mergeCell ref="B124:Q124"/>
  </mergeCells>
  <phoneticPr fontId="5" type="noConversion"/>
  <printOptions horizontalCentered="1"/>
  <pageMargins left="0.5" right="0.5" top="0.75" bottom="0.75" header="0.25" footer="0.25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31</vt:i4>
      </vt:variant>
    </vt:vector>
  </HeadingPairs>
  <TitlesOfParts>
    <vt:vector size="45" baseType="lpstr">
      <vt:lpstr>표지</vt:lpstr>
      <vt:lpstr>1. 기본정보</vt:lpstr>
      <vt:lpstr>2. 요약 보고서</vt:lpstr>
      <vt:lpstr>2-1. 공사기간 검토결과</vt:lpstr>
      <vt:lpstr>(검토1안) 표준품셈 작업일수</vt:lpstr>
      <vt:lpstr>(검토1안-1)대시보드</vt:lpstr>
      <vt:lpstr>(검토2안) 공사기간</vt:lpstr>
      <vt:lpstr>(검토3안) 시설물별</vt:lpstr>
      <vt:lpstr>(참고1)_1일작업량</vt:lpstr>
      <vt:lpstr>부록1_준비·정리기간</vt:lpstr>
      <vt:lpstr>부록2 법정공휴일</vt:lpstr>
      <vt:lpstr>부록3 비작업일수</vt:lpstr>
      <vt:lpstr>부록4 기상비작업일수 산정</vt:lpstr>
      <vt:lpstr>부록5 기상데이터</vt:lpstr>
      <vt:lpstr>'(검토1안) 표준품셈 작업일수'!Print_Area</vt:lpstr>
      <vt:lpstr>'(검토1안-1)대시보드'!Print_Area</vt:lpstr>
      <vt:lpstr>'(검토2안) 공사기간'!Print_Area</vt:lpstr>
      <vt:lpstr>'(검토3안) 시설물별'!Print_Area</vt:lpstr>
      <vt:lpstr>'(참고1)_1일작업량'!Print_Area</vt:lpstr>
      <vt:lpstr>'1. 기본정보'!Print_Area</vt:lpstr>
      <vt:lpstr>'2. 요약 보고서'!Print_Area</vt:lpstr>
      <vt:lpstr>'2-1. 공사기간 검토결과'!Print_Area</vt:lpstr>
      <vt:lpstr>부록1_준비·정리기간!Print_Area</vt:lpstr>
      <vt:lpstr>'부록2 법정공휴일'!Print_Area</vt:lpstr>
      <vt:lpstr>'부록3 비작업일수'!Print_Area</vt:lpstr>
      <vt:lpstr>'부록4 기상비작업일수 산정'!Print_Area</vt:lpstr>
      <vt:lpstr>'부록5 기상데이터'!Print_Area</vt:lpstr>
      <vt:lpstr>표지!Print_Area</vt:lpstr>
      <vt:lpstr>가설공사</vt:lpstr>
      <vt:lpstr>거푸집공사</vt:lpstr>
      <vt:lpstr>기계설비</vt:lpstr>
      <vt:lpstr>기초공사</vt:lpstr>
      <vt:lpstr>단열경량벽체</vt:lpstr>
      <vt:lpstr>도배바닥재</vt:lpstr>
      <vt:lpstr>미장공사</vt:lpstr>
      <vt:lpstr>방수공사</vt:lpstr>
      <vt:lpstr>수장공사</vt:lpstr>
      <vt:lpstr>조경공사</vt:lpstr>
      <vt:lpstr>조적공사</vt:lpstr>
      <vt:lpstr>창호유리공사</vt:lpstr>
      <vt:lpstr>철골공사</vt:lpstr>
      <vt:lpstr>철근공사</vt:lpstr>
      <vt:lpstr>콘크리트공사</vt:lpstr>
      <vt:lpstr>타일공사</vt:lpstr>
      <vt:lpstr>토공사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승민</cp:lastModifiedBy>
  <cp:revision>0</cp:revision>
  <cp:lastPrinted>2026-07-09T01:29:53Z</cp:lastPrinted>
  <dcterms:created xsi:type="dcterms:W3CDTF">2026-06-26T07:55:51Z</dcterms:created>
  <dcterms:modified xsi:type="dcterms:W3CDTF">2026-07-09T04:09:25Z</dcterms:modified>
  <dc:language>en-US</dc:language>
</cp:coreProperties>
</file>