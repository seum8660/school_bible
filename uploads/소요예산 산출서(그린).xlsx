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2023 그린스마트\사업비 단가개선\지역청 안내용\"/>
    </mc:Choice>
  </mc:AlternateContent>
  <bookViews>
    <workbookView xWindow="-105" yWindow="-105" windowWidth="25815" windowHeight="15495" tabRatio="891"/>
  </bookViews>
  <sheets>
    <sheet name="(개축)시설사업비 소요예산" sheetId="25" r:id="rId1"/>
    <sheet name="(리모델링)시설사업비 소요예산" sheetId="28" r:id="rId2"/>
    <sheet name="2023 시설단가표" sheetId="26" r:id="rId3"/>
    <sheet name="모듈러교실 단가표" sheetId="29" r:id="rId4"/>
  </sheets>
  <definedNames>
    <definedName name="_Order1" hidden="1">255</definedName>
    <definedName name="_Order2" hidden="1">0</definedName>
    <definedName name="_Regression_Int" hidden="1">1</definedName>
    <definedName name="A" hidden="1">#REF!</definedName>
    <definedName name="AccessDatabase" hidden="1">"E:\WORK\VISUAL\MIRAE\LOADSYS\LoadDB.mdb"</definedName>
    <definedName name="All실내기">#REF!</definedName>
    <definedName name="All실외기">#REF!</definedName>
    <definedName name="DF" hidden="1">#REF!</definedName>
    <definedName name="DFEE" hidden="1">#REF!</definedName>
    <definedName name="DKSG" hidden="1">#REF!</definedName>
    <definedName name="DKSGMLWJD" hidden="1">#REF!</definedName>
    <definedName name="Dp" hidden="1">#REF!</definedName>
    <definedName name="dsgfggg" hidden="1">#REF!</definedName>
    <definedName name="ED" hidden="1">#REF!</definedName>
    <definedName name="ExternalData_1" localSheetId="0">'(개축)시설사업비 소요예산'!$A$2:$J$36</definedName>
    <definedName name="ExternalData_1" localSheetId="1">'(리모델링)시설사업비 소요예산'!$A$2:$K$30</definedName>
    <definedName name="FD" hidden="1">#REF!</definedName>
    <definedName name="fg" hidden="1">#REF!</definedName>
    <definedName name="GMLWD" hidden="1">#REF!</definedName>
    <definedName name="Mini실외기">#REF!</definedName>
    <definedName name="M실내기">#REF!</definedName>
    <definedName name="OP" hidden="1">#REF!</definedName>
    <definedName name="PPP" hidden="1">#REF!</definedName>
    <definedName name="_xlnm.Print_Area" localSheetId="0">'(개축)시설사업비 소요예산'!$A$1:$J$82</definedName>
    <definedName name="_xlnm.Print_Area" localSheetId="1">'(리모델링)시설사업비 소요예산'!$A$1:$K$63</definedName>
    <definedName name="_xlnm.Print_Area" localSheetId="2">'2023 시설단가표'!$A$1:$I$32</definedName>
    <definedName name="_xlnm.Print_Area">#REF!</definedName>
    <definedName name="_xlnm.Print_Titles" localSheetId="0">'(개축)시설사업비 소요예산'!$2:$10</definedName>
    <definedName name="_xlnm.Print_Titles" localSheetId="1">'(리모델링)시설사업비 소요예산'!$2:$10</definedName>
    <definedName name="QA" hidden="1">#REF!</definedName>
    <definedName name="qw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3실외기">#REF!</definedName>
    <definedName name="Space실외기">#REF!</definedName>
    <definedName name="SWS" hidden="1">#REF!</definedName>
    <definedName name="Sync2실외기">#REF!</definedName>
    <definedName name="wkdql" hidden="1">#REF!</definedName>
    <definedName name="W실외기">#REF!</definedName>
    <definedName name="XEO실외기">#REF!</definedName>
    <definedName name="ㄴ" hidden="1">#REF!</definedName>
    <definedName name="ㄴㄹ" hidden="1">#REF!</definedName>
    <definedName name="ㄴㅀ" hidden="1">#REF!</definedName>
    <definedName name="ㄷ" hidden="1">#REF!</definedName>
    <definedName name="ㅁㅁ" hidden="1">#REF!</definedName>
    <definedName name="ㅂㅈ" hidden="1">#REF!</definedName>
    <definedName name="싱글">#REF!</definedName>
    <definedName name="ㅇㄹ" hidden="1">#REF!</definedName>
    <definedName name="ㅇㄹㅀ" hidden="1">#REF!</definedName>
    <definedName name="ㅇㅇ" hidden="1">#REF!</definedName>
    <definedName name="언" hidden="1">#REF!</definedName>
    <definedName name="유지관리비" hidden="1">#REF!</definedName>
    <definedName name="일위대가" hidden="1">#REF!</definedName>
    <definedName name="ㅈㄷ" hidden="1">#REF!</definedName>
    <definedName name="중대형">#REF!</definedName>
    <definedName name="지역세목" localSheetId="2">#REF!</definedName>
    <definedName name="지역세목">#REF!</definedName>
    <definedName name="환기">#REF!</definedName>
    <definedName name="ㅐㅔ" hidden="1">#REF!</definedName>
    <definedName name="ㅔㅐ" hidden="1">#REF!</definedName>
    <definedName name="ㅕㅑ" hidden="1">#REF!</definedName>
    <definedName name="ㅕㅑㅐㅔ" hidden="1">#REF!</definedName>
  </definedNames>
  <calcPr calcId="162913"/>
</workbook>
</file>

<file path=xl/calcChain.xml><?xml version="1.0" encoding="utf-8"?>
<calcChain xmlns="http://schemas.openxmlformats.org/spreadsheetml/2006/main">
  <c r="H52" i="25" l="1"/>
  <c r="H51" i="25"/>
  <c r="H48" i="25"/>
  <c r="E20" i="25"/>
  <c r="H20" i="25" s="1"/>
  <c r="C21" i="25"/>
  <c r="I10" i="28" l="1"/>
  <c r="I14" i="28"/>
  <c r="I46" i="28"/>
  <c r="I45" i="28"/>
  <c r="I44" i="28"/>
  <c r="I43" i="28" s="1"/>
  <c r="H64" i="25"/>
  <c r="H63" i="25"/>
  <c r="H62" i="25"/>
  <c r="I38" i="28"/>
  <c r="I31" i="28"/>
  <c r="I26" i="28"/>
  <c r="I15" i="28"/>
  <c r="D25" i="28"/>
  <c r="F24" i="28"/>
  <c r="I24" i="28" s="1"/>
  <c r="D30" i="28"/>
  <c r="F27" i="28"/>
  <c r="F28" i="28"/>
  <c r="I28" i="28" s="1"/>
  <c r="F29" i="28"/>
  <c r="I29" i="28" s="1"/>
  <c r="F17" i="28"/>
  <c r="I17" i="28" s="1"/>
  <c r="M14" i="28"/>
  <c r="I58" i="28"/>
  <c r="I13" i="28" s="1"/>
  <c r="I57" i="28"/>
  <c r="I56" i="28"/>
  <c r="I55" i="28"/>
  <c r="I54" i="28"/>
  <c r="I53" i="28"/>
  <c r="I52" i="28"/>
  <c r="I51" i="28"/>
  <c r="H50" i="28"/>
  <c r="I50" i="28" s="1"/>
  <c r="H49" i="28"/>
  <c r="I49" i="28" s="1"/>
  <c r="I48" i="28"/>
  <c r="I42" i="28"/>
  <c r="I41" i="28"/>
  <c r="I40" i="28"/>
  <c r="I37" i="28"/>
  <c r="I36" i="28"/>
  <c r="I34" i="28"/>
  <c r="I33" i="28"/>
  <c r="F26" i="28"/>
  <c r="F23" i="28"/>
  <c r="I23" i="28" s="1"/>
  <c r="F22" i="28"/>
  <c r="I22" i="28" s="1"/>
  <c r="F21" i="28"/>
  <c r="I21" i="28" s="1"/>
  <c r="F20" i="28"/>
  <c r="I20" i="28" s="1"/>
  <c r="D19" i="28"/>
  <c r="F18" i="28"/>
  <c r="I18" i="28" s="1"/>
  <c r="F16" i="28"/>
  <c r="I16" i="28" s="1"/>
  <c r="F15" i="28"/>
  <c r="I6" i="28"/>
  <c r="H69" i="25"/>
  <c r="G68" i="25"/>
  <c r="G45" i="25"/>
  <c r="E32" i="25"/>
  <c r="H32" i="25" s="1"/>
  <c r="E31" i="25"/>
  <c r="H31" i="25" s="1"/>
  <c r="E29" i="25"/>
  <c r="E30" i="25" s="1"/>
  <c r="C27" i="25"/>
  <c r="E24" i="25"/>
  <c r="H24" i="25" s="1"/>
  <c r="E25" i="25"/>
  <c r="H25" i="25" s="1"/>
  <c r="E26" i="25"/>
  <c r="H26" i="25" s="1"/>
  <c r="E22" i="25"/>
  <c r="E23" i="25" s="1"/>
  <c r="E16" i="25"/>
  <c r="H16" i="25" s="1"/>
  <c r="E17" i="25"/>
  <c r="H17" i="25" s="1"/>
  <c r="E18" i="25"/>
  <c r="H18" i="25" s="1"/>
  <c r="E19" i="25"/>
  <c r="H19" i="25" s="1"/>
  <c r="E15" i="25"/>
  <c r="H60" i="25"/>
  <c r="H59" i="25"/>
  <c r="H58" i="25"/>
  <c r="G67" i="25"/>
  <c r="E21" i="25" l="1"/>
  <c r="H61" i="25"/>
  <c r="H22" i="25"/>
  <c r="H29" i="25"/>
  <c r="F30" i="28"/>
  <c r="I27" i="28"/>
  <c r="I30" i="28" s="1"/>
  <c r="F25" i="28"/>
  <c r="I25" i="28"/>
  <c r="I39" i="28"/>
  <c r="I11" i="28" s="1"/>
  <c r="F19" i="28"/>
  <c r="F14" i="28" s="1"/>
  <c r="I35" i="28"/>
  <c r="I47" i="28"/>
  <c r="I12" i="28" s="1"/>
  <c r="I32" i="28"/>
  <c r="I19" i="28"/>
  <c r="E33" i="25"/>
  <c r="E34" i="25" s="1"/>
  <c r="E27" i="25"/>
  <c r="H15" i="25"/>
  <c r="H21" i="25" s="1"/>
  <c r="H57" i="25"/>
  <c r="H11" i="25" s="1"/>
  <c r="K5" i="28" l="1"/>
  <c r="K6" i="28" s="1"/>
  <c r="I9" i="28" l="1"/>
  <c r="C23" i="25" l="1"/>
  <c r="C28" i="25" s="1"/>
  <c r="C30" i="25"/>
  <c r="C33" i="25"/>
  <c r="H66" i="25"/>
  <c r="C34" i="25" l="1"/>
  <c r="H43" i="25" l="1"/>
  <c r="H54" i="25" l="1"/>
  <c r="H73" i="25" l="1"/>
  <c r="H53" i="25" l="1"/>
  <c r="H56" i="25" l="1"/>
  <c r="H71" i="25" l="1"/>
  <c r="H68" i="25" l="1"/>
  <c r="H70" i="25" l="1"/>
  <c r="H75" i="25" l="1"/>
  <c r="H44" i="25"/>
  <c r="H47" i="25"/>
  <c r="E28" i="25"/>
  <c r="E35" i="25" s="1"/>
  <c r="H74" i="25"/>
  <c r="H72" i="25"/>
  <c r="H55" i="25"/>
  <c r="H50" i="25" s="1"/>
  <c r="H42" i="25"/>
  <c r="H40" i="25"/>
  <c r="E36" i="25" l="1"/>
  <c r="E38" i="25" s="1"/>
  <c r="H76" i="25"/>
  <c r="H13" i="25" s="1"/>
  <c r="H38" i="25" l="1"/>
  <c r="H37" i="25" s="1"/>
  <c r="E37" i="25"/>
  <c r="H36" i="25"/>
  <c r="E14" i="25"/>
  <c r="J5" i="25" s="1"/>
  <c r="J6" i="25" s="1"/>
  <c r="H33" i="25"/>
  <c r="H23" i="25" l="1"/>
  <c r="H27" i="25" l="1"/>
  <c r="H28" i="25" s="1"/>
  <c r="H30" i="25" l="1"/>
  <c r="H34" i="25" s="1"/>
  <c r="H14" i="25" l="1"/>
  <c r="H35" i="25"/>
  <c r="H67" i="25"/>
  <c r="H65" i="25" l="1"/>
  <c r="H12" i="25" s="1"/>
  <c r="H41" i="25"/>
  <c r="H6" i="25" l="1"/>
  <c r="H45" i="25"/>
  <c r="H39" i="25" l="1"/>
  <c r="H10" i="25" s="1"/>
  <c r="H9" i="25" s="1"/>
</calcChain>
</file>

<file path=xl/comments1.xml><?xml version="1.0" encoding="utf-8"?>
<comments xmlns="http://schemas.openxmlformats.org/spreadsheetml/2006/main">
  <authors>
    <author>승민</author>
  </authors>
  <commentList>
    <comment ref="H24" authorId="0" shapeId="0">
      <text>
        <r>
          <rPr>
            <b/>
            <sz val="9"/>
            <color indexed="81"/>
            <rFont val="돋움"/>
            <family val="3"/>
            <charset val="129"/>
          </rPr>
          <t>서울시교육청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69,000</t>
        </r>
        <r>
          <rPr>
            <b/>
            <sz val="9"/>
            <color indexed="81"/>
            <rFont val="돋움"/>
            <family val="3"/>
            <charset val="129"/>
          </rPr>
          <t>천원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</commentList>
</comments>
</file>

<file path=xl/connections.xml><?xml version="1.0" encoding="utf-8"?>
<connections xmlns="http://schemas.openxmlformats.org/spreadsheetml/2006/main">
  <connection id="1" name="연결111131" type="4" refreshedVersion="2" background="1" saveData="1">
    <webPr sourceData="1" parsePre="1" consecutive="1" xl2000="1" url="http://scmc.kedi.re.kr/SMCons/Scmc/SMConshigh.php" htmlTables="1">
      <tables count="1">
        <x v="1"/>
      </tables>
    </webPr>
  </connection>
  <connection id="2" name="연결1111311" type="4" refreshedVersion="2" background="1" saveData="1">
    <webPr sourceData="1" parsePre="1" consecutive="1" xl2000="1" url="http://scmc.kedi.re.kr/SMCons/Scmc/SMConshigh.php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<sst xmlns="http://schemas.openxmlformats.org/spreadsheetml/2006/main" count="526" uniqueCount="342">
  <si>
    <t>m</t>
    <phoneticPr fontId="4" type="noConversion"/>
  </si>
  <si>
    <t>사업비</t>
    <phoneticPr fontId="4" type="noConversion"/>
  </si>
  <si>
    <t>◆ 부지면적:</t>
    <phoneticPr fontId="4" type="noConversion"/>
  </si>
  <si>
    <t>◆ 건축면적:</t>
    <phoneticPr fontId="4" type="noConversion"/>
  </si>
  <si>
    <t>◆ 건 폐 율 :</t>
    <phoneticPr fontId="4" type="noConversion"/>
  </si>
  <si>
    <t>◆ 용 적 율 :</t>
    <phoneticPr fontId="4" type="noConversion"/>
  </si>
  <si>
    <t>사   업   명</t>
    <phoneticPr fontId="4" type="noConversion"/>
  </si>
  <si>
    <t>단위</t>
    <phoneticPr fontId="4" type="noConversion"/>
  </si>
  <si>
    <t>비 고</t>
    <phoneticPr fontId="4" type="noConversion"/>
  </si>
  <si>
    <t>실</t>
    <phoneticPr fontId="4" type="noConversion"/>
  </si>
  <si>
    <t>㎡</t>
    <phoneticPr fontId="4" type="noConversion"/>
  </si>
  <si>
    <t>식</t>
    <phoneticPr fontId="4" type="noConversion"/>
  </si>
  <si>
    <t>실</t>
  </si>
  <si>
    <t>소계</t>
  </si>
  <si>
    <t>계</t>
    <phoneticPr fontId="4" type="noConversion"/>
  </si>
  <si>
    <t>관리영역</t>
    <phoneticPr fontId="4" type="noConversion"/>
  </si>
  <si>
    <t>계</t>
    <phoneticPr fontId="4" type="noConversion"/>
  </si>
  <si>
    <t>순면적</t>
    <phoneticPr fontId="4" type="noConversion"/>
  </si>
  <si>
    <t>소계</t>
    <phoneticPr fontId="4" type="noConversion"/>
  </si>
  <si>
    <t>공용면적</t>
    <phoneticPr fontId="4" type="noConversion"/>
  </si>
  <si>
    <t xml:space="preserve"> </t>
    <phoneticPr fontId="4" type="noConversion"/>
  </si>
  <si>
    <t xml:space="preserve"> </t>
    <phoneticPr fontId="4" type="noConversion"/>
  </si>
  <si>
    <t xml:space="preserve"> </t>
    <phoneticPr fontId="4" type="noConversion"/>
  </si>
  <si>
    <t>포장</t>
    <phoneticPr fontId="4" type="noConversion"/>
  </si>
  <si>
    <t>건축감리비</t>
    <phoneticPr fontId="4" type="noConversion"/>
  </si>
  <si>
    <t>전기감리비</t>
    <phoneticPr fontId="4" type="noConversion"/>
  </si>
  <si>
    <r>
      <rPr>
        <sz val="11"/>
        <rFont val="돋움"/>
        <family val="3"/>
        <charset val="129"/>
      </rPr>
      <t>◆ 부지위치:</t>
    </r>
    <r>
      <rPr>
        <b/>
        <sz val="11"/>
        <rFont val="돋움"/>
        <family val="3"/>
        <charset val="129"/>
      </rPr>
      <t xml:space="preserve"> </t>
    </r>
    <phoneticPr fontId="4" type="noConversion"/>
  </si>
  <si>
    <t>◆ 설립규모:</t>
    <phoneticPr fontId="4" type="noConversion"/>
  </si>
  <si>
    <t>교실철거</t>
    <phoneticPr fontId="4" type="noConversion"/>
  </si>
  <si>
    <t>기초보강(파일)</t>
    <phoneticPr fontId="4" type="noConversion"/>
  </si>
  <si>
    <t>석면천장철거</t>
    <phoneticPr fontId="4" type="noConversion"/>
  </si>
  <si>
    <t>석면감리비</t>
    <phoneticPr fontId="4" type="noConversion"/>
  </si>
  <si>
    <t>※ 작성요령</t>
    <phoneticPr fontId="71" type="noConversion"/>
  </si>
  <si>
    <t>설계공모보상비</t>
    <phoneticPr fontId="4" type="noConversion"/>
  </si>
  <si>
    <t>설계의도구현비</t>
    <phoneticPr fontId="4" type="noConversion"/>
  </si>
  <si>
    <t>식당</t>
    <phoneticPr fontId="4" type="noConversion"/>
  </si>
  <si>
    <t>(일반)7학급, (특수)1학급/(유치원)(일반)1학급, (특수)1학급</t>
    <phoneticPr fontId="4" type="noConversion"/>
  </si>
  <si>
    <t>조리실</t>
    <phoneticPr fontId="4" type="noConversion"/>
  </si>
  <si>
    <r>
      <t>◆</t>
    </r>
    <r>
      <rPr>
        <sz val="11"/>
        <rFont val="돋움"/>
        <family val="3"/>
        <charset val="129"/>
      </rPr>
      <t xml:space="preserve"> 사 업 명 : </t>
    </r>
    <phoneticPr fontId="4" type="noConversion"/>
  </si>
  <si>
    <t>철거감리비</t>
    <phoneticPr fontId="4" type="noConversion"/>
  </si>
  <si>
    <t>돌봄교실</t>
    <phoneticPr fontId="4" type="noConversion"/>
  </si>
  <si>
    <t>메이커스페이스</t>
    <phoneticPr fontId="4" type="noConversion"/>
  </si>
  <si>
    <t>배수로</t>
    <phoneticPr fontId="4" type="noConversion"/>
  </si>
  <si>
    <t>놀이공간 조성</t>
    <phoneticPr fontId="4" type="noConversion"/>
  </si>
  <si>
    <t>통신감리비</t>
    <phoneticPr fontId="4" type="noConversion"/>
  </si>
  <si>
    <t>소방감리비</t>
    <phoneticPr fontId="4" type="noConversion"/>
  </si>
  <si>
    <t>지원영역</t>
  </si>
  <si>
    <t>교실냉.난방(EHP)</t>
    <phoneticPr fontId="4" type="noConversion"/>
  </si>
  <si>
    <t>수목이식</t>
    <phoneticPr fontId="4" type="noConversion"/>
  </si>
  <si>
    <t>&lt;붙임1&gt;</t>
    <phoneticPr fontId="4" type="noConversion"/>
  </si>
  <si>
    <r>
      <rPr>
        <sz val="11"/>
        <rFont val="돋움"/>
        <family val="3"/>
        <charset val="129"/>
      </rPr>
      <t>◆ 적용단가:</t>
    </r>
    <r>
      <rPr>
        <b/>
        <sz val="11"/>
        <rFont val="돋움"/>
        <family val="3"/>
        <charset val="129"/>
      </rPr>
      <t xml:space="preserve"> 2023년 시설단가</t>
    </r>
    <phoneticPr fontId="4" type="noConversion"/>
  </si>
  <si>
    <t>전라남도교육비특별회계 2023년도 예산편성 기준 시설단가표</t>
    <phoneticPr fontId="4" type="noConversion"/>
  </si>
  <si>
    <t>(금액단위 : 천원)</t>
    <phoneticPr fontId="74" type="noConversion"/>
  </si>
  <si>
    <t>품     명</t>
    <phoneticPr fontId="4" type="noConversion"/>
  </si>
  <si>
    <t>규     격</t>
    <phoneticPr fontId="4" type="noConversion"/>
  </si>
  <si>
    <t>단    가</t>
    <phoneticPr fontId="4" type="noConversion"/>
  </si>
  <si>
    <t>▣ 개축 및 보수</t>
    <phoneticPr fontId="4" type="noConversion"/>
  </si>
  <si>
    <t>○ 옹벽 시설(㎡당)</t>
    <phoneticPr fontId="4" type="noConversion"/>
  </si>
  <si>
    <t>옹벽 기초높이 1m 추가산출 포함</t>
    <phoneticPr fontId="4" type="noConversion"/>
  </si>
  <si>
    <t>▣ 교실 증축</t>
    <phoneticPr fontId="4" type="noConversion"/>
  </si>
  <si>
    <t>○ 교실 개축</t>
    <phoneticPr fontId="4" type="noConversion"/>
  </si>
  <si>
    <t>90㎡기준(철거포함, 석면철거 제외)</t>
    <phoneticPr fontId="4" type="noConversion"/>
  </si>
  <si>
    <t>○ 지하수 개발
○ 운동장 성토(㎡당)</t>
    <phoneticPr fontId="4" type="noConversion"/>
  </si>
  <si>
    <t>H : 80m기준
T : 20cm기준</t>
    <phoneticPr fontId="4" type="noConversion"/>
  </si>
  <si>
    <t>51,674
30</t>
    <phoneticPr fontId="74" type="noConversion"/>
  </si>
  <si>
    <t>○ 일반교실(90㎡)</t>
    <phoneticPr fontId="4" type="noConversion"/>
  </si>
  <si>
    <t>비난방, 복도 포함
(흑판, 게시판, 신발장 제외)</t>
    <phoneticPr fontId="74" type="noConversion"/>
  </si>
  <si>
    <t>○ 건물 철거</t>
    <phoneticPr fontId="4" type="noConversion"/>
  </si>
  <si>
    <t>90㎡기준(일반)
90㎡기준(석면텍스)</t>
    <phoneticPr fontId="4" type="noConversion"/>
  </si>
  <si>
    <t>14,805
7,437</t>
    <phoneticPr fontId="74" type="noConversion"/>
  </si>
  <si>
    <t>○ 담장 시설(m당)</t>
    <phoneticPr fontId="4" type="noConversion"/>
  </si>
  <si>
    <t>적벽돌 담(H=1.7m기준)
휀스(H=1.7m기준)
조경석(㎡기준)</t>
    <phoneticPr fontId="4" type="noConversion"/>
  </si>
  <si>
    <t>557
207
824</t>
    <phoneticPr fontId="74" type="noConversion"/>
  </si>
  <si>
    <t>○ 특별교실(과학실, 음악실, 컴퓨터실
    등의 부대시설 제외)</t>
    <phoneticPr fontId="4" type="noConversion"/>
  </si>
  <si>
    <t>비난방 90㎡(복도 포함)
비난방 180㎡(복도 포함)</t>
    <phoneticPr fontId="4" type="noConversion"/>
  </si>
  <si>
    <t>162,544
324,771</t>
    <phoneticPr fontId="74" type="noConversion"/>
  </si>
  <si>
    <t>○ 노후교실 중수</t>
    <phoneticPr fontId="4" type="noConversion"/>
  </si>
  <si>
    <t>90㎡기준[바닥, 창호(내·외부), 천장,
도장(내·외부) 포함]</t>
    <phoneticPr fontId="4" type="noConversion"/>
  </si>
  <si>
    <t>○ 음용수, 저수조</t>
    <phoneticPr fontId="4" type="noConversion"/>
  </si>
  <si>
    <t>옥상수조, 스텐인리스(개소당)</t>
    <phoneticPr fontId="4" type="noConversion"/>
  </si>
  <si>
    <t>○ 내진보강(㎡당)</t>
    <phoneticPr fontId="4" type="noConversion"/>
  </si>
  <si>
    <t>연면적 기준</t>
    <phoneticPr fontId="4" type="noConversion"/>
  </si>
  <si>
    <t>○ 화장실 중수</t>
    <phoneticPr fontId="4" type="noConversion"/>
  </si>
  <si>
    <t>45㎡(10칸) 기준</t>
    <phoneticPr fontId="4" type="noConversion"/>
  </si>
  <si>
    <t>○ 냉·난방 시설</t>
    <phoneticPr fontId="4" type="noConversion"/>
  </si>
  <si>
    <t xml:space="preserve"> 1실[EHP(전기),전기시설미포함]</t>
    <phoneticPr fontId="74" type="noConversion"/>
  </si>
  <si>
    <t>▣ 교실 신축</t>
    <phoneticPr fontId="4" type="noConversion"/>
  </si>
  <si>
    <t>○ 화장실 보수</t>
    <phoneticPr fontId="4" type="noConversion"/>
  </si>
  <si>
    <t>45㎡(10칸) 기준(배관, 위생 기구 제외)</t>
    <phoneticPr fontId="4" type="noConversion"/>
  </si>
  <si>
    <t xml:space="preserve"> 1실[EHP(전기),전기시설포함]</t>
    <phoneticPr fontId="74" type="noConversion"/>
  </si>
  <si>
    <t>○ 일반학교(㎡당)</t>
    <phoneticPr fontId="4" type="noConversion"/>
  </si>
  <si>
    <t>중앙 집중식 냉·난방, 토목 및 옥외시설 제외,
칠판·게시판·신발장 제외</t>
    <phoneticPr fontId="4" type="noConversion"/>
  </si>
  <si>
    <t>○ 사택 중수</t>
    <phoneticPr fontId="4" type="noConversion"/>
  </si>
  <si>
    <t>45㎡기준
33㎡기준</t>
    <phoneticPr fontId="4" type="noConversion"/>
  </si>
  <si>
    <t>36,380
26,737</t>
    <phoneticPr fontId="74" type="noConversion"/>
  </si>
  <si>
    <t xml:space="preserve"> 1실[EHP(전기),GHP(가스)전기시설미포함]</t>
    <phoneticPr fontId="74" type="noConversion"/>
  </si>
  <si>
    <t>○ 특수학교(㎡당)</t>
    <phoneticPr fontId="4" type="noConversion"/>
  </si>
  <si>
    <t>○ 교실 누수 보수</t>
    <phoneticPr fontId="4" type="noConversion"/>
  </si>
  <si>
    <t>지붕(실당90㎡기준)
벽체(실당90㎡기준)</t>
    <phoneticPr fontId="4" type="noConversion"/>
  </si>
  <si>
    <t>13,013
1,859</t>
    <phoneticPr fontId="74" type="noConversion"/>
  </si>
  <si>
    <t xml:space="preserve"> 1실[EHP(전기),GHP(가스)전기시설포함]</t>
    <phoneticPr fontId="74" type="noConversion"/>
  </si>
  <si>
    <t>○ 신설파일</t>
    <phoneticPr fontId="4" type="noConversion"/>
  </si>
  <si>
    <t>1층 20실 Φ400 20㎜, 실당 18개소</t>
    <phoneticPr fontId="4" type="noConversion"/>
  </si>
  <si>
    <t>○ 창고 중수</t>
    <phoneticPr fontId="4" type="noConversion"/>
  </si>
  <si>
    <t>33㎡기준</t>
    <phoneticPr fontId="4" type="noConversion"/>
  </si>
  <si>
    <t>○ 냉·난방 교체</t>
    <phoneticPr fontId="4" type="noConversion"/>
  </si>
  <si>
    <t xml:space="preserve"> 1실[EHP(전기),철거포함, 전기시설미포함]</t>
    <phoneticPr fontId="74" type="noConversion"/>
  </si>
  <si>
    <t>▣ 강당 및 생활관</t>
    <phoneticPr fontId="4" type="noConversion"/>
  </si>
  <si>
    <t>○ 숙직실 중수</t>
    <phoneticPr fontId="4" type="noConversion"/>
  </si>
  <si>
    <t xml:space="preserve"> 1실[EHP(전기),철거포함, 전기시설포함]</t>
    <phoneticPr fontId="74" type="noConversion"/>
  </si>
  <si>
    <t>○ 강당 증축</t>
    <phoneticPr fontId="4" type="noConversion"/>
  </si>
  <si>
    <t>850㎡기준, 파일포함(학생수 500명 이하)
950㎡기준, 파일포함(학생수 1,000명 이하)
1,000㎡기준, 파일포함(학생수 1,000명 이상)</t>
    <phoneticPr fontId="4" type="noConversion"/>
  </si>
  <si>
    <t>2,176,978
2,433,092
2,561,149</t>
    <phoneticPr fontId="74" type="noConversion"/>
  </si>
  <si>
    <t>○ 창호 보수(90㎡기준)
[에너지 소비 효율 제품 적용]</t>
    <phoneticPr fontId="4" type="noConversion"/>
  </si>
  <si>
    <t>교실 출입문 2개소
교실 출입문 2개소, 복도창 2개소</t>
    <phoneticPr fontId="4" type="noConversion"/>
  </si>
  <si>
    <t>4,596
8,027</t>
    <phoneticPr fontId="74" type="noConversion"/>
  </si>
  <si>
    <t xml:space="preserve"> 1실[EHP(전기),GHP(가스) 혼용, 철거포함, 전기시설미포함]</t>
    <phoneticPr fontId="74" type="noConversion"/>
  </si>
  <si>
    <t>○ 기숙사 증축(㎡당)</t>
    <phoneticPr fontId="4" type="noConversion"/>
  </si>
  <si>
    <t>1인당 12㎡기준, 비품비 제외</t>
    <phoneticPr fontId="4" type="noConversion"/>
  </si>
  <si>
    <t>외부창(이중창)</t>
    <phoneticPr fontId="4" type="noConversion"/>
  </si>
  <si>
    <t xml:space="preserve"> 1실[EHP(전기),GHP(가스) 혼용, 철거포함, 전기시설포함]</t>
    <phoneticPr fontId="74" type="noConversion"/>
  </si>
  <si>
    <t>▣ 운동장</t>
    <phoneticPr fontId="4" type="noConversion"/>
  </si>
  <si>
    <t>교실전체창(출입문, 복도, 외부-이중창)</t>
    <phoneticPr fontId="4" type="noConversion"/>
  </si>
  <si>
    <t>○ 수전 설비</t>
    <phoneticPr fontId="4" type="noConversion"/>
  </si>
  <si>
    <t>200kVA 이하(7~20실)
300kVA 이하(21~35실)
300kVA 이상(36실 이상)</t>
    <phoneticPr fontId="4" type="noConversion"/>
  </si>
  <si>
    <t>121,967
123,757
126,469</t>
    <phoneticPr fontId="74" type="noConversion"/>
  </si>
  <si>
    <t>○ 운동장</t>
    <phoneticPr fontId="74" type="noConversion"/>
  </si>
  <si>
    <t>천연잔디(㎡당), 배수로제외
인조잔디(㎡당), 배수로제외
마사토(㎡당), 배수로제외</t>
    <phoneticPr fontId="74" type="noConversion"/>
  </si>
  <si>
    <t>172
162
162</t>
    <phoneticPr fontId="74" type="noConversion"/>
  </si>
  <si>
    <t>○ 교실 도장(90㎡기준)</t>
    <phoneticPr fontId="4" type="noConversion"/>
  </si>
  <si>
    <t>내부(2회칠 기준)
외부(방수제외, 2회칠 기준)</t>
    <phoneticPr fontId="4" type="noConversion"/>
  </si>
  <si>
    <t>1,719
1,228</t>
    <phoneticPr fontId="74" type="noConversion"/>
  </si>
  <si>
    <t>○ 승압 시설</t>
    <phoneticPr fontId="4" type="noConversion"/>
  </si>
  <si>
    <t>보통교실 기준(실당)
변압기 용량 증설</t>
    <phoneticPr fontId="4" type="noConversion"/>
  </si>
  <si>
    <t>2,224
56,139</t>
    <phoneticPr fontId="74" type="noConversion"/>
  </si>
  <si>
    <t>○ 운동장 트랙</t>
    <phoneticPr fontId="74" type="noConversion"/>
  </si>
  <si>
    <t>천연잔디(㎡당), 배수로제외</t>
    <phoneticPr fontId="74" type="noConversion"/>
  </si>
  <si>
    <t>○ 급식실 개축(㎡당)</t>
    <phoneticPr fontId="4" type="noConversion"/>
  </si>
  <si>
    <t>식당(철거 제외)
조리실(철거 제외)</t>
    <phoneticPr fontId="4" type="noConversion"/>
  </si>
  <si>
    <t>2,326
4,030</t>
    <phoneticPr fontId="74" type="noConversion"/>
  </si>
  <si>
    <t>○ 전등 교체</t>
    <phoneticPr fontId="4" type="noConversion"/>
  </si>
  <si>
    <t>LED, 교실 9등, 복도 1등(배관, 배선 포함)</t>
    <phoneticPr fontId="4" type="noConversion"/>
  </si>
  <si>
    <t>○ 신재생에너지(신·증축 및 개축 부분,
    연면적 1천제곱미터 이상)</t>
    <phoneticPr fontId="4" type="noConversion"/>
  </si>
  <si>
    <t>태양광(고정식 연면적당)
태양열(이중진공관 1㎡당)
지열(밀폐형 1kW당)</t>
    <phoneticPr fontId="4" type="noConversion"/>
  </si>
  <si>
    <t>134
1,516
2,489</t>
    <phoneticPr fontId="74" type="noConversion"/>
  </si>
  <si>
    <t>○ 급식실 중수(㎡당)</t>
    <phoneticPr fontId="4" type="noConversion"/>
  </si>
  <si>
    <t>식당
조리실</t>
    <phoneticPr fontId="4" type="noConversion"/>
  </si>
  <si>
    <t>633
1,428</t>
    <phoneticPr fontId="74" type="noConversion"/>
  </si>
  <si>
    <t>○ 도복도(포장 포함)</t>
    <phoneticPr fontId="4" type="noConversion"/>
  </si>
  <si>
    <t>폭 2.4m, 1m당
폭 2.0m, 1m당</t>
    <phoneticPr fontId="4" type="noConversion"/>
  </si>
  <si>
    <t>1,101
988</t>
    <phoneticPr fontId="74" type="noConversion"/>
  </si>
  <si>
    <r>
      <t>▣ 통신장비단가(교실 신</t>
    </r>
    <r>
      <rPr>
        <b/>
        <sz val="12"/>
        <rFont val="MS Gothic"/>
        <family val="3"/>
        <charset val="128"/>
      </rPr>
      <t>・</t>
    </r>
    <r>
      <rPr>
        <b/>
        <sz val="12"/>
        <rFont val="돋움"/>
        <family val="3"/>
        <charset val="129"/>
      </rPr>
      <t>증축 시)</t>
    </r>
    <phoneticPr fontId="4" type="noConversion"/>
  </si>
  <si>
    <t>○ 교실 벽체 보수(90㎡기준)</t>
    <phoneticPr fontId="4" type="noConversion"/>
  </si>
  <si>
    <t>페인트 외 타 재료 마감(적벽돌, 복합패널 등)</t>
    <phoneticPr fontId="4" type="noConversion"/>
  </si>
  <si>
    <t>폭 1.5m, 1m당
차량통행, 개소당</t>
    <phoneticPr fontId="4" type="noConversion"/>
  </si>
  <si>
    <t>824
8,332</t>
    <phoneticPr fontId="74" type="noConversion"/>
  </si>
  <si>
    <t>○ 무선AP</t>
    <phoneticPr fontId="4" type="noConversion"/>
  </si>
  <si>
    <t>증축교실 1실당</t>
    <phoneticPr fontId="74" type="noConversion"/>
  </si>
  <si>
    <t>○ 교실 바닥 보수(90㎡기준)</t>
    <phoneticPr fontId="4" type="noConversion"/>
  </si>
  <si>
    <t>동바리 기초, 교실 및 복도 후로링
동바리 기초, 교실 및 복도 PVC 타일</t>
    <phoneticPr fontId="4" type="noConversion"/>
  </si>
  <si>
    <t>21,390
15,963</t>
    <phoneticPr fontId="74" type="noConversion"/>
  </si>
  <si>
    <t>○ 조회대 시설</t>
    <phoneticPr fontId="4" type="noConversion"/>
  </si>
  <si>
    <t>지붕 설치
지붕 미설치</t>
    <phoneticPr fontId="4" type="noConversion"/>
  </si>
  <si>
    <t>61,490
40,479</t>
    <phoneticPr fontId="74" type="noConversion"/>
  </si>
  <si>
    <r>
      <t>○ 통신장비(유</t>
    </r>
    <r>
      <rPr>
        <b/>
        <sz val="12"/>
        <rFont val="MS Gothic"/>
        <family val="3"/>
        <charset val="128"/>
      </rPr>
      <t>・</t>
    </r>
    <r>
      <rPr>
        <b/>
        <sz val="12"/>
        <rFont val="돋움"/>
        <family val="3"/>
        <charset val="129"/>
      </rPr>
      <t>무선)</t>
    </r>
    <phoneticPr fontId="4" type="noConversion"/>
  </si>
  <si>
    <t xml:space="preserve"> 6학급 이하, 유선망용(L2스위치), 무선망용(L2보안스위치, L2PoE스위치, 무선AP)</t>
    <phoneticPr fontId="80" type="noConversion"/>
  </si>
  <si>
    <t>콘크리트 바닥, 교실 후로링, 복도 PVC 타일
콘크리트 바닥, 교실 및 복도 PVC 타일</t>
    <phoneticPr fontId="74" type="noConversion"/>
  </si>
  <si>
    <t>14,566
12,531</t>
    <phoneticPr fontId="74" type="noConversion"/>
  </si>
  <si>
    <t>○ 교문 시설</t>
    <phoneticPr fontId="4" type="noConversion"/>
  </si>
  <si>
    <t>스탠드 자바라 기준</t>
    <phoneticPr fontId="4" type="noConversion"/>
  </si>
  <si>
    <t xml:space="preserve"> 12학급 이하, 유선망용(L2스위치), 무선망용(L2보안스위치, L2PoE스위치, 무선AP)</t>
    <phoneticPr fontId="80" type="noConversion"/>
  </si>
  <si>
    <t>콘크리트 바닥, 교실 이중 바닥재, 복도 PVC 타일
1층 1개소 계단실, 고무타일 40㎡기준</t>
    <phoneticPr fontId="74" type="noConversion"/>
  </si>
  <si>
    <t>21,705
4,910</t>
    <phoneticPr fontId="74" type="noConversion"/>
  </si>
  <si>
    <t>▣ 증축</t>
    <phoneticPr fontId="4" type="noConversion"/>
  </si>
  <si>
    <t xml:space="preserve"> 18학급 이하, 유선망용(L2스위치), 무선망용(L2보안스위치, L2PoE스위치, 무선AP)</t>
    <phoneticPr fontId="80" type="noConversion"/>
  </si>
  <si>
    <t>○ 천장 보수(90㎡기준)</t>
    <phoneticPr fontId="4" type="noConversion"/>
  </si>
  <si>
    <t>마감층, 단열재 교체 포함
일반층</t>
    <phoneticPr fontId="4" type="noConversion"/>
  </si>
  <si>
    <t>11,978
8,090</t>
    <phoneticPr fontId="74" type="noConversion"/>
  </si>
  <si>
    <t>○ 현관 증축(개소)</t>
    <phoneticPr fontId="4" type="noConversion"/>
  </si>
  <si>
    <t>철콘, 55㎡기준</t>
    <phoneticPr fontId="4" type="noConversion"/>
  </si>
  <si>
    <t xml:space="preserve"> 24학급 이하, 유선망용(L2스위치), 무선망용(L2보안스위치, L2PoE스위치, 무선AP)</t>
    <phoneticPr fontId="80" type="noConversion"/>
  </si>
  <si>
    <t>일반층, 석면철거 포함
일반층, 석면철거 및 전기시설 포함</t>
    <phoneticPr fontId="74" type="noConversion"/>
  </si>
  <si>
    <t>15,522
20,156</t>
    <phoneticPr fontId="74" type="noConversion"/>
  </si>
  <si>
    <t>○ 독립관사(1동)</t>
    <phoneticPr fontId="4" type="noConversion"/>
  </si>
  <si>
    <t>조적슬래브, 온돌난방, 38㎡
조적슬래브, 온돌난방, 42㎡</t>
    <phoneticPr fontId="4" type="noConversion"/>
  </si>
  <si>
    <t>112,235
121,488</t>
    <phoneticPr fontId="74" type="noConversion"/>
  </si>
  <si>
    <t>30학급 이하, 유선망용(L2스위치), 무선망용(L2보안스위치, L2PoE스위치, 무선AP)</t>
    <phoneticPr fontId="80" type="noConversion"/>
  </si>
  <si>
    <t xml:space="preserve">▣ 토목·설비 </t>
    <phoneticPr fontId="4" type="noConversion"/>
  </si>
  <si>
    <t>조적슬래브, 온돌난방, 48㎡
조적슬래브, 온돌난방, 58㎡</t>
    <phoneticPr fontId="4" type="noConversion"/>
  </si>
  <si>
    <t>135,517
158,619</t>
    <phoneticPr fontId="74" type="noConversion"/>
  </si>
  <si>
    <t>36학급 이하, 유선망용(L2스위치), 무선망용(L2보안스위치, L2PoE스위치, 무선AP)</t>
    <phoneticPr fontId="80" type="noConversion"/>
  </si>
  <si>
    <t>○ 배수로시설, 콘크리트(m당)</t>
    <phoneticPr fontId="4" type="noConversion"/>
  </si>
  <si>
    <t>0.3 × 0.3m
0.4 × 0.4m
0.4 × 0.4m, 스틸그레이팅</t>
    <phoneticPr fontId="74" type="noConversion"/>
  </si>
  <si>
    <t>294
343
471</t>
    <phoneticPr fontId="74" type="noConversion"/>
  </si>
  <si>
    <t>○ 연립관사(1세대)</t>
    <phoneticPr fontId="4" type="noConversion"/>
  </si>
  <si>
    <t>철콘, 온돌난방, 9세대용, 500㎡,
세대당 55㎡기준</t>
    <phoneticPr fontId="4" type="noConversion"/>
  </si>
  <si>
    <t>36학급 초과, 유선망용(L2스위치), 무선망용(L2보안스위치, L2PoE스위치, 무선AP)</t>
    <phoneticPr fontId="80" type="noConversion"/>
  </si>
  <si>
    <t>○ 스탠드시설(m당)</t>
    <phoneticPr fontId="4" type="noConversion"/>
  </si>
  <si>
    <t>2단(배수로 포함)
3단(배수로 포함)
4단(배수로 포함)</t>
    <phoneticPr fontId="4" type="noConversion"/>
  </si>
  <si>
    <t>649
772
874</t>
    <phoneticPr fontId="74" type="noConversion"/>
  </si>
  <si>
    <t>○ 창고 증축</t>
    <phoneticPr fontId="74" type="noConversion"/>
  </si>
  <si>
    <t>66㎡(조적슬래브)
59㎡(조립)</t>
    <phoneticPr fontId="4" type="noConversion"/>
  </si>
  <si>
    <t>68,162
47,018</t>
    <phoneticPr fontId="74" type="noConversion"/>
  </si>
  <si>
    <t>※ 본 단가는 육지단가이며, 도서의 경우 가지역 35%, 나지역 25%, 다지역 15%, 라지역 5% 가산
   (설계용역  비 및 감리비 제외)
※ 적용기준: 신축, 증축 또는 개축 건축물은 [에너지절약설계기준] 및 [오수정화조(신축제외)] 포함 단가</t>
    <phoneticPr fontId="74" type="noConversion"/>
  </si>
  <si>
    <t>○ 오수정화조</t>
    <phoneticPr fontId="4" type="noConversion"/>
  </si>
  <si>
    <t>5톤용
10톤용
20톤용</t>
    <phoneticPr fontId="4" type="noConversion"/>
  </si>
  <si>
    <t>31,157
42,980
83,180</t>
    <phoneticPr fontId="74" type="noConversion"/>
  </si>
  <si>
    <t>○ 화장실(1동)
○ 숙직실(1동)</t>
    <phoneticPr fontId="4" type="noConversion"/>
  </si>
  <si>
    <t>45㎡기준(비난방, 설비, 기구 포함, 정화조 별도)
조적슬래브, 온돌난방, 33㎡기준</t>
    <phoneticPr fontId="4" type="noConversion"/>
  </si>
  <si>
    <t>164,679
70,929</t>
    <phoneticPr fontId="74" type="noConversion"/>
  </si>
  <si>
    <t>30톤용
40톤용</t>
    <phoneticPr fontId="4" type="noConversion"/>
  </si>
  <si>
    <t>105,839
146,105</t>
    <phoneticPr fontId="74" type="noConversion"/>
  </si>
  <si>
    <t>○ 급식실 증축(㎡당)</t>
    <phoneticPr fontId="4" type="noConversion"/>
  </si>
  <si>
    <t>2,260
3,928</t>
    <phoneticPr fontId="74" type="noConversion"/>
  </si>
  <si>
    <t>○ 우천로 포장(콘크리트)</t>
    <phoneticPr fontId="4" type="noConversion"/>
  </si>
  <si>
    <t>T 15cm(㎡당)
T 12cm(아스콘)</t>
    <phoneticPr fontId="4" type="noConversion"/>
  </si>
  <si>
    <t>66
91</t>
    <phoneticPr fontId="74" type="noConversion"/>
  </si>
  <si>
    <t>○ 계단실 증축</t>
    <phoneticPr fontId="74" type="noConversion"/>
  </si>
  <si>
    <t>1층용 40㎡(개소당)
2층용 80㎡(개소당)</t>
    <phoneticPr fontId="4" type="noConversion"/>
  </si>
  <si>
    <t>66,196
126,029</t>
    <phoneticPr fontId="74" type="noConversion"/>
  </si>
  <si>
    <t>고압블록(보도)
고압블록(차도)</t>
    <phoneticPr fontId="4" type="noConversion"/>
  </si>
  <si>
    <t>79
118</t>
    <phoneticPr fontId="74" type="noConversion"/>
  </si>
  <si>
    <t>3층용 120㎡(개소당)
4층용 160㎡(개소당)</t>
    <phoneticPr fontId="4" type="noConversion"/>
  </si>
  <si>
    <t>192,059
251,864</t>
    <phoneticPr fontId="74" type="noConversion"/>
  </si>
  <si>
    <t>00초 그린스마트스쿨</t>
    <phoneticPr fontId="4" type="noConversion"/>
  </si>
  <si>
    <t>교육영역</t>
    <phoneticPr fontId="4" type="noConversion"/>
  </si>
  <si>
    <t>실수</t>
    <phoneticPr fontId="4" type="noConversion"/>
  </si>
  <si>
    <t>2. 특화시설</t>
    <phoneticPr fontId="4" type="noConversion"/>
  </si>
  <si>
    <t>공간재구조화</t>
    <phoneticPr fontId="4" type="noConversion"/>
  </si>
  <si>
    <t>3. 추가시설</t>
    <phoneticPr fontId="4" type="noConversion"/>
  </si>
  <si>
    <t xml:space="preserve"> 4. 토  목</t>
    <phoneticPr fontId="4" type="noConversion"/>
  </si>
  <si>
    <t>설계비</t>
    <phoneticPr fontId="4" type="noConversion"/>
  </si>
  <si>
    <t>3. 설계비, 감리비, 시설부대비 등 별도계산</t>
    <phoneticPr fontId="4" type="noConversion"/>
  </si>
  <si>
    <t>1. 학교</t>
    <phoneticPr fontId="4" type="noConversion"/>
  </si>
  <si>
    <t>용역비(설계비 등)(6)</t>
    <phoneticPr fontId="4" type="noConversion"/>
  </si>
  <si>
    <t>시설부대비(7)</t>
    <phoneticPr fontId="4" type="noConversion"/>
  </si>
  <si>
    <t xml:space="preserve"> 5. 모듈러교실</t>
    <phoneticPr fontId="4" type="noConversion"/>
  </si>
  <si>
    <t>모듈러교실(5)</t>
    <phoneticPr fontId="4" type="noConversion"/>
  </si>
  <si>
    <t>모듈러설계비</t>
    <phoneticPr fontId="4" type="noConversion"/>
  </si>
  <si>
    <t>모듈러부대공사비</t>
    <phoneticPr fontId="4" type="noConversion"/>
  </si>
  <si>
    <t>모듈러임대비</t>
    <phoneticPr fontId="4" type="noConversion"/>
  </si>
  <si>
    <t>임차기간별로 산정</t>
    <phoneticPr fontId="4" type="noConversion"/>
  </si>
  <si>
    <t xml:space="preserve"> 6. 용역비등</t>
    <phoneticPr fontId="4" type="noConversion"/>
  </si>
  <si>
    <t xml:space="preserve"> 7. 시설부대비</t>
    <phoneticPr fontId="4" type="noConversion"/>
  </si>
  <si>
    <t>교장실</t>
    <phoneticPr fontId="4" type="noConversion"/>
  </si>
  <si>
    <t>화장실</t>
    <phoneticPr fontId="4" type="noConversion"/>
  </si>
  <si>
    <t>wee클래스</t>
    <phoneticPr fontId="4" type="noConversion"/>
  </si>
  <si>
    <t>방송실</t>
    <phoneticPr fontId="4" type="noConversion"/>
  </si>
  <si>
    <t>인쇄실</t>
    <phoneticPr fontId="4" type="noConversion"/>
  </si>
  <si>
    <t>도서실</t>
    <phoneticPr fontId="4" type="noConversion"/>
  </si>
  <si>
    <t>보통교실</t>
    <phoneticPr fontId="4" type="noConversion"/>
  </si>
  <si>
    <t>단위면적</t>
    <phoneticPr fontId="4" type="noConversion"/>
  </si>
  <si>
    <t>시설계획</t>
    <phoneticPr fontId="4" type="noConversion"/>
  </si>
  <si>
    <t>수전설비</t>
    <phoneticPr fontId="4" type="noConversion"/>
  </si>
  <si>
    <t>설계비 2,000천원적용</t>
    <phoneticPr fontId="4" type="noConversion"/>
  </si>
  <si>
    <t>부대공사비 100,000천원 적용</t>
    <phoneticPr fontId="4" type="noConversion"/>
  </si>
  <si>
    <t>별도 산출</t>
    <phoneticPr fontId="4" type="noConversion"/>
  </si>
  <si>
    <t>설계경제성검토</t>
    <phoneticPr fontId="4" type="noConversion"/>
  </si>
  <si>
    <t>1. 2023년 시설단가표 기준 작성</t>
    <phoneticPr fontId="71" type="noConversion"/>
  </si>
  <si>
    <t>총사업비</t>
    <phoneticPr fontId="4" type="noConversion"/>
  </si>
  <si>
    <t>◆ 연면적:</t>
    <phoneticPr fontId="4" type="noConversion"/>
  </si>
  <si>
    <t>단가(천원)</t>
    <phoneticPr fontId="4" type="noConversion"/>
  </si>
  <si>
    <t>소요액(천원)</t>
    <phoneticPr fontId="4" type="noConversion"/>
  </si>
  <si>
    <t>면적(㎡)</t>
    <phoneticPr fontId="4" type="noConversion"/>
  </si>
  <si>
    <t>설계비의 10%</t>
    <phoneticPr fontId="4" type="noConversion"/>
  </si>
  <si>
    <t>예산편성지침 참조</t>
    <phoneticPr fontId="4" type="noConversion"/>
  </si>
  <si>
    <t>안전시설물</t>
    <phoneticPr fontId="4" type="noConversion"/>
  </si>
  <si>
    <t>구 분</t>
  </si>
  <si>
    <t>임대 기간</t>
  </si>
  <si>
    <t>규 격</t>
  </si>
  <si>
    <t>예상 단가</t>
  </si>
  <si>
    <t>12개월</t>
  </si>
  <si>
    <t>24개월</t>
  </si>
  <si>
    <t>36개월</t>
  </si>
  <si>
    <t>설계용역비</t>
    <phoneticPr fontId="4" type="noConversion"/>
  </si>
  <si>
    <t>감리용역비</t>
    <phoneticPr fontId="4" type="noConversion"/>
  </si>
  <si>
    <t>대수선(외부)</t>
    <phoneticPr fontId="4" type="noConversion"/>
  </si>
  <si>
    <t>대수선(내부)</t>
    <phoneticPr fontId="4" type="noConversion"/>
  </si>
  <si>
    <t>외부환경개선</t>
    <phoneticPr fontId="4" type="noConversion"/>
  </si>
  <si>
    <t>사업명</t>
    <phoneticPr fontId="4" type="noConversion"/>
  </si>
  <si>
    <t>규격</t>
    <phoneticPr fontId="4" type="noConversion"/>
  </si>
  <si>
    <t>지붕방수</t>
    <phoneticPr fontId="4" type="noConversion"/>
  </si>
  <si>
    <t>창호교체</t>
    <phoneticPr fontId="4" type="noConversion"/>
  </si>
  <si>
    <t>지붕</t>
    <phoneticPr fontId="4" type="noConversion"/>
  </si>
  <si>
    <t>외부도장</t>
    <phoneticPr fontId="4" type="noConversion"/>
  </si>
  <si>
    <t>외부벽체보수</t>
    <phoneticPr fontId="4" type="noConversion"/>
  </si>
  <si>
    <t>적벽돌</t>
    <phoneticPr fontId="4" type="noConversion"/>
  </si>
  <si>
    <t>외부(방수제외, 2회칠 기준)</t>
    <phoneticPr fontId="4" type="noConversion"/>
  </si>
  <si>
    <t>내부도장</t>
    <phoneticPr fontId="4" type="noConversion"/>
  </si>
  <si>
    <t>바닥보수</t>
    <phoneticPr fontId="4" type="noConversion"/>
  </si>
  <si>
    <t>내부도장(디자인)</t>
    <phoneticPr fontId="4" type="noConversion"/>
  </si>
  <si>
    <t>천장보수</t>
    <phoneticPr fontId="4" type="noConversion"/>
  </si>
  <si>
    <t>화장실 보수</t>
    <phoneticPr fontId="4" type="noConversion"/>
  </si>
  <si>
    <t>담장</t>
    <phoneticPr fontId="4" type="noConversion"/>
  </si>
  <si>
    <t>특화</t>
    <phoneticPr fontId="4" type="noConversion"/>
  </si>
  <si>
    <t>1. 대수선</t>
    <phoneticPr fontId="4" type="noConversion"/>
  </si>
  <si>
    <t>전체 연면적의 30% 적용</t>
    <phoneticPr fontId="4" type="noConversion"/>
  </si>
  <si>
    <t>리모델링대상교 1억원</t>
    <phoneticPr fontId="4" type="noConversion"/>
  </si>
  <si>
    <t>2. 추가시설</t>
    <phoneticPr fontId="4" type="noConversion"/>
  </si>
  <si>
    <t xml:space="preserve"> 3. 내진보강</t>
    <phoneticPr fontId="4" type="noConversion"/>
  </si>
  <si>
    <t>내진보강</t>
    <phoneticPr fontId="4" type="noConversion"/>
  </si>
  <si>
    <t>증축</t>
    <phoneticPr fontId="4" type="noConversion"/>
  </si>
  <si>
    <t>내진보강에 따른 증축비용</t>
    <phoneticPr fontId="4" type="noConversion"/>
  </si>
  <si>
    <t>2. 설계비, 감리비, 시설부대비 등 별도계산</t>
    <phoneticPr fontId="4" type="noConversion"/>
  </si>
  <si>
    <t>정밀안전진단보고서 참고</t>
    <phoneticPr fontId="4" type="noConversion"/>
  </si>
  <si>
    <t xml:space="preserve"> 4. 모듈러교실</t>
    <phoneticPr fontId="4" type="noConversion"/>
  </si>
  <si>
    <t>모듈러교실(4)</t>
    <phoneticPr fontId="4" type="noConversion"/>
  </si>
  <si>
    <t>개축 시설사업비 산출서</t>
    <phoneticPr fontId="4" type="noConversion"/>
  </si>
  <si>
    <t>리모델링 시설사업비 산출서</t>
    <phoneticPr fontId="4" type="noConversion"/>
  </si>
  <si>
    <t>신재생에너지</t>
    <phoneticPr fontId="4" type="noConversion"/>
  </si>
  <si>
    <t>교실냉.난방</t>
    <phoneticPr fontId="4" type="noConversion"/>
  </si>
  <si>
    <t>출입문설치</t>
    <phoneticPr fontId="4" type="noConversion"/>
  </si>
  <si>
    <t>벽체보수</t>
    <phoneticPr fontId="4" type="noConversion"/>
  </si>
  <si>
    <t xml:space="preserve"> 7. 용역비등</t>
    <phoneticPr fontId="4" type="noConversion"/>
  </si>
  <si>
    <t xml:space="preserve"> 8. 시설부대비</t>
    <phoneticPr fontId="4" type="noConversion"/>
  </si>
  <si>
    <t>시설비계(1+2+3+4+6)</t>
    <phoneticPr fontId="4" type="noConversion"/>
  </si>
  <si>
    <t>용역비(설계비 등)(7)</t>
    <phoneticPr fontId="4" type="noConversion"/>
  </si>
  <si>
    <t>시설부대비(8)</t>
    <phoneticPr fontId="4" type="noConversion"/>
  </si>
  <si>
    <t xml:space="preserve"> 5. 기존 교사동 보수비</t>
    <phoneticPr fontId="4" type="noConversion"/>
  </si>
  <si>
    <t>모듈러교실 미사용 시 작성</t>
    <phoneticPr fontId="4" type="noConversion"/>
  </si>
  <si>
    <t xml:space="preserve"> 6. 기존 교사동 보수비</t>
    <phoneticPr fontId="4" type="noConversion"/>
  </si>
  <si>
    <t>시설비계(1+2+3+5)</t>
    <phoneticPr fontId="4" type="noConversion"/>
  </si>
  <si>
    <t>&lt;붙임2&gt;</t>
    <phoneticPr fontId="4" type="noConversion"/>
  </si>
  <si>
    <t>예산편성지침 참조</t>
    <phoneticPr fontId="4" type="noConversion"/>
  </si>
  <si>
    <t>건설사업관리용역비 별도 산출 후 입력</t>
    <phoneticPr fontId="4" type="noConversion"/>
  </si>
  <si>
    <t>연면적의 20% 공간재구조화 특화공간
교실중수 단가 적용</t>
    <phoneticPr fontId="4" type="noConversion"/>
  </si>
  <si>
    <t>장애인엘리베이터</t>
    <phoneticPr fontId="4" type="noConversion"/>
  </si>
  <si>
    <t>식</t>
    <phoneticPr fontId="4" type="noConversion"/>
  </si>
  <si>
    <t>음악실</t>
    <phoneticPr fontId="4" type="noConversion"/>
  </si>
  <si>
    <t>스마트도서관</t>
    <phoneticPr fontId="4" type="noConversion"/>
  </si>
  <si>
    <t>무선 AP</t>
    <phoneticPr fontId="4" type="noConversion"/>
  </si>
  <si>
    <t>통신장비</t>
    <phoneticPr fontId="4" type="noConversion"/>
  </si>
  <si>
    <t>실</t>
    <phoneticPr fontId="4" type="noConversion"/>
  </si>
  <si>
    <t>학급</t>
    <phoneticPr fontId="4" type="noConversion"/>
  </si>
  <si>
    <t xml:space="preserve">운동장 </t>
    <phoneticPr fontId="4" type="noConversion"/>
  </si>
  <si>
    <t>운동장트랙</t>
    <phoneticPr fontId="4" type="noConversion"/>
  </si>
  <si>
    <t>임차기간별로 산정</t>
    <phoneticPr fontId="4" type="noConversion"/>
  </si>
  <si>
    <t xml:space="preserve">7 × 8.8 </t>
    <phoneticPr fontId="4" type="noConversion"/>
  </si>
  <si>
    <t>7 × 8.8</t>
    <phoneticPr fontId="4" type="noConversion"/>
  </si>
  <si>
    <t>(신규제품)
일반교실</t>
    <phoneticPr fontId="4" type="noConversion"/>
  </si>
  <si>
    <t>(중고사용)
일반교실</t>
    <phoneticPr fontId="4" type="noConversion"/>
  </si>
  <si>
    <t>2. 공용공간 : 순면적의 40~60%, 현관, 홀, 복도, 오픈스페이스, 계단실, 전기실, 기계실, 지하주차장 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</si>
</sst>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_-&quot;$&quot;* #,##0.00_-;\-&quot;$&quot;* #,##0.00_-;_-&quot;$&quot;* &quot;-&quot;??_-;_-@_-"/>
    <numFmt numFmtId="178" formatCode="_-&quot;$&quot;* #,##0_-;\-&quot;$&quot;* #,##0_-;_-&quot;$&quot;* &quot;-&quot;_-;_-@_-"/>
    <numFmt numFmtId="179" formatCode="0.000"/>
    <numFmt numFmtId="180" formatCode="_ &quot;₩&quot;* #,##0_ ;_ &quot;₩&quot;* \-#,##0_ ;_ &quot;₩&quot;* &quot;-&quot;_ ;_ @_ "/>
    <numFmt numFmtId="181" formatCode="_(&quot;$&quot;* #,##0_);_(&quot;$&quot;* \(#,##0\);_(&quot;$&quot;* &quot;-&quot;_);_(@_)"/>
    <numFmt numFmtId="182" formatCode="&quot;$&quot;#,##0_);[Red]\(&quot;$&quot;#,##0\)"/>
    <numFmt numFmtId="183" formatCode="0.000%"/>
    <numFmt numFmtId="184" formatCode="_ &quot;₩&quot;* #,##0.00_ ;_ &quot;₩&quot;* \-#,##0.00_ ;_ &quot;₩&quot;* &quot;-&quot;??_ ;_ @_ "/>
    <numFmt numFmtId="185" formatCode="_(&quot;$&quot;* #,##0.00_);_(&quot;$&quot;* \(#,##0.00\);_(&quot;$&quot;* &quot;-&quot;??_);_(@_)"/>
    <numFmt numFmtId="186" formatCode="&quot;$&quot;#,##0.00_);[Red]\(&quot;$&quot;#,##0.00\)"/>
    <numFmt numFmtId="187" formatCode="General&quot;명&quot;"/>
    <numFmt numFmtId="188" formatCode="_ * #,##0_ ;_ * \-#,##0_ ;_ * &quot;-&quot;_ ;_ @_ "/>
    <numFmt numFmtId="189" formatCode="#,##0;[Red]&quot;△&quot;#,##0"/>
    <numFmt numFmtId="190" formatCode="_ * #,##0.00_ ;_ * \-#,##0.00_ ;_ * &quot;-&quot;??_ ;_ @_ "/>
    <numFmt numFmtId="191" formatCode="###0.0_);\(###0.0\)"/>
    <numFmt numFmtId="192" formatCode="General_)"/>
    <numFmt numFmtId="193" formatCode="_ * #,##0.00_)&quot;£&quot;_ ;_ * \(#,##0.00\)&quot;£&quot;_ ;_ * &quot;-&quot;??_)&quot;£&quot;_ ;_ @_ "/>
    <numFmt numFmtId="194" formatCode="_ * #,##0.00_)_£_ ;_ * \(#,##0.00\)_£_ ;_ * &quot;-&quot;??_)_£_ ;_ @_ "/>
    <numFmt numFmtId="195" formatCode="_ * #,##0.00_ ;_ * &quot;₩&quot;&quot;₩&quot;&quot;₩&quot;&quot;₩&quot;&quot;₩&quot;&quot;₩&quot;&quot;₩&quot;&quot;₩&quot;\!\!\-#,##0.00_ ;_ * &quot;-&quot;??_ ;_ @_ "/>
    <numFmt numFmtId="196" formatCode="&quot;₩&quot;\ #,##0.00;[Red]&quot;₩&quot;\ \-#,##0.00"/>
    <numFmt numFmtId="197" formatCode="0%;[Red]\ \ &quot;-&quot;0%"/>
    <numFmt numFmtId="198" formatCode="\$#,##0.00"/>
    <numFmt numFmtId="199" formatCode="_-* #,##0.00&quot;₩&quot;_-;\-* #,##0.00&quot;₩&quot;_-;_-* &quot;-&quot;??&quot;₩&quot;_-;_-@_-"/>
    <numFmt numFmtId="200" formatCode="_ * #,##0_ ;_ * &quot;₩&quot;&quot;₩&quot;&quot;₩&quot;\-#,##0_ ;_ * &quot;-&quot;_ ;_ @_ "/>
    <numFmt numFmtId="201" formatCode="_-&quot;₩&quot;* #,##0.00_-;&quot;₩&quot;&quot;₩&quot;&quot;₩&quot;&quot;₩&quot;&quot;₩&quot;&quot;₩&quot;\!\!\-&quot;₩&quot;* #,##0.00_-;_-&quot;₩&quot;* &quot;-&quot;??_-;_-@_-"/>
    <numFmt numFmtId="202" formatCode="#,##0.000;[Red]&quot;-&quot;#,##0.000"/>
    <numFmt numFmtId="203" formatCode="yyyy&quot;年&quot;\ m&quot;月&quot;\ d&quot;日&quot;"/>
    <numFmt numFmtId="204" formatCode="#,##0\ &quot;Esc.&quot;;[Red]\-#,##0\ &quot;Esc.&quot;"/>
    <numFmt numFmtId="205" formatCode="&quot;₩&quot;#,##0;&quot;₩&quot;&quot;₩&quot;&quot;₩&quot;&quot;₩&quot;&quot;₩&quot;&quot;₩&quot;&quot;₩&quot;&quot;₩&quot;\!\!\-#,##0"/>
    <numFmt numFmtId="206" formatCode="#.#"/>
    <numFmt numFmtId="207" formatCode="#.##"/>
    <numFmt numFmtId="208" formatCode="#,##0.0_);\(#,##0.0\)"/>
    <numFmt numFmtId="209" formatCode="_ &quot;₩&quot;* #,##0.00_ ;_ &quot;₩&quot;* &quot;₩&quot;&quot;₩&quot;&quot;₩&quot;&quot;₩&quot;&quot;₩&quot;&quot;₩&quot;&quot;₩&quot;\!\!\-#,##0.00_ ;_ &quot;₩&quot;* &quot;-&quot;??_ ;_ @_ "/>
    <numFmt numFmtId="210" formatCode="#,##0.0;[Red]&quot;-&quot;#,##0.0"/>
    <numFmt numFmtId="211" formatCode="_-* #,##0\ _F_-;\-* #,##0\ _F_-;_-* &quot;-&quot;\ _F_-;_-@_-"/>
    <numFmt numFmtId="212" formatCode="#,##0\ &quot;F&quot;;[Red]\-#,##0\ &quot;F&quot;"/>
    <numFmt numFmtId="213" formatCode="&quot;$&quot;#,##0;\-&quot;$&quot;#,##0"/>
    <numFmt numFmtId="214" formatCode="#,##0.00\ &quot;F&quot;;\-#,##0.00\ &quot;F&quot;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#,##0&quot;?_);\(#,##0&quot;&quot;?&quot;\)"/>
    <numFmt numFmtId="218" formatCode="&quot;₩&quot;#,##0.00;[Red]&quot;₩&quot;\-#,##0.00"/>
    <numFmt numFmtId="219" formatCode="#,##0.00&quot;?_);[Red]\(#,##0.00&quot;&quot;?&quot;\)"/>
    <numFmt numFmtId="220" formatCode="&quot;$&quot;#,##0_);\(&quot;$&quot;#,##0\)"/>
    <numFmt numFmtId="221" formatCode="#,##0&quot;?_);[Red]\(#,##0&quot;&quot;?&quot;\)"/>
    <numFmt numFmtId="222" formatCode="_ &quot;₩&quot;* #,##0.00_ ;_ &quot;₩&quot;* &quot;₩&quot;&quot;₩&quot;&quot;₩&quot;&quot;₩&quot;\-#,##0.00_ ;_ &quot;₩&quot;* &quot;-&quot;??_ ;_ @_ "/>
    <numFmt numFmtId="223" formatCode="_ * #\!\,##0_ ;_ * &quot;₩&quot;\!\-#\!\,##0_ ;_ * &quot;-&quot;_ ;_ @_ "/>
    <numFmt numFmtId="224" formatCode="_ * #,##0_ ;_ * &quot;₩&quot;\-#,##0_ ;_ * &quot;-&quot;_ ;_ @_ "/>
    <numFmt numFmtId="225" formatCode="#,##0.00_ "/>
    <numFmt numFmtId="226" formatCode="0.0000%"/>
    <numFmt numFmtId="227" formatCode="&quot;₩&quot;#,##0;&quot;₩&quot;\-#,##0"/>
    <numFmt numFmtId="228" formatCode="0.00_);[Red]\(0.00\)"/>
    <numFmt numFmtId="229" formatCode="_-* #,##0.0_-;\-* #,##0.0_-;_-* &quot;-&quot;?_-;_-@_-"/>
    <numFmt numFmtId="230" formatCode="#,##0.0_ "/>
  </numFmts>
  <fonts count="9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0"/>
      <name val="MS Sans Serif"/>
      <family val="2"/>
    </font>
    <font>
      <sz val="12"/>
      <name val="Times New Roman"/>
      <family val="1"/>
    </font>
    <font>
      <sz val="10"/>
      <name val="Courier New"/>
      <family val="3"/>
    </font>
    <font>
      <sz val="12"/>
      <name val="¨IoUAAA¡§u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8"/>
      <name val="Times New Roman"/>
      <family val="1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1"/>
      <name val="µ¸¿òÃ¼"/>
      <family val="3"/>
      <charset val="129"/>
    </font>
    <font>
      <sz val="9"/>
      <name val="Times New Roman"/>
      <family val="1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8"/>
      <name val="Courier New"/>
      <family val="3"/>
      <charset val="204"/>
    </font>
    <font>
      <sz val="10"/>
      <color indexed="16"/>
      <name val="MS Serif"/>
      <family val="1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29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7"/>
      <name val="Arial"/>
      <family val="2"/>
    </font>
    <font>
      <sz val="10"/>
      <color indexed="8"/>
      <name val="MS Sans Serif"/>
      <family val="2"/>
    </font>
    <font>
      <sz val="12"/>
      <color indexed="22"/>
      <name val="바탕체"/>
      <family val="1"/>
      <charset val="129"/>
    </font>
    <font>
      <b/>
      <sz val="18"/>
      <color indexed="22"/>
      <name val="바탕체"/>
      <family val="1"/>
      <charset val="129"/>
    </font>
    <font>
      <b/>
      <sz val="15"/>
      <color indexed="22"/>
      <name val="바탕체"/>
      <family val="1"/>
      <charset val="129"/>
    </font>
    <font>
      <u/>
      <sz val="7.5"/>
      <color indexed="36"/>
      <name val="Arial"/>
      <family val="2"/>
    </font>
    <font>
      <sz val="11"/>
      <name val="굴림체"/>
      <family val="3"/>
      <charset val="129"/>
    </font>
    <font>
      <sz val="14"/>
      <name val="뼻뮝"/>
      <family val="3"/>
      <charset val="129"/>
    </font>
    <font>
      <sz val="10"/>
      <color indexed="8"/>
      <name val="돋움체"/>
      <family val="3"/>
      <charset val="129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9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36"/>
      <name val="HY견고딕"/>
      <family val="1"/>
      <charset val="129"/>
    </font>
    <font>
      <sz val="12"/>
      <name val="돋움"/>
      <family val="3"/>
      <charset val="129"/>
    </font>
    <font>
      <sz val="8"/>
      <name val="가는각진제목체"/>
      <family val="2"/>
      <charset val="129"/>
    </font>
    <font>
      <b/>
      <sz val="12"/>
      <name val="돋움"/>
      <family val="3"/>
      <charset val="129"/>
    </font>
    <font>
      <b/>
      <sz val="12"/>
      <color theme="1"/>
      <name val="돋움"/>
      <family val="3"/>
      <charset val="129"/>
    </font>
    <font>
      <sz val="11"/>
      <color theme="1"/>
      <name val="가는각진제목체"/>
      <family val="2"/>
      <charset val="129"/>
    </font>
    <font>
      <sz val="12"/>
      <color theme="1"/>
      <name val="돋움"/>
      <family val="3"/>
      <charset val="129"/>
    </font>
    <font>
      <b/>
      <sz val="12"/>
      <name val="MS Gothic"/>
      <family val="3"/>
      <charset val="128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name val="굴림"/>
      <family val="3"/>
      <charset val="129"/>
    </font>
    <font>
      <sz val="15"/>
      <name val="돋움"/>
      <family val="3"/>
      <charset val="129"/>
    </font>
    <font>
      <b/>
      <sz val="15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5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7CC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92">
    <xf numFmtId="0" fontId="0" fillId="0" borderId="0">
      <alignment vertical="center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3" fontId="8" fillId="0" borderId="1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11" fillId="0" borderId="0"/>
    <xf numFmtId="0" fontId="11" fillId="0" borderId="0" applyNumberFormat="0" applyFill="0" applyBorder="0" applyAlignment="0" applyProtection="0"/>
    <xf numFmtId="0" fontId="12" fillId="0" borderId="0"/>
    <xf numFmtId="0" fontId="12" fillId="0" borderId="0"/>
    <xf numFmtId="0" fontId="11" fillId="0" borderId="0"/>
    <xf numFmtId="0" fontId="11" fillId="0" borderId="0"/>
    <xf numFmtId="0" fontId="13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/>
    <xf numFmtId="0" fontId="11" fillId="0" borderId="0"/>
    <xf numFmtId="0" fontId="13" fillId="0" borderId="0"/>
    <xf numFmtId="0" fontId="11" fillId="0" borderId="0"/>
    <xf numFmtId="0" fontId="2" fillId="0" borderId="0" applyFont="0" applyFill="0" applyBorder="0" applyAlignment="0" applyProtection="0"/>
    <xf numFmtId="0" fontId="13" fillId="0" borderId="0"/>
    <xf numFmtId="0" fontId="11" fillId="0" borderId="0"/>
    <xf numFmtId="0" fontId="1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12" fillId="0" borderId="0"/>
    <xf numFmtId="0" fontId="11" fillId="0" borderId="0"/>
    <xf numFmtId="0" fontId="7" fillId="0" borderId="0" applyFont="0" applyFill="0" applyBorder="0" applyAlignment="0" applyProtection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/>
    <xf numFmtId="0" fontId="13" fillId="0" borderId="0"/>
    <xf numFmtId="0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4" fillId="0" borderId="0"/>
    <xf numFmtId="0" fontId="9" fillId="0" borderId="0">
      <alignment vertical="center"/>
    </xf>
    <xf numFmtId="0" fontId="9" fillId="0" borderId="0">
      <alignment vertic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3" fillId="0" borderId="0"/>
    <xf numFmtId="3" fontId="8" fillId="0" borderId="1"/>
    <xf numFmtId="3" fontId="8" fillId="0" borderId="1"/>
    <xf numFmtId="3" fontId="15" fillId="0" borderId="2">
      <alignment horizontal="right" vertical="center"/>
    </xf>
    <xf numFmtId="0" fontId="9" fillId="0" borderId="0"/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3" fontId="15" fillId="0" borderId="2">
      <alignment horizontal="right" vertical="center"/>
    </xf>
    <xf numFmtId="0" fontId="9" fillId="0" borderId="0"/>
    <xf numFmtId="3" fontId="15" fillId="0" borderId="2">
      <alignment horizontal="right" vertical="center"/>
    </xf>
    <xf numFmtId="2" fontId="15" fillId="0" borderId="2">
      <alignment horizontal="right" vertical="center"/>
    </xf>
    <xf numFmtId="0" fontId="7" fillId="0" borderId="0"/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2" fontId="15" fillId="0" borderId="2">
      <alignment horizontal="right"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8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3" fillId="0" borderId="0"/>
    <xf numFmtId="0" fontId="2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8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8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8" fillId="0" borderId="0" applyFont="0" applyFill="0" applyBorder="0" applyAlignment="0" applyProtection="0"/>
    <xf numFmtId="0" fontId="16" fillId="0" borderId="0">
      <alignment vertical="center"/>
    </xf>
    <xf numFmtId="0" fontId="21" fillId="0" borderId="0"/>
    <xf numFmtId="0" fontId="22" fillId="0" borderId="0"/>
    <xf numFmtId="0" fontId="22" fillId="0" borderId="0"/>
    <xf numFmtId="0" fontId="23" fillId="0" borderId="0"/>
    <xf numFmtId="0" fontId="17" fillId="0" borderId="0"/>
    <xf numFmtId="0" fontId="18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191" fontId="12" fillId="0" borderId="0" applyFill="0" applyBorder="0" applyAlignment="0"/>
    <xf numFmtId="192" fontId="24" fillId="0" borderId="0" applyFill="0" applyBorder="0" applyAlignment="0"/>
    <xf numFmtId="179" fontId="24" fillId="0" borderId="0" applyFill="0" applyBorder="0" applyAlignment="0"/>
    <xf numFmtId="0" fontId="11" fillId="0" borderId="0" applyFill="0" applyBorder="0" applyAlignment="0"/>
    <xf numFmtId="193" fontId="11" fillId="0" borderId="0" applyFill="0" applyBorder="0" applyAlignment="0"/>
    <xf numFmtId="191" fontId="12" fillId="0" borderId="0" applyFill="0" applyBorder="0" applyAlignment="0"/>
    <xf numFmtId="194" fontId="11" fillId="0" borderId="0" applyFill="0" applyBorder="0" applyAlignment="0"/>
    <xf numFmtId="192" fontId="24" fillId="0" borderId="0" applyFill="0" applyBorder="0" applyAlignment="0"/>
    <xf numFmtId="0" fontId="25" fillId="0" borderId="0"/>
    <xf numFmtId="4" fontId="26" fillId="0" borderId="0">
      <protection locked="0"/>
    </xf>
    <xf numFmtId="0" fontId="11" fillId="0" borderId="0" applyFont="0" applyFill="0" applyBorder="0" applyAlignment="0" applyProtection="0"/>
    <xf numFmtId="191" fontId="12" fillId="0" borderId="0" applyFont="0" applyFill="0" applyBorder="0" applyAlignment="0" applyProtection="0"/>
    <xf numFmtId="195" fontId="2" fillId="0" borderId="0"/>
    <xf numFmtId="190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96" fontId="12" fillId="0" borderId="0" applyFont="0" applyFill="0" applyBorder="0" applyAlignment="0" applyProtection="0"/>
    <xf numFmtId="197" fontId="7" fillId="0" borderId="0"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92" fontId="24" fillId="0" borderId="0" applyFont="0" applyFill="0" applyBorder="0" applyAlignment="0" applyProtection="0"/>
    <xf numFmtId="198" fontId="29" fillId="0" borderId="1" applyFill="0" applyBorder="0" applyAlignment="0"/>
    <xf numFmtId="199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1" fontId="2" fillId="0" borderId="0"/>
    <xf numFmtId="202" fontId="7" fillId="0" borderId="0">
      <protection locked="0"/>
    </xf>
    <xf numFmtId="14" fontId="30" fillId="0" borderId="0" applyFill="0" applyBorder="0" applyAlignment="0"/>
    <xf numFmtId="0" fontId="11" fillId="0" borderId="0" applyFont="0" applyFill="0" applyBorder="0" applyAlignment="0" applyProtection="0"/>
    <xf numFmtId="38" fontId="13" fillId="0" borderId="3">
      <alignment vertical="center"/>
    </xf>
    <xf numFmtId="203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5" fontId="2" fillId="0" borderId="0"/>
    <xf numFmtId="0" fontId="31" fillId="0" borderId="0"/>
    <xf numFmtId="191" fontId="12" fillId="0" borderId="0" applyFill="0" applyBorder="0" applyAlignment="0"/>
    <xf numFmtId="192" fontId="24" fillId="0" borderId="0" applyFill="0" applyBorder="0" applyAlignment="0"/>
    <xf numFmtId="191" fontId="12" fillId="0" borderId="0" applyFill="0" applyBorder="0" applyAlignment="0"/>
    <xf numFmtId="194" fontId="11" fillId="0" borderId="0" applyFill="0" applyBorder="0" applyAlignment="0"/>
    <xf numFmtId="192" fontId="24" fillId="0" borderId="0" applyFill="0" applyBorder="0" applyAlignment="0"/>
    <xf numFmtId="0" fontId="32" fillId="0" borderId="0" applyNumberFormat="0" applyAlignment="0">
      <alignment horizontal="left"/>
    </xf>
    <xf numFmtId="206" fontId="7" fillId="0" borderId="0">
      <protection locked="0"/>
    </xf>
    <xf numFmtId="38" fontId="33" fillId="2" borderId="0" applyNumberFormat="0" applyBorder="0" applyAlignment="0" applyProtection="0"/>
    <xf numFmtId="3" fontId="34" fillId="0" borderId="4">
      <alignment horizontal="right" vertical="center"/>
    </xf>
    <xf numFmtId="4" fontId="34" fillId="0" borderId="4">
      <alignment horizontal="right" vertical="center"/>
    </xf>
    <xf numFmtId="0" fontId="35" fillId="0" borderId="0">
      <alignment horizontal="left"/>
    </xf>
    <xf numFmtId="0" fontId="36" fillId="0" borderId="5" applyNumberFormat="0" applyAlignment="0" applyProtection="0">
      <alignment horizontal="left" vertical="center"/>
    </xf>
    <xf numFmtId="0" fontId="36" fillId="0" borderId="6">
      <alignment horizontal="left" vertical="center"/>
    </xf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207" fontId="7" fillId="0" borderId="0">
      <protection locked="0"/>
    </xf>
    <xf numFmtId="207" fontId="7" fillId="0" borderId="0">
      <protection locked="0"/>
    </xf>
    <xf numFmtId="0" fontId="38" fillId="0" borderId="0" applyNumberFormat="0" applyFill="0" applyBorder="0" applyAlignment="0" applyProtection="0"/>
    <xf numFmtId="10" fontId="33" fillId="3" borderId="1" applyNumberFormat="0" applyBorder="0" applyAlignment="0" applyProtection="0"/>
    <xf numFmtId="208" fontId="39" fillId="4" borderId="0"/>
    <xf numFmtId="191" fontId="12" fillId="0" borderId="0" applyFill="0" applyBorder="0" applyAlignment="0"/>
    <xf numFmtId="192" fontId="24" fillId="0" borderId="0" applyFill="0" applyBorder="0" applyAlignment="0"/>
    <xf numFmtId="191" fontId="12" fillId="0" borderId="0" applyFill="0" applyBorder="0" applyAlignment="0"/>
    <xf numFmtId="194" fontId="11" fillId="0" borderId="0" applyFill="0" applyBorder="0" applyAlignment="0"/>
    <xf numFmtId="192" fontId="24" fillId="0" borderId="0" applyFill="0" applyBorder="0" applyAlignment="0"/>
    <xf numFmtId="208" fontId="40" fillId="5" borderId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1" fillId="0" borderId="7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2" fillId="0" borderId="0" applyFont="0" applyFill="0" applyBorder="0" applyAlignment="0" applyProtection="0"/>
    <xf numFmtId="37" fontId="43" fillId="0" borderId="0"/>
    <xf numFmtId="209" fontId="2" fillId="0" borderId="0"/>
    <xf numFmtId="0" fontId="7" fillId="0" borderId="0"/>
    <xf numFmtId="0" fontId="11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14" fontId="20" fillId="0" borderId="0">
      <alignment horizontal="center" wrapText="1"/>
      <protection locked="0"/>
    </xf>
    <xf numFmtId="210" fontId="7" fillId="0" borderId="0">
      <protection locked="0"/>
    </xf>
    <xf numFmtId="193" fontId="11" fillId="0" borderId="0" applyFont="0" applyFill="0" applyBorder="0" applyAlignment="0" applyProtection="0"/>
    <xf numFmtId="211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212" fontId="11" fillId="0" borderId="0" applyFont="0" applyFill="0" applyBorder="0" applyAlignment="0" applyProtection="0"/>
    <xf numFmtId="191" fontId="12" fillId="0" borderId="0" applyFill="0" applyBorder="0" applyAlignment="0"/>
    <xf numFmtId="192" fontId="24" fillId="0" borderId="0" applyFill="0" applyBorder="0" applyAlignment="0"/>
    <xf numFmtId="191" fontId="12" fillId="0" borderId="0" applyFill="0" applyBorder="0" applyAlignment="0"/>
    <xf numFmtId="194" fontId="11" fillId="0" borderId="0" applyFill="0" applyBorder="0" applyAlignment="0"/>
    <xf numFmtId="192" fontId="24" fillId="0" borderId="0" applyFill="0" applyBorder="0" applyAlignment="0"/>
    <xf numFmtId="213" fontId="44" fillId="0" borderId="0"/>
    <xf numFmtId="0" fontId="13" fillId="0" borderId="0" applyNumberFormat="0" applyFont="0" applyFill="0" applyBorder="0" applyAlignment="0" applyProtection="0">
      <alignment horizontal="left"/>
    </xf>
    <xf numFmtId="30" fontId="45" fillId="0" borderId="0" applyNumberFormat="0" applyFill="0" applyBorder="0" applyAlignment="0" applyProtection="0">
      <alignment horizontal="left"/>
    </xf>
    <xf numFmtId="0" fontId="11" fillId="0" borderId="0"/>
    <xf numFmtId="0" fontId="33" fillId="0" borderId="0"/>
    <xf numFmtId="0" fontId="41" fillId="0" borderId="0"/>
    <xf numFmtId="40" fontId="46" fillId="0" borderId="0" applyBorder="0">
      <alignment horizontal="right"/>
    </xf>
    <xf numFmtId="49" fontId="30" fillId="0" borderId="0" applyFill="0" applyBorder="0" applyAlignment="0"/>
    <xf numFmtId="212" fontId="11" fillId="0" borderId="0" applyFill="0" applyBorder="0" applyAlignment="0"/>
    <xf numFmtId="214" fontId="11" fillId="0" borderId="0" applyFill="0" applyBorder="0" applyAlignment="0"/>
    <xf numFmtId="0" fontId="47" fillId="0" borderId="0" applyFill="0" applyBorder="0" applyProtection="0">
      <alignment horizontal="centerContinuous" vertical="center"/>
    </xf>
    <xf numFmtId="0" fontId="9" fillId="6" borderId="0" applyFill="0" applyBorder="0" applyProtection="0">
      <alignment horizontal="center" vertical="center"/>
    </xf>
    <xf numFmtId="207" fontId="7" fillId="0" borderId="8">
      <protection locked="0"/>
    </xf>
    <xf numFmtId="0" fontId="48" fillId="0" borderId="9" applyBorder="0"/>
    <xf numFmtId="215" fontId="11" fillId="0" borderId="0" applyFont="0" applyFill="0" applyBorder="0" applyAlignment="0" applyProtection="0"/>
    <xf numFmtId="216" fontId="11" fillId="0" borderId="0" applyFont="0" applyFill="0" applyBorder="0" applyAlignment="0" applyProtection="0"/>
    <xf numFmtId="0" fontId="49" fillId="0" borderId="0"/>
    <xf numFmtId="2" fontId="5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0" fillId="0" borderId="0" applyFont="0" applyFill="0" applyBorder="0" applyAlignment="0" applyProtection="0"/>
    <xf numFmtId="3" fontId="13" fillId="0" borderId="10">
      <alignment horizontal="center"/>
    </xf>
    <xf numFmtId="217" fontId="7" fillId="0" borderId="4" applyFill="0" applyBorder="0" applyProtection="0">
      <alignment vertical="center"/>
    </xf>
    <xf numFmtId="0" fontId="50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54" fillId="6" borderId="0" applyFill="0" applyBorder="0" applyProtection="0">
      <alignment horizontal="right"/>
    </xf>
    <xf numFmtId="10" fontId="54" fillId="0" borderId="0" applyFill="0" applyBorder="0" applyProtection="0">
      <alignment horizontal="right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3" fontId="34" fillId="0" borderId="4">
      <alignment vertical="center"/>
    </xf>
    <xf numFmtId="218" fontId="2" fillId="0" borderId="11" applyFont="0" applyFill="0" applyAlignment="0" applyProtection="0">
      <alignment horizontal="center" vertical="center"/>
    </xf>
    <xf numFmtId="0" fontId="55" fillId="0" borderId="0"/>
    <xf numFmtId="3" fontId="56" fillId="0" borderId="4" applyFill="0" applyBorder="0" applyProtection="0">
      <alignment vertical="center"/>
    </xf>
    <xf numFmtId="219" fontId="7" fillId="0" borderId="4" applyFill="0" applyBorder="0" applyProtection="0">
      <alignment vertical="center"/>
    </xf>
    <xf numFmtId="217" fontId="7" fillId="0" borderId="4" applyFill="0" applyBorder="0" applyProtection="0">
      <alignment vertical="center"/>
    </xf>
    <xf numFmtId="220" fontId="7" fillId="0" borderId="4" applyFill="0" applyBorder="0" applyProtection="0">
      <alignment vertical="center"/>
    </xf>
    <xf numFmtId="221" fontId="7" fillId="0" borderId="4" applyFill="0" applyBorder="0" applyProtection="0">
      <alignment vertical="center"/>
    </xf>
    <xf numFmtId="222" fontId="1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12"/>
    <xf numFmtId="0" fontId="58" fillId="0" borderId="0">
      <alignment vertical="center"/>
    </xf>
    <xf numFmtId="4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0" fontId="7" fillId="0" borderId="0">
      <alignment vertical="center"/>
    </xf>
    <xf numFmtId="0" fontId="59" fillId="0" borderId="0">
      <alignment horizontal="centerContinuous" vertical="center"/>
    </xf>
    <xf numFmtId="0" fontId="7" fillId="0" borderId="1">
      <alignment horizontal="distributed" vertical="center"/>
    </xf>
    <xf numFmtId="0" fontId="7" fillId="0" borderId="13">
      <alignment horizontal="distributed" vertical="top"/>
    </xf>
    <xf numFmtId="0" fontId="7" fillId="0" borderId="14">
      <alignment horizontal="distributed"/>
    </xf>
    <xf numFmtId="223" fontId="60" fillId="0" borderId="0">
      <alignment vertical="center"/>
    </xf>
    <xf numFmtId="0" fontId="67" fillId="9" borderId="0" applyNumberFormat="0" applyBorder="0" applyAlignment="0" applyProtection="0">
      <alignment vertical="center"/>
    </xf>
    <xf numFmtId="0" fontId="7" fillId="0" borderId="0"/>
    <xf numFmtId="41" fontId="2" fillId="0" borderId="0" applyFont="0" applyFill="0" applyBorder="0" applyAlignment="0" applyProtection="0"/>
    <xf numFmtId="41" fontId="61" fillId="0" borderId="15">
      <alignment horizontal="center" vertical="center"/>
    </xf>
    <xf numFmtId="224" fontId="7" fillId="0" borderId="0" applyFont="0" applyFill="0" applyBorder="0" applyAlignment="0" applyProtection="0"/>
    <xf numFmtId="225" fontId="54" fillId="6" borderId="0" applyFill="0" applyBorder="0" applyProtection="0">
      <alignment horizontal="right"/>
    </xf>
    <xf numFmtId="223" fontId="8" fillId="0" borderId="16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3" fontId="7" fillId="0" borderId="17"/>
    <xf numFmtId="42" fontId="5" fillId="0" borderId="0" applyFont="0" applyFill="0" applyBorder="0" applyAlignment="0" applyProtection="0">
      <alignment vertical="center"/>
    </xf>
    <xf numFmtId="10" fontId="50" fillId="0" borderId="0" applyFont="0" applyFill="0" applyBorder="0" applyAlignment="0" applyProtection="0"/>
    <xf numFmtId="0" fontId="62" fillId="0" borderId="18">
      <alignment horizontal="center" vertical="center"/>
    </xf>
    <xf numFmtId="0" fontId="62" fillId="0" borderId="18">
      <alignment horizontal="left" vertical="center"/>
    </xf>
    <xf numFmtId="0" fontId="62" fillId="0" borderId="18">
      <alignment vertical="center" textRotation="255"/>
    </xf>
    <xf numFmtId="0" fontId="8" fillId="0" borderId="14">
      <alignment horizontal="distributed"/>
    </xf>
    <xf numFmtId="0" fontId="8" fillId="0" borderId="19">
      <alignment horizontal="distributed" vertical="center"/>
    </xf>
    <xf numFmtId="0" fontId="8" fillId="0" borderId="20">
      <alignment horizontal="distributed" vertical="top"/>
    </xf>
    <xf numFmtId="0" fontId="2" fillId="0" borderId="0">
      <alignment vertical="center"/>
    </xf>
    <xf numFmtId="0" fontId="65" fillId="0" borderId="0">
      <alignment vertical="center"/>
    </xf>
    <xf numFmtId="0" fontId="68" fillId="0" borderId="0">
      <alignment vertical="center"/>
    </xf>
    <xf numFmtId="0" fontId="2" fillId="0" borderId="0"/>
    <xf numFmtId="0" fontId="2" fillId="0" borderId="0"/>
    <xf numFmtId="0" fontId="2" fillId="0" borderId="0"/>
    <xf numFmtId="0" fontId="50" fillId="0" borderId="21" applyNumberFormat="0" applyFont="0" applyFill="0" applyAlignment="0" applyProtection="0"/>
    <xf numFmtId="226" fontId="7" fillId="0" borderId="0" applyFont="0" applyFill="0" applyBorder="0" applyAlignment="0" applyProtection="0"/>
    <xf numFmtId="227" fontId="50" fillId="0" borderId="0" applyFont="0" applyFill="0" applyBorder="0" applyAlignment="0" applyProtection="0"/>
    <xf numFmtId="188" fontId="7" fillId="0" borderId="22"/>
    <xf numFmtId="0" fontId="2" fillId="0" borderId="0"/>
    <xf numFmtId="0" fontId="2" fillId="0" borderId="0"/>
    <xf numFmtId="0" fontId="65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77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41" fontId="0" fillId="0" borderId="0" xfId="585" applyFont="1">
      <alignment vertical="center"/>
    </xf>
    <xf numFmtId="41" fontId="0" fillId="0" borderId="0" xfId="585" applyFont="1" applyAlignment="1">
      <alignment horizontal="right" vertical="center"/>
    </xf>
    <xf numFmtId="41" fontId="0" fillId="0" borderId="0" xfId="585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shrinkToFit="1"/>
    </xf>
    <xf numFmtId="41" fontId="0" fillId="0" borderId="0" xfId="585" applyFont="1" applyBorder="1">
      <alignment vertical="center"/>
    </xf>
    <xf numFmtId="228" fontId="0" fillId="0" borderId="0" xfId="585" applyNumberFormat="1" applyFont="1" applyBorder="1">
      <alignment vertical="center"/>
    </xf>
    <xf numFmtId="41" fontId="0" fillId="0" borderId="1" xfId="585" applyFont="1" applyBorder="1" applyAlignment="1">
      <alignment vertical="center" shrinkToFit="1"/>
    </xf>
    <xf numFmtId="228" fontId="0" fillId="0" borderId="0" xfId="0" applyNumberFormat="1">
      <alignment vertical="center"/>
    </xf>
    <xf numFmtId="176" fontId="0" fillId="0" borderId="1" xfId="585" applyNumberFormat="1" applyFont="1" applyFill="1" applyBorder="1" applyAlignment="1">
      <alignment vertical="center" shrinkToFit="1"/>
    </xf>
    <xf numFmtId="41" fontId="0" fillId="0" borderId="1" xfId="585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shrinkToFit="1"/>
    </xf>
    <xf numFmtId="41" fontId="0" fillId="0" borderId="0" xfId="0" applyNumberFormat="1" applyAlignment="1">
      <alignment horizontal="center" vertical="center"/>
    </xf>
    <xf numFmtId="41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585" applyFont="1" applyAlignment="1">
      <alignment vertical="center" shrinkToFit="1"/>
    </xf>
    <xf numFmtId="176" fontId="0" fillId="0" borderId="0" xfId="0" applyNumberForma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shrinkToFit="1"/>
    </xf>
    <xf numFmtId="41" fontId="2" fillId="10" borderId="1" xfId="585" applyFont="1" applyFill="1" applyBorder="1" applyAlignment="1">
      <alignment vertical="center" shrinkToFit="1"/>
    </xf>
    <xf numFmtId="41" fontId="62" fillId="0" borderId="25" xfId="585" applyFont="1" applyBorder="1" applyAlignment="1">
      <alignment vertical="center" shrinkToFit="1"/>
    </xf>
    <xf numFmtId="0" fontId="64" fillId="0" borderId="25" xfId="877" applyFont="1" applyBorder="1" applyAlignment="1">
      <alignment horizontal="center" vertical="center" shrinkToFit="1"/>
    </xf>
    <xf numFmtId="176" fontId="2" fillId="0" borderId="25" xfId="0" applyNumberFormat="1" applyFont="1" applyBorder="1" applyAlignment="1">
      <alignment vertical="center" shrinkToFit="1"/>
    </xf>
    <xf numFmtId="41" fontId="2" fillId="0" borderId="25" xfId="585" applyFont="1" applyFill="1" applyBorder="1" applyAlignment="1">
      <alignment vertical="center" shrinkToFit="1"/>
    </xf>
    <xf numFmtId="0" fontId="2" fillId="0" borderId="0" xfId="882"/>
    <xf numFmtId="0" fontId="75" fillId="11" borderId="34" xfId="883" applyFont="1" applyFill="1" applyBorder="1" applyAlignment="1">
      <alignment horizontal="center" vertical="center"/>
    </xf>
    <xf numFmtId="0" fontId="75" fillId="11" borderId="35" xfId="883" applyFont="1" applyFill="1" applyBorder="1" applyAlignment="1">
      <alignment horizontal="center" vertical="center"/>
    </xf>
    <xf numFmtId="0" fontId="75" fillId="11" borderId="36" xfId="883" applyFont="1" applyFill="1" applyBorder="1" applyAlignment="1">
      <alignment horizontal="center" vertical="center"/>
    </xf>
    <xf numFmtId="0" fontId="75" fillId="11" borderId="37" xfId="883" applyFont="1" applyFill="1" applyBorder="1" applyAlignment="1">
      <alignment horizontal="center" vertical="center"/>
    </xf>
    <xf numFmtId="0" fontId="75" fillId="11" borderId="38" xfId="883" applyFont="1" applyFill="1" applyBorder="1" applyAlignment="1">
      <alignment horizontal="center" vertical="center"/>
    </xf>
    <xf numFmtId="0" fontId="2" fillId="0" borderId="0" xfId="882" applyAlignment="1">
      <alignment vertical="center"/>
    </xf>
    <xf numFmtId="0" fontId="75" fillId="0" borderId="42" xfId="882" applyFont="1" applyBorder="1" applyAlignment="1">
      <alignment horizontal="left" vertical="center" wrapText="1"/>
    </xf>
    <xf numFmtId="0" fontId="73" fillId="0" borderId="43" xfId="882" applyFont="1" applyBorder="1" applyAlignment="1">
      <alignment horizontal="left" vertical="center" wrapText="1"/>
    </xf>
    <xf numFmtId="0" fontId="76" fillId="13" borderId="44" xfId="884" applyFont="1" applyFill="1" applyBorder="1" applyAlignment="1">
      <alignment horizontal="right" vertical="center"/>
    </xf>
    <xf numFmtId="0" fontId="75" fillId="12" borderId="45" xfId="882" applyFont="1" applyFill="1" applyBorder="1" applyAlignment="1">
      <alignment horizontal="left" vertical="center" wrapText="1"/>
    </xf>
    <xf numFmtId="0" fontId="75" fillId="12" borderId="5" xfId="882" applyFont="1" applyFill="1" applyBorder="1" applyAlignment="1">
      <alignment horizontal="left" vertical="center" wrapText="1"/>
    </xf>
    <xf numFmtId="0" fontId="75" fillId="12" borderId="46" xfId="882" applyFont="1" applyFill="1" applyBorder="1" applyAlignment="1">
      <alignment horizontal="left" vertical="center" wrapText="1"/>
    </xf>
    <xf numFmtId="0" fontId="75" fillId="0" borderId="47" xfId="882" applyFont="1" applyBorder="1" applyAlignment="1">
      <alignment horizontal="left" vertical="center"/>
    </xf>
    <xf numFmtId="0" fontId="73" fillId="0" borderId="48" xfId="882" applyFont="1" applyBorder="1" applyAlignment="1">
      <alignment horizontal="left" vertical="center" wrapText="1" shrinkToFit="1"/>
    </xf>
    <xf numFmtId="3" fontId="75" fillId="13" borderId="28" xfId="885" applyNumberFormat="1" applyFont="1" applyFill="1" applyBorder="1" applyAlignment="1">
      <alignment horizontal="right" vertical="center"/>
    </xf>
    <xf numFmtId="3" fontId="76" fillId="13" borderId="44" xfId="884" applyNumberFormat="1" applyFont="1" applyFill="1" applyBorder="1" applyAlignment="1">
      <alignment horizontal="right" vertical="center" wrapText="1"/>
    </xf>
    <xf numFmtId="0" fontId="75" fillId="0" borderId="29" xfId="882" applyFont="1" applyBorder="1" applyAlignment="1">
      <alignment horizontal="left" vertical="center" shrinkToFit="1"/>
    </xf>
    <xf numFmtId="0" fontId="73" fillId="13" borderId="48" xfId="882" applyFont="1" applyFill="1" applyBorder="1" applyAlignment="1">
      <alignment horizontal="left" vertical="center" wrapText="1"/>
    </xf>
    <xf numFmtId="3" fontId="75" fillId="13" borderId="49" xfId="886" applyNumberFormat="1" applyFont="1" applyFill="1" applyBorder="1" applyAlignment="1">
      <alignment horizontal="right" vertical="center"/>
    </xf>
    <xf numFmtId="0" fontId="75" fillId="13" borderId="24" xfId="885" applyNumberFormat="1" applyFont="1" applyFill="1" applyBorder="1" applyAlignment="1">
      <alignment horizontal="right" vertical="center" wrapText="1"/>
    </xf>
    <xf numFmtId="0" fontId="75" fillId="0" borderId="42" xfId="882" applyFont="1" applyBorder="1" applyAlignment="1">
      <alignment vertical="center" wrapText="1"/>
    </xf>
    <xf numFmtId="0" fontId="76" fillId="13" borderId="44" xfId="884" applyFont="1" applyFill="1" applyBorder="1" applyAlignment="1">
      <alignment horizontal="right" vertical="center" wrapText="1"/>
    </xf>
    <xf numFmtId="0" fontId="75" fillId="0" borderId="27" xfId="882" applyFont="1" applyBorder="1" applyAlignment="1">
      <alignment horizontal="left" vertical="center" wrapText="1"/>
    </xf>
    <xf numFmtId="0" fontId="75" fillId="0" borderId="42" xfId="882" applyFont="1" applyBorder="1" applyAlignment="1">
      <alignment horizontal="left" vertical="center"/>
    </xf>
    <xf numFmtId="3" fontId="75" fillId="13" borderId="24" xfId="885" applyNumberFormat="1" applyFont="1" applyFill="1" applyBorder="1" applyAlignment="1">
      <alignment horizontal="right" vertical="center"/>
    </xf>
    <xf numFmtId="3" fontId="76" fillId="13" borderId="44" xfId="884" applyNumberFormat="1" applyFont="1" applyFill="1" applyBorder="1" applyAlignment="1">
      <alignment horizontal="right" vertical="center"/>
    </xf>
    <xf numFmtId="0" fontId="75" fillId="0" borderId="30" xfId="882" applyFont="1" applyBorder="1" applyAlignment="1">
      <alignment horizontal="left" vertical="center"/>
    </xf>
    <xf numFmtId="0" fontId="73" fillId="0" borderId="50" xfId="882" applyFont="1" applyBorder="1" applyAlignment="1">
      <alignment horizontal="left" vertical="center" wrapText="1"/>
    </xf>
    <xf numFmtId="0" fontId="76" fillId="13" borderId="51" xfId="884" applyFont="1" applyFill="1" applyBorder="1" applyAlignment="1">
      <alignment horizontal="right" vertical="center"/>
    </xf>
    <xf numFmtId="0" fontId="75" fillId="0" borderId="52" xfId="882" applyFont="1" applyBorder="1" applyAlignment="1">
      <alignment horizontal="left" vertical="center" wrapText="1"/>
    </xf>
    <xf numFmtId="0" fontId="78" fillId="0" borderId="32" xfId="887" applyFont="1" applyBorder="1" applyAlignment="1">
      <alignment vertical="center" wrapText="1" shrinkToFit="1"/>
    </xf>
    <xf numFmtId="0" fontId="75" fillId="0" borderId="53" xfId="882" applyFont="1" applyBorder="1" applyAlignment="1">
      <alignment horizontal="left" vertical="top" wrapText="1"/>
    </xf>
    <xf numFmtId="0" fontId="75" fillId="0" borderId="29" xfId="882" applyFont="1" applyBorder="1" applyAlignment="1">
      <alignment horizontal="left" vertical="center"/>
    </xf>
    <xf numFmtId="0" fontId="73" fillId="0" borderId="48" xfId="882" applyFont="1" applyBorder="1" applyAlignment="1">
      <alignment horizontal="left" vertical="center" wrapText="1"/>
    </xf>
    <xf numFmtId="3" fontId="76" fillId="13" borderId="49" xfId="884" applyNumberFormat="1" applyFont="1" applyFill="1" applyBorder="1" applyAlignment="1">
      <alignment horizontal="right" vertical="center"/>
    </xf>
    <xf numFmtId="0" fontId="75" fillId="0" borderId="27" xfId="882" applyFont="1" applyBorder="1" applyAlignment="1">
      <alignment horizontal="left" vertical="center"/>
    </xf>
    <xf numFmtId="3" fontId="75" fillId="6" borderId="44" xfId="886" applyNumberFormat="1" applyFont="1" applyFill="1" applyBorder="1" applyAlignment="1">
      <alignment horizontal="right" vertical="center" wrapText="1"/>
    </xf>
    <xf numFmtId="0" fontId="75" fillId="0" borderId="47" xfId="882" applyFont="1" applyBorder="1" applyAlignment="1">
      <alignment horizontal="left" vertical="top" wrapText="1"/>
    </xf>
    <xf numFmtId="0" fontId="73" fillId="0" borderId="50" xfId="882" applyFont="1" applyBorder="1" applyAlignment="1">
      <alignment horizontal="left" vertical="center"/>
    </xf>
    <xf numFmtId="3" fontId="76" fillId="13" borderId="51" xfId="884" applyNumberFormat="1" applyFont="1" applyFill="1" applyBorder="1" applyAlignment="1">
      <alignment horizontal="right" vertical="center"/>
    </xf>
    <xf numFmtId="0" fontId="73" fillId="0" borderId="43" xfId="882" applyFont="1" applyBorder="1" applyAlignment="1">
      <alignment horizontal="left" vertical="center"/>
    </xf>
    <xf numFmtId="3" fontId="76" fillId="13" borderId="24" xfId="885" applyNumberFormat="1" applyFont="1" applyFill="1" applyBorder="1" applyAlignment="1">
      <alignment horizontal="right" vertical="center"/>
    </xf>
    <xf numFmtId="0" fontId="75" fillId="0" borderId="29" xfId="883" applyFont="1" applyBorder="1" applyAlignment="1">
      <alignment horizontal="left" vertical="center"/>
    </xf>
    <xf numFmtId="0" fontId="73" fillId="0" borderId="48" xfId="883" applyFont="1" applyBorder="1" applyAlignment="1">
      <alignment horizontal="left" vertical="center" wrapText="1"/>
    </xf>
    <xf numFmtId="0" fontId="76" fillId="0" borderId="49" xfId="884" applyFont="1" applyBorder="1" applyAlignment="1">
      <alignment horizontal="right" vertical="center" wrapText="1"/>
    </xf>
    <xf numFmtId="0" fontId="76" fillId="13" borderId="24" xfId="885" applyNumberFormat="1" applyFont="1" applyFill="1" applyBorder="1" applyAlignment="1">
      <alignment horizontal="right" vertical="center" wrapText="1"/>
    </xf>
    <xf numFmtId="0" fontId="78" fillId="0" borderId="32" xfId="887" applyFont="1" applyBorder="1" applyAlignment="1">
      <alignment vertical="center" shrinkToFit="1"/>
    </xf>
    <xf numFmtId="3" fontId="76" fillId="13" borderId="24" xfId="885" applyNumberFormat="1" applyFont="1" applyFill="1" applyBorder="1" applyAlignment="1">
      <alignment horizontal="right" vertical="center" wrapText="1"/>
    </xf>
    <xf numFmtId="0" fontId="78" fillId="0" borderId="26" xfId="887" applyFont="1" applyBorder="1" applyAlignment="1">
      <alignment vertical="center" shrinkToFit="1"/>
    </xf>
    <xf numFmtId="0" fontId="75" fillId="0" borderId="30" xfId="882" applyFont="1" applyBorder="1" applyAlignment="1">
      <alignment horizontal="left" vertical="center" wrapText="1"/>
    </xf>
    <xf numFmtId="0" fontId="75" fillId="6" borderId="51" xfId="886" applyNumberFormat="1" applyFont="1" applyFill="1" applyBorder="1" applyAlignment="1">
      <alignment horizontal="right" vertical="center" wrapText="1"/>
    </xf>
    <xf numFmtId="0" fontId="75" fillId="0" borderId="54" xfId="882" applyFont="1" applyBorder="1" applyAlignment="1">
      <alignment horizontal="left" vertical="center" wrapText="1"/>
    </xf>
    <xf numFmtId="0" fontId="73" fillId="0" borderId="55" xfId="882" applyFont="1" applyBorder="1" applyAlignment="1">
      <alignment horizontal="left" vertical="center" wrapText="1"/>
    </xf>
    <xf numFmtId="0" fontId="75" fillId="6" borderId="56" xfId="886" applyNumberFormat="1" applyFont="1" applyFill="1" applyBorder="1" applyAlignment="1">
      <alignment horizontal="right" vertical="center" wrapText="1"/>
    </xf>
    <xf numFmtId="0" fontId="75" fillId="0" borderId="52" xfId="882" applyFont="1" applyBorder="1" applyAlignment="1">
      <alignment horizontal="left" vertical="center"/>
    </xf>
    <xf numFmtId="0" fontId="75" fillId="0" borderId="57" xfId="882" applyFont="1" applyBorder="1" applyAlignment="1">
      <alignment horizontal="left" vertical="center" wrapText="1"/>
    </xf>
    <xf numFmtId="0" fontId="73" fillId="0" borderId="58" xfId="882" applyFont="1" applyBorder="1" applyAlignment="1">
      <alignment vertical="center" wrapText="1"/>
    </xf>
    <xf numFmtId="41" fontId="76" fillId="13" borderId="59" xfId="885" applyFont="1" applyFill="1" applyBorder="1" applyAlignment="1">
      <alignment horizontal="right" vertical="center" wrapText="1"/>
    </xf>
    <xf numFmtId="0" fontId="73" fillId="0" borderId="0" xfId="882" applyFont="1"/>
    <xf numFmtId="0" fontId="75" fillId="0" borderId="52" xfId="882" applyFont="1" applyBorder="1" applyAlignment="1">
      <alignment vertical="center" wrapText="1"/>
    </xf>
    <xf numFmtId="0" fontId="78" fillId="0" borderId="43" xfId="887" applyFont="1" applyBorder="1" applyAlignment="1">
      <alignment vertical="center" wrapText="1" shrinkToFit="1"/>
    </xf>
    <xf numFmtId="41" fontId="76" fillId="13" borderId="44" xfId="885" applyFont="1" applyFill="1" applyBorder="1" applyAlignment="1">
      <alignment horizontal="right" vertical="center" wrapText="1"/>
    </xf>
    <xf numFmtId="0" fontId="75" fillId="0" borderId="53" xfId="882" applyFont="1" applyBorder="1" applyAlignment="1">
      <alignment vertical="top" wrapText="1"/>
    </xf>
    <xf numFmtId="0" fontId="73" fillId="0" borderId="43" xfId="882" applyFont="1" applyBorder="1" applyAlignment="1">
      <alignment vertical="center" wrapText="1"/>
    </xf>
    <xf numFmtId="0" fontId="75" fillId="0" borderId="57" xfId="882" applyFont="1" applyBorder="1" applyAlignment="1">
      <alignment horizontal="left" vertical="center"/>
    </xf>
    <xf numFmtId="0" fontId="73" fillId="0" borderId="58" xfId="882" applyFont="1" applyBorder="1" applyAlignment="1">
      <alignment horizontal="left" vertical="center"/>
    </xf>
    <xf numFmtId="3" fontId="76" fillId="13" borderId="59" xfId="884" applyNumberFormat="1" applyFont="1" applyFill="1" applyBorder="1" applyAlignment="1">
      <alignment horizontal="right" vertical="center"/>
    </xf>
    <xf numFmtId="0" fontId="73" fillId="0" borderId="55" xfId="882" applyFont="1" applyBorder="1" applyAlignment="1">
      <alignment vertical="center" wrapText="1"/>
    </xf>
    <xf numFmtId="0" fontId="76" fillId="13" borderId="60" xfId="885" applyNumberFormat="1" applyFont="1" applyFill="1" applyBorder="1" applyAlignment="1">
      <alignment horizontal="right" vertical="center" wrapText="1"/>
    </xf>
    <xf numFmtId="0" fontId="75" fillId="0" borderId="47" xfId="882" applyFont="1" applyBorder="1" applyAlignment="1">
      <alignment horizontal="left" vertical="center" wrapText="1"/>
    </xf>
    <xf numFmtId="0" fontId="76" fillId="13" borderId="49" xfId="884" applyFont="1" applyFill="1" applyBorder="1" applyAlignment="1">
      <alignment horizontal="right" vertical="center" wrapText="1"/>
    </xf>
    <xf numFmtId="0" fontId="75" fillId="0" borderId="61" xfId="882" applyFont="1" applyBorder="1" applyAlignment="1">
      <alignment vertical="top" wrapText="1"/>
    </xf>
    <xf numFmtId="0" fontId="78" fillId="0" borderId="55" xfId="887" applyFont="1" applyBorder="1" applyAlignment="1">
      <alignment vertical="center" wrapText="1" shrinkToFit="1"/>
    </xf>
    <xf numFmtId="41" fontId="76" fillId="13" borderId="56" xfId="885" applyFont="1" applyFill="1" applyBorder="1" applyAlignment="1">
      <alignment horizontal="right" vertical="center" wrapText="1"/>
    </xf>
    <xf numFmtId="0" fontId="75" fillId="6" borderId="42" xfId="882" applyFont="1" applyFill="1" applyBorder="1" applyAlignment="1">
      <alignment horizontal="left" vertical="center" wrapText="1"/>
    </xf>
    <xf numFmtId="0" fontId="73" fillId="6" borderId="43" xfId="882" applyFont="1" applyFill="1" applyBorder="1" applyAlignment="1">
      <alignment horizontal="left" vertical="center" wrapText="1"/>
    </xf>
    <xf numFmtId="0" fontId="75" fillId="0" borderId="0" xfId="882" applyFont="1" applyAlignment="1">
      <alignment horizontal="left" vertical="center" wrapText="1"/>
    </xf>
    <xf numFmtId="0" fontId="75" fillId="6" borderId="42" xfId="882" applyFont="1" applyFill="1" applyBorder="1" applyAlignment="1">
      <alignment horizontal="left" vertical="center"/>
    </xf>
    <xf numFmtId="0" fontId="73" fillId="0" borderId="0" xfId="882" applyFont="1" applyAlignment="1">
      <alignment wrapText="1"/>
    </xf>
    <xf numFmtId="0" fontId="73" fillId="0" borderId="43" xfId="882" applyFont="1" applyBorder="1" applyAlignment="1">
      <alignment horizontal="left" vertical="center" wrapText="1" shrinkToFit="1"/>
    </xf>
    <xf numFmtId="0" fontId="76" fillId="13" borderId="56" xfId="884" applyFont="1" applyFill="1" applyBorder="1" applyAlignment="1">
      <alignment horizontal="right" vertical="center" wrapText="1"/>
    </xf>
    <xf numFmtId="0" fontId="75" fillId="0" borderId="61" xfId="882" applyFont="1" applyBorder="1" applyAlignment="1">
      <alignment horizontal="left" vertical="center" wrapText="1"/>
    </xf>
    <xf numFmtId="0" fontId="73" fillId="0" borderId="55" xfId="882" applyFont="1" applyBorder="1" applyAlignment="1">
      <alignment horizontal="left" vertical="center" wrapText="1" shrinkToFit="1"/>
    </xf>
    <xf numFmtId="0" fontId="75" fillId="13" borderId="56" xfId="886" applyNumberFormat="1" applyFont="1" applyFill="1" applyBorder="1" applyAlignment="1">
      <alignment horizontal="right" vertical="center" wrapText="1"/>
    </xf>
    <xf numFmtId="176" fontId="0" fillId="13" borderId="1" xfId="585" applyNumberFormat="1" applyFont="1" applyFill="1" applyBorder="1" applyAlignment="1">
      <alignment vertical="center" shrinkToFit="1"/>
    </xf>
    <xf numFmtId="41" fontId="0" fillId="13" borderId="1" xfId="585" applyFont="1" applyFill="1" applyBorder="1" applyAlignment="1">
      <alignment vertical="center" shrinkToFit="1"/>
    </xf>
    <xf numFmtId="41" fontId="0" fillId="10" borderId="1" xfId="585" applyFont="1" applyFill="1" applyBorder="1" applyAlignment="1">
      <alignment vertical="center" shrinkToFit="1"/>
    </xf>
    <xf numFmtId="176" fontId="0" fillId="13" borderId="13" xfId="585" applyNumberFormat="1" applyFont="1" applyFill="1" applyBorder="1" applyAlignment="1">
      <alignment vertical="center" shrinkToFit="1"/>
    </xf>
    <xf numFmtId="41" fontId="0" fillId="13" borderId="13" xfId="585" applyFont="1" applyFill="1" applyBorder="1" applyAlignment="1">
      <alignment vertical="center" shrinkToFit="1"/>
    </xf>
    <xf numFmtId="0" fontId="0" fillId="13" borderId="1" xfId="0" applyFill="1" applyBorder="1" applyAlignment="1">
      <alignment horizontal="center" vertical="center"/>
    </xf>
    <xf numFmtId="0" fontId="81" fillId="0" borderId="0" xfId="0" applyFont="1">
      <alignment vertical="center"/>
    </xf>
    <xf numFmtId="0" fontId="82" fillId="0" borderId="0" xfId="877" applyFont="1" applyAlignment="1">
      <alignment horizontal="center" vertical="center" shrinkToFit="1"/>
    </xf>
    <xf numFmtId="176" fontId="83" fillId="0" borderId="0" xfId="0" applyNumberFormat="1" applyFont="1" applyAlignment="1">
      <alignment vertical="center" shrinkToFit="1"/>
    </xf>
    <xf numFmtId="41" fontId="83" fillId="0" borderId="0" xfId="585" applyFont="1" applyFill="1" applyBorder="1" applyAlignment="1">
      <alignment vertical="center" shrinkToFit="1"/>
    </xf>
    <xf numFmtId="41" fontId="83" fillId="0" borderId="0" xfId="585" applyFont="1" applyBorder="1" applyAlignment="1">
      <alignment vertical="center" shrinkToFit="1"/>
    </xf>
    <xf numFmtId="0" fontId="86" fillId="0" borderId="0" xfId="0" applyFont="1" applyAlignment="1">
      <alignment horizontal="left" vertical="center" wrapText="1"/>
    </xf>
    <xf numFmtId="0" fontId="86" fillId="0" borderId="0" xfId="0" applyFont="1" applyAlignment="1">
      <alignment horizontal="left" vertical="center"/>
    </xf>
    <xf numFmtId="0" fontId="0" fillId="10" borderId="70" xfId="0" applyFill="1" applyBorder="1" applyAlignment="1">
      <alignment horizontal="center" vertical="center"/>
    </xf>
    <xf numFmtId="229" fontId="0" fillId="10" borderId="70" xfId="0" applyNumberFormat="1" applyFill="1" applyBorder="1" applyAlignment="1">
      <alignment vertical="center" shrinkToFit="1"/>
    </xf>
    <xf numFmtId="0" fontId="0" fillId="10" borderId="70" xfId="0" applyFill="1" applyBorder="1" applyAlignment="1">
      <alignment vertical="center" shrinkToFit="1"/>
    </xf>
    <xf numFmtId="0" fontId="70" fillId="17" borderId="1" xfId="0" applyFont="1" applyFill="1" applyBorder="1" applyAlignment="1">
      <alignment horizontal="center" vertical="center"/>
    </xf>
    <xf numFmtId="176" fontId="70" fillId="17" borderId="1" xfId="585" applyNumberFormat="1" applyFont="1" applyFill="1" applyBorder="1" applyAlignment="1">
      <alignment vertical="center" shrinkToFit="1"/>
    </xf>
    <xf numFmtId="41" fontId="70" fillId="17" borderId="1" xfId="585" applyFont="1" applyFill="1" applyBorder="1" applyAlignment="1">
      <alignment vertical="center" shrinkToFit="1"/>
    </xf>
    <xf numFmtId="176" fontId="70" fillId="17" borderId="1" xfId="0" applyNumberFormat="1" applyFont="1" applyFill="1" applyBorder="1" applyAlignment="1">
      <alignment vertical="center" shrinkToFit="1"/>
    </xf>
    <xf numFmtId="176" fontId="6" fillId="7" borderId="71" xfId="0" applyNumberFormat="1" applyFont="1" applyFill="1" applyBorder="1" applyAlignment="1">
      <alignment vertical="center" shrinkToFit="1"/>
    </xf>
    <xf numFmtId="0" fontId="6" fillId="7" borderId="71" xfId="0" applyFont="1" applyFill="1" applyBorder="1" applyAlignment="1">
      <alignment vertical="center" shrinkToFit="1"/>
    </xf>
    <xf numFmtId="0" fontId="6" fillId="7" borderId="71" xfId="0" applyFont="1" applyFill="1" applyBorder="1" applyAlignment="1">
      <alignment horizontal="center" vertical="center"/>
    </xf>
    <xf numFmtId="0" fontId="6" fillId="13" borderId="69" xfId="0" applyFont="1" applyFill="1" applyBorder="1" applyAlignment="1">
      <alignment horizontal="center" vertical="center" wrapText="1"/>
    </xf>
    <xf numFmtId="0" fontId="6" fillId="13" borderId="69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76" fontId="70" fillId="13" borderId="13" xfId="585" applyNumberFormat="1" applyFont="1" applyFill="1" applyBorder="1" applyAlignment="1">
      <alignment vertical="center" shrinkToFit="1"/>
    </xf>
    <xf numFmtId="0" fontId="70" fillId="13" borderId="13" xfId="0" applyFont="1" applyFill="1" applyBorder="1" applyAlignment="1">
      <alignment horizontal="center" vertical="center"/>
    </xf>
    <xf numFmtId="0" fontId="0" fillId="13" borderId="13" xfId="0" applyFill="1" applyBorder="1" applyAlignment="1">
      <alignment vertical="center" shrinkToFit="1"/>
    </xf>
    <xf numFmtId="0" fontId="0" fillId="13" borderId="1" xfId="0" applyFill="1" applyBorder="1" applyAlignment="1">
      <alignment vertical="center" shrinkToFit="1"/>
    </xf>
    <xf numFmtId="0" fontId="0" fillId="14" borderId="1" xfId="575" applyFont="1" applyFill="1" applyBorder="1" applyAlignment="1">
      <alignment vertical="center" shrinkToFit="1"/>
    </xf>
    <xf numFmtId="229" fontId="0" fillId="14" borderId="1" xfId="575" applyNumberFormat="1" applyFont="1" applyFill="1" applyBorder="1" applyAlignment="1">
      <alignment vertical="center" shrinkToFit="1"/>
    </xf>
    <xf numFmtId="0" fontId="0" fillId="14" borderId="1" xfId="0" applyFill="1" applyBorder="1" applyAlignment="1">
      <alignment horizontal="center" vertical="center"/>
    </xf>
    <xf numFmtId="0" fontId="0" fillId="16" borderId="1" xfId="575" applyFont="1" applyFill="1" applyBorder="1" applyAlignment="1">
      <alignment vertical="center" shrinkToFit="1"/>
    </xf>
    <xf numFmtId="229" fontId="0" fillId="16" borderId="1" xfId="575" applyNumberFormat="1" applyFont="1" applyFill="1" applyBorder="1" applyAlignment="1">
      <alignment vertical="center" shrinkToFit="1"/>
    </xf>
    <xf numFmtId="0" fontId="0" fillId="16" borderId="13" xfId="0" applyFill="1" applyBorder="1" applyAlignment="1">
      <alignment horizontal="center" vertical="center"/>
    </xf>
    <xf numFmtId="0" fontId="70" fillId="13" borderId="1" xfId="575" applyFont="1" applyFill="1" applyBorder="1" applyAlignment="1">
      <alignment vertical="center" shrinkToFit="1"/>
    </xf>
    <xf numFmtId="229" fontId="70" fillId="13" borderId="1" xfId="575" applyNumberFormat="1" applyFont="1" applyFill="1" applyBorder="1" applyAlignment="1">
      <alignment vertical="center" shrinkToFit="1"/>
    </xf>
    <xf numFmtId="0" fontId="0" fillId="16" borderId="1" xfId="0" applyFill="1" applyBorder="1" applyAlignment="1">
      <alignment horizontal="center" vertical="center"/>
    </xf>
    <xf numFmtId="0" fontId="0" fillId="14" borderId="1" xfId="855" applyFont="1" applyFill="1" applyBorder="1" applyAlignment="1">
      <alignment vertical="center" shrinkToFit="1"/>
    </xf>
    <xf numFmtId="229" fontId="0" fillId="14" borderId="1" xfId="855" applyNumberFormat="1" applyFont="1" applyFill="1" applyBorder="1" applyAlignment="1">
      <alignment vertical="center" shrinkToFit="1"/>
    </xf>
    <xf numFmtId="0" fontId="0" fillId="16" borderId="1" xfId="575" applyFont="1" applyFill="1" applyBorder="1" applyAlignment="1">
      <alignment horizontal="center" vertical="center"/>
    </xf>
    <xf numFmtId="0" fontId="0" fillId="14" borderId="1" xfId="855" applyFont="1" applyFill="1" applyBorder="1" applyAlignment="1">
      <alignment horizontal="center" vertical="center"/>
    </xf>
    <xf numFmtId="229" fontId="0" fillId="15" borderId="13" xfId="855" applyNumberFormat="1" applyFont="1" applyFill="1" applyBorder="1" applyAlignment="1">
      <alignment vertical="center" shrinkToFit="1"/>
    </xf>
    <xf numFmtId="176" fontId="0" fillId="15" borderId="13" xfId="855" applyNumberFormat="1" applyFont="1" applyFill="1" applyBorder="1" applyAlignment="1">
      <alignment vertical="center" shrinkToFit="1"/>
    </xf>
    <xf numFmtId="0" fontId="0" fillId="15" borderId="13" xfId="0" applyFill="1" applyBorder="1" applyAlignment="1">
      <alignment horizontal="center" vertical="center"/>
    </xf>
    <xf numFmtId="230" fontId="0" fillId="15" borderId="13" xfId="855" applyNumberFormat="1" applyFont="1" applyFill="1" applyBorder="1" applyAlignment="1">
      <alignment vertical="center" shrinkToFit="1"/>
    </xf>
    <xf numFmtId="0" fontId="0" fillId="0" borderId="1" xfId="877" applyFont="1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0" fontId="0" fillId="13" borderId="1" xfId="877" applyFont="1" applyFill="1" applyBorder="1" applyAlignment="1">
      <alignment horizontal="center" vertical="center" shrinkToFit="1"/>
    </xf>
    <xf numFmtId="176" fontId="0" fillId="13" borderId="1" xfId="0" applyNumberFormat="1" applyFill="1" applyBorder="1" applyAlignment="1">
      <alignment vertical="center" shrinkToFit="1"/>
    </xf>
    <xf numFmtId="0" fontId="70" fillId="17" borderId="1" xfId="877" applyFont="1" applyFill="1" applyBorder="1" applyAlignment="1">
      <alignment horizontal="center" vertical="center" shrinkToFit="1"/>
    </xf>
    <xf numFmtId="41" fontId="0" fillId="0" borderId="1" xfId="0" applyNumberFormat="1" applyBorder="1" applyAlignment="1">
      <alignment vertical="center" shrinkToFit="1"/>
    </xf>
    <xf numFmtId="41" fontId="6" fillId="0" borderId="0" xfId="585" applyFont="1" applyBorder="1" applyAlignment="1" applyProtection="1">
      <alignment horizontal="center" vertical="center" shrinkToFit="1"/>
    </xf>
    <xf numFmtId="41" fontId="6" fillId="0" borderId="0" xfId="585" applyFont="1" applyBorder="1" applyAlignment="1">
      <alignment horizontal="right" vertical="center" shrinkToFit="1"/>
    </xf>
    <xf numFmtId="41" fontId="6" fillId="13" borderId="69" xfId="585" applyFont="1" applyFill="1" applyBorder="1" applyAlignment="1">
      <alignment horizontal="center" vertical="center"/>
    </xf>
    <xf numFmtId="41" fontId="6" fillId="7" borderId="71" xfId="585" applyFont="1" applyFill="1" applyBorder="1" applyAlignment="1">
      <alignment vertical="center" shrinkToFit="1"/>
    </xf>
    <xf numFmtId="41" fontId="0" fillId="10" borderId="70" xfId="585" applyFont="1" applyFill="1" applyBorder="1" applyAlignment="1">
      <alignment vertical="center" shrinkToFit="1"/>
    </xf>
    <xf numFmtId="41" fontId="0" fillId="14" borderId="1" xfId="585" applyFont="1" applyFill="1" applyBorder="1" applyAlignment="1">
      <alignment vertical="center" shrinkToFit="1"/>
    </xf>
    <xf numFmtId="41" fontId="0" fillId="16" borderId="1" xfId="585" applyFont="1" applyFill="1" applyBorder="1" applyAlignment="1">
      <alignment vertical="center" shrinkToFit="1"/>
    </xf>
    <xf numFmtId="41" fontId="0" fillId="15" borderId="13" xfId="585" applyFont="1" applyFill="1" applyBorder="1" applyAlignment="1">
      <alignment vertical="center" shrinkToFit="1"/>
    </xf>
    <xf numFmtId="41" fontId="2" fillId="0" borderId="25" xfId="585" applyFont="1" applyBorder="1" applyAlignment="1">
      <alignment vertical="center" shrinkToFit="1"/>
    </xf>
    <xf numFmtId="41" fontId="83" fillId="0" borderId="0" xfId="585" applyFont="1" applyAlignment="1">
      <alignment vertical="center" shrinkToFit="1"/>
    </xf>
    <xf numFmtId="41" fontId="86" fillId="0" borderId="0" xfId="585" applyFont="1" applyAlignment="1">
      <alignment horizontal="left" vertical="center"/>
    </xf>
    <xf numFmtId="0" fontId="0" fillId="0" borderId="31" xfId="877" applyFont="1" applyBorder="1" applyAlignment="1">
      <alignment horizontal="center" vertical="center" shrinkToFit="1"/>
    </xf>
    <xf numFmtId="9" fontId="6" fillId="0" borderId="0" xfId="888" applyFont="1" applyBorder="1" applyAlignment="1">
      <alignment horizontal="right" vertical="center" shrinkToFit="1"/>
    </xf>
    <xf numFmtId="41" fontId="0" fillId="13" borderId="16" xfId="585" applyFont="1" applyFill="1" applyBorder="1" applyAlignment="1">
      <alignment horizontal="center" vertical="center" shrinkToFit="1"/>
    </xf>
    <xf numFmtId="41" fontId="0" fillId="13" borderId="31" xfId="585" applyFont="1" applyFill="1" applyBorder="1" applyAlignment="1">
      <alignment horizontal="center" vertical="center" shrinkToFit="1"/>
    </xf>
    <xf numFmtId="0" fontId="87" fillId="18" borderId="82" xfId="0" applyFont="1" applyFill="1" applyBorder="1" applyAlignment="1">
      <alignment horizontal="center" vertical="center" wrapText="1"/>
    </xf>
    <xf numFmtId="0" fontId="87" fillId="18" borderId="83" xfId="0" applyFont="1" applyFill="1" applyBorder="1" applyAlignment="1">
      <alignment horizontal="center" vertical="center" wrapText="1"/>
    </xf>
    <xf numFmtId="0" fontId="87" fillId="18" borderId="84" xfId="0" applyFont="1" applyFill="1" applyBorder="1" applyAlignment="1">
      <alignment horizontal="center" vertical="center" wrapText="1"/>
    </xf>
    <xf numFmtId="0" fontId="88" fillId="0" borderId="88" xfId="0" applyFont="1" applyBorder="1" applyAlignment="1">
      <alignment horizontal="center" vertical="center" wrapText="1"/>
    </xf>
    <xf numFmtId="0" fontId="88" fillId="0" borderId="92" xfId="0" applyFont="1" applyBorder="1" applyAlignment="1">
      <alignment horizontal="center" vertical="center" wrapText="1"/>
    </xf>
    <xf numFmtId="0" fontId="88" fillId="0" borderId="93" xfId="0" applyFont="1" applyBorder="1" applyAlignment="1">
      <alignment horizontal="center" vertical="center" wrapText="1"/>
    </xf>
    <xf numFmtId="3" fontId="88" fillId="0" borderId="94" xfId="0" applyNumberFormat="1" applyFont="1" applyBorder="1" applyAlignment="1">
      <alignment horizontal="right" vertical="center" wrapText="1"/>
    </xf>
    <xf numFmtId="3" fontId="88" fillId="0" borderId="33" xfId="0" applyNumberFormat="1" applyFont="1" applyBorder="1" applyAlignment="1">
      <alignment horizontal="right" vertical="center" wrapText="1"/>
    </xf>
    <xf numFmtId="3" fontId="88" fillId="0" borderId="95" xfId="0" applyNumberFormat="1" applyFont="1" applyBorder="1" applyAlignment="1">
      <alignment horizontal="right" vertical="center" wrapText="1"/>
    </xf>
    <xf numFmtId="0" fontId="0" fillId="0" borderId="16" xfId="877" applyFont="1" applyBorder="1" applyAlignment="1">
      <alignment vertical="center" shrinkToFit="1"/>
    </xf>
    <xf numFmtId="0" fontId="0" fillId="0" borderId="1" xfId="877" applyFont="1" applyBorder="1" applyAlignment="1">
      <alignment vertical="center" shrinkToFit="1"/>
    </xf>
    <xf numFmtId="0" fontId="0" fillId="13" borderId="1" xfId="877" applyFont="1" applyFill="1" applyBorder="1" applyAlignment="1">
      <alignment vertical="center" shrinkToFit="1"/>
    </xf>
    <xf numFmtId="0" fontId="6" fillId="13" borderId="74" xfId="0" applyFont="1" applyFill="1" applyBorder="1">
      <alignment vertical="center"/>
    </xf>
    <xf numFmtId="0" fontId="6" fillId="13" borderId="72" xfId="0" applyFont="1" applyFill="1" applyBorder="1">
      <alignment vertical="center"/>
    </xf>
    <xf numFmtId="0" fontId="0" fillId="13" borderId="13" xfId="0" applyFill="1" applyBorder="1" applyAlignment="1">
      <alignment horizontal="center" vertical="center" shrinkToFit="1"/>
    </xf>
    <xf numFmtId="0" fontId="0" fillId="13" borderId="1" xfId="0" applyFill="1" applyBorder="1" applyAlignment="1">
      <alignment horizontal="center" vertical="center" shrinkToFit="1"/>
    </xf>
    <xf numFmtId="0" fontId="0" fillId="14" borderId="1" xfId="575" applyFont="1" applyFill="1" applyBorder="1" applyAlignment="1">
      <alignment horizontal="center" vertical="center" shrinkToFit="1"/>
    </xf>
    <xf numFmtId="0" fontId="70" fillId="13" borderId="1" xfId="575" applyFont="1" applyFill="1" applyBorder="1" applyAlignment="1">
      <alignment horizontal="center" vertical="center" shrinkToFit="1"/>
    </xf>
    <xf numFmtId="0" fontId="0" fillId="14" borderId="1" xfId="855" applyFont="1" applyFill="1" applyBorder="1" applyAlignment="1">
      <alignment horizontal="center" vertical="center" shrinkToFit="1"/>
    </xf>
    <xf numFmtId="0" fontId="86" fillId="0" borderId="0" xfId="0" applyFont="1" applyAlignment="1">
      <alignment horizontal="center" vertical="center"/>
    </xf>
    <xf numFmtId="0" fontId="0" fillId="14" borderId="1" xfId="0" applyFill="1" applyBorder="1" applyAlignment="1">
      <alignment vertical="center" shrinkToFit="1"/>
    </xf>
    <xf numFmtId="0" fontId="0" fillId="14" borderId="1" xfId="0" applyFill="1" applyBorder="1" applyAlignment="1">
      <alignment horizontal="center" vertical="center" shrinkToFit="1"/>
    </xf>
    <xf numFmtId="176" fontId="0" fillId="14" borderId="1" xfId="585" applyNumberFormat="1" applyFont="1" applyFill="1" applyBorder="1" applyAlignment="1">
      <alignment vertical="center" shrinkToFit="1"/>
    </xf>
    <xf numFmtId="0" fontId="0" fillId="14" borderId="1" xfId="877" applyFont="1" applyFill="1" applyBorder="1" applyAlignment="1">
      <alignment horizontal="center" vertical="center" shrinkToFit="1"/>
    </xf>
    <xf numFmtId="176" fontId="0" fillId="14" borderId="1" xfId="0" applyNumberFormat="1" applyFill="1" applyBorder="1" applyAlignment="1">
      <alignment vertical="center" shrinkToFit="1"/>
    </xf>
    <xf numFmtId="0" fontId="0" fillId="12" borderId="1" xfId="0" applyFill="1" applyBorder="1" applyAlignment="1">
      <alignment vertical="center" shrinkToFit="1"/>
    </xf>
    <xf numFmtId="176" fontId="0" fillId="12" borderId="1" xfId="585" applyNumberFormat="1" applyFont="1" applyFill="1" applyBorder="1" applyAlignment="1">
      <alignment vertical="center" shrinkToFit="1"/>
    </xf>
    <xf numFmtId="176" fontId="0" fillId="12" borderId="13" xfId="585" applyNumberFormat="1" applyFont="1" applyFill="1" applyBorder="1" applyAlignment="1">
      <alignment vertical="center" shrinkToFit="1"/>
    </xf>
    <xf numFmtId="0" fontId="0" fillId="12" borderId="1" xfId="0" applyFill="1" applyBorder="1" applyAlignment="1">
      <alignment horizontal="center" vertical="center"/>
    </xf>
    <xf numFmtId="41" fontId="69" fillId="12" borderId="1" xfId="585" applyFont="1" applyFill="1" applyBorder="1" applyAlignment="1">
      <alignment vertical="center" shrinkToFit="1"/>
    </xf>
    <xf numFmtId="41" fontId="0" fillId="12" borderId="1" xfId="585" applyFont="1" applyFill="1" applyBorder="1" applyAlignment="1">
      <alignment vertical="center" shrinkToFit="1"/>
    </xf>
    <xf numFmtId="0" fontId="0" fillId="0" borderId="1" xfId="877" applyFont="1" applyBorder="1" applyAlignment="1">
      <alignment horizontal="center" vertical="center" shrinkToFit="1"/>
    </xf>
    <xf numFmtId="0" fontId="0" fillId="0" borderId="1" xfId="877" applyFont="1" applyBorder="1" applyAlignment="1">
      <alignment horizontal="center" vertical="center" shrinkToFit="1"/>
    </xf>
    <xf numFmtId="41" fontId="0" fillId="0" borderId="16" xfId="585" applyFont="1" applyBorder="1" applyAlignment="1">
      <alignment horizontal="center" vertical="center" shrinkToFit="1"/>
    </xf>
    <xf numFmtId="41" fontId="0" fillId="0" borderId="31" xfId="585" applyFont="1" applyBorder="1" applyAlignment="1">
      <alignment horizontal="center" vertical="center" shrinkToFit="1"/>
    </xf>
    <xf numFmtId="0" fontId="0" fillId="0" borderId="16" xfId="877" applyFont="1" applyBorder="1" applyAlignment="1">
      <alignment horizontal="center" vertical="center" shrinkToFit="1"/>
    </xf>
    <xf numFmtId="0" fontId="0" fillId="0" borderId="31" xfId="877" applyFont="1" applyBorder="1" applyAlignment="1">
      <alignment horizontal="center" vertical="center" shrinkToFit="1"/>
    </xf>
    <xf numFmtId="41" fontId="62" fillId="0" borderId="16" xfId="585" applyFont="1" applyBorder="1" applyAlignment="1">
      <alignment horizontal="center" vertical="center" shrinkToFit="1"/>
    </xf>
    <xf numFmtId="41" fontId="62" fillId="0" borderId="31" xfId="585" applyFont="1" applyBorder="1" applyAlignment="1">
      <alignment horizontal="center" vertical="center" shrinkToFit="1"/>
    </xf>
    <xf numFmtId="41" fontId="70" fillId="17" borderId="16" xfId="585" applyFont="1" applyFill="1" applyBorder="1" applyAlignment="1">
      <alignment horizontal="center" vertical="center" shrinkToFit="1"/>
    </xf>
    <xf numFmtId="41" fontId="70" fillId="17" borderId="31" xfId="585" applyFont="1" applyFill="1" applyBorder="1" applyAlignment="1">
      <alignment horizontal="center" vertical="center" shrinkToFit="1"/>
    </xf>
    <xf numFmtId="41" fontId="0" fillId="0" borderId="16" xfId="585" applyFont="1" applyBorder="1" applyAlignment="1">
      <alignment horizontal="center" vertical="center"/>
    </xf>
    <xf numFmtId="41" fontId="0" fillId="0" borderId="6" xfId="585" applyFont="1" applyBorder="1" applyAlignment="1">
      <alignment horizontal="center" vertical="center"/>
    </xf>
    <xf numFmtId="41" fontId="0" fillId="13" borderId="16" xfId="585" applyFont="1" applyFill="1" applyBorder="1" applyAlignment="1">
      <alignment horizontal="center" vertical="center" shrinkToFit="1"/>
    </xf>
    <xf numFmtId="41" fontId="0" fillId="13" borderId="31" xfId="585" applyFont="1" applyFill="1" applyBorder="1" applyAlignment="1">
      <alignment horizontal="center" vertical="center" shrinkToFit="1"/>
    </xf>
    <xf numFmtId="41" fontId="0" fillId="15" borderId="16" xfId="585" applyFont="1" applyFill="1" applyBorder="1" applyAlignment="1">
      <alignment horizontal="center" vertical="center" shrinkToFit="1"/>
    </xf>
    <xf numFmtId="41" fontId="0" fillId="15" borderId="31" xfId="585" applyFont="1" applyFill="1" applyBorder="1" applyAlignment="1">
      <alignment horizontal="center" vertical="center" shrinkToFit="1"/>
    </xf>
    <xf numFmtId="41" fontId="0" fillId="0" borderId="16" xfId="585" applyFont="1" applyFill="1" applyBorder="1" applyAlignment="1">
      <alignment horizontal="center" vertical="center" wrapText="1" shrinkToFit="1"/>
    </xf>
    <xf numFmtId="41" fontId="0" fillId="0" borderId="31" xfId="585" applyFont="1" applyFill="1" applyBorder="1" applyAlignment="1">
      <alignment horizontal="center" vertical="center" wrapText="1" shrinkToFit="1"/>
    </xf>
    <xf numFmtId="41" fontId="0" fillId="14" borderId="16" xfId="585" applyFont="1" applyFill="1" applyBorder="1" applyAlignment="1">
      <alignment horizontal="center" vertical="center" shrinkToFit="1"/>
    </xf>
    <xf numFmtId="41" fontId="0" fillId="14" borderId="31" xfId="585" applyFont="1" applyFill="1" applyBorder="1" applyAlignment="1">
      <alignment horizontal="center" vertical="center" shrinkToFit="1"/>
    </xf>
    <xf numFmtId="229" fontId="0" fillId="15" borderId="16" xfId="855" applyNumberFormat="1" applyFont="1" applyFill="1" applyBorder="1" applyAlignment="1">
      <alignment horizontal="center" vertical="center" shrinkToFit="1"/>
    </xf>
    <xf numFmtId="229" fontId="0" fillId="15" borderId="31" xfId="855" applyNumberFormat="1" applyFont="1" applyFill="1" applyBorder="1" applyAlignment="1">
      <alignment horizontal="center" vertical="center" shrinkToFit="1"/>
    </xf>
    <xf numFmtId="41" fontId="0" fillId="16" borderId="16" xfId="585" applyFont="1" applyFill="1" applyBorder="1" applyAlignment="1">
      <alignment horizontal="center" vertical="center" shrinkToFit="1"/>
    </xf>
    <xf numFmtId="41" fontId="0" fillId="16" borderId="31" xfId="585" applyFont="1" applyFill="1" applyBorder="1" applyAlignment="1">
      <alignment horizontal="center" vertical="center" shrinkToFit="1"/>
    </xf>
    <xf numFmtId="0" fontId="70" fillId="17" borderId="1" xfId="877" applyFont="1" applyFill="1" applyBorder="1" applyAlignment="1">
      <alignment horizontal="left" vertical="center" shrinkToFit="1"/>
    </xf>
    <xf numFmtId="0" fontId="70" fillId="17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" fillId="7" borderId="71" xfId="0" applyFont="1" applyFill="1" applyBorder="1" applyAlignment="1">
      <alignment horizontal="center" vertical="center"/>
    </xf>
    <xf numFmtId="0" fontId="0" fillId="13" borderId="1" xfId="877" applyFont="1" applyFill="1" applyBorder="1" applyAlignment="1">
      <alignment horizontal="center" vertical="center" shrinkToFit="1"/>
    </xf>
    <xf numFmtId="41" fontId="0" fillId="10" borderId="77" xfId="585" applyFont="1" applyFill="1" applyBorder="1" applyAlignment="1">
      <alignment horizontal="center" vertical="center" shrinkToFit="1"/>
    </xf>
    <xf numFmtId="41" fontId="0" fillId="10" borderId="78" xfId="585" applyFont="1" applyFill="1" applyBorder="1" applyAlignment="1">
      <alignment horizontal="center" vertical="center" shrinkToFit="1"/>
    </xf>
    <xf numFmtId="41" fontId="0" fillId="10" borderId="16" xfId="585" applyFont="1" applyFill="1" applyBorder="1" applyAlignment="1">
      <alignment horizontal="center" vertical="center" shrinkToFit="1"/>
    </xf>
    <xf numFmtId="41" fontId="0" fillId="10" borderId="31" xfId="585" applyFont="1" applyFill="1" applyBorder="1" applyAlignment="1">
      <alignment horizontal="center" vertical="center" shrinkToFit="1"/>
    </xf>
    <xf numFmtId="41" fontId="2" fillId="10" borderId="16" xfId="585" applyFont="1" applyFill="1" applyBorder="1" applyAlignment="1">
      <alignment horizontal="center" vertical="center" shrinkToFit="1"/>
    </xf>
    <xf numFmtId="41" fontId="2" fillId="10" borderId="31" xfId="585" applyFont="1" applyFill="1" applyBorder="1" applyAlignment="1">
      <alignment horizontal="center" vertical="center" shrinkToFit="1"/>
    </xf>
    <xf numFmtId="0" fontId="6" fillId="13" borderId="74" xfId="0" applyFont="1" applyFill="1" applyBorder="1" applyAlignment="1">
      <alignment horizontal="center" vertical="center"/>
    </xf>
    <xf numFmtId="0" fontId="6" fillId="13" borderId="75" xfId="0" applyFont="1" applyFill="1" applyBorder="1" applyAlignment="1">
      <alignment horizontal="center" vertical="center"/>
    </xf>
    <xf numFmtId="0" fontId="6" fillId="13" borderId="72" xfId="0" applyFont="1" applyFill="1" applyBorder="1" applyAlignment="1">
      <alignment horizontal="center" vertical="center"/>
    </xf>
    <xf numFmtId="0" fontId="6" fillId="13" borderId="73" xfId="0" applyFont="1" applyFill="1" applyBorder="1" applyAlignment="1">
      <alignment horizontal="center" vertical="center"/>
    </xf>
    <xf numFmtId="0" fontId="6" fillId="13" borderId="70" xfId="0" applyFont="1" applyFill="1" applyBorder="1" applyAlignment="1">
      <alignment horizontal="center" vertical="center" wrapText="1"/>
    </xf>
    <xf numFmtId="0" fontId="6" fillId="13" borderId="79" xfId="0" applyFont="1" applyFill="1" applyBorder="1" applyAlignment="1">
      <alignment horizontal="center" vertical="center"/>
    </xf>
    <xf numFmtId="9" fontId="6" fillId="13" borderId="74" xfId="0" applyNumberFormat="1" applyFont="1" applyFill="1" applyBorder="1" applyAlignment="1">
      <alignment horizontal="center" vertical="center"/>
    </xf>
    <xf numFmtId="9" fontId="6" fillId="13" borderId="75" xfId="0" applyNumberFormat="1" applyFont="1" applyFill="1" applyBorder="1" applyAlignment="1">
      <alignment horizontal="center" vertical="center"/>
    </xf>
    <xf numFmtId="9" fontId="6" fillId="13" borderId="72" xfId="0" applyNumberFormat="1" applyFont="1" applyFill="1" applyBorder="1" applyAlignment="1">
      <alignment horizontal="center" vertical="center"/>
    </xf>
    <xf numFmtId="9" fontId="6" fillId="13" borderId="73" xfId="0" applyNumberFormat="1" applyFont="1" applyFill="1" applyBorder="1" applyAlignment="1">
      <alignment horizontal="center" vertical="center"/>
    </xf>
    <xf numFmtId="41" fontId="6" fillId="7" borderId="80" xfId="585" applyFont="1" applyFill="1" applyBorder="1" applyAlignment="1">
      <alignment horizontal="center" vertical="center" shrinkToFit="1"/>
    </xf>
    <xf numFmtId="41" fontId="6" fillId="7" borderId="81" xfId="585" applyFont="1" applyFill="1" applyBorder="1" applyAlignment="1">
      <alignment horizontal="center" vertical="center" shrinkToFit="1"/>
    </xf>
    <xf numFmtId="0" fontId="0" fillId="10" borderId="70" xfId="0" applyFill="1" applyBorder="1" applyAlignment="1">
      <alignment horizontal="center" vertical="center"/>
    </xf>
    <xf numFmtId="0" fontId="85" fillId="0" borderId="0" xfId="0" applyFont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0" fillId="0" borderId="14" xfId="877" applyFont="1" applyBorder="1" applyAlignment="1">
      <alignment horizontal="center" vertical="center" shrinkToFit="1"/>
    </xf>
    <xf numFmtId="0" fontId="0" fillId="0" borderId="23" xfId="877" applyFont="1" applyBorder="1" applyAlignment="1">
      <alignment horizontal="center" vertical="center" shrinkToFit="1"/>
    </xf>
    <xf numFmtId="0" fontId="0" fillId="0" borderId="13" xfId="877" applyFont="1" applyBorder="1" applyAlignment="1">
      <alignment horizontal="center" vertical="center" shrinkToFit="1"/>
    </xf>
    <xf numFmtId="41" fontId="62" fillId="0" borderId="96" xfId="585" applyFont="1" applyBorder="1" applyAlignment="1">
      <alignment horizontal="center" vertical="center" shrinkToFit="1"/>
    </xf>
    <xf numFmtId="41" fontId="62" fillId="0" borderId="97" xfId="585" applyFont="1" applyBorder="1" applyAlignment="1">
      <alignment horizontal="center" vertical="center" shrinkToFit="1"/>
    </xf>
    <xf numFmtId="41" fontId="62" fillId="0" borderId="17" xfId="585" applyFont="1" applyBorder="1" applyAlignment="1">
      <alignment horizontal="center" vertical="center" shrinkToFit="1"/>
    </xf>
    <xf numFmtId="41" fontId="62" fillId="0" borderId="9" xfId="585" applyFont="1" applyBorder="1" applyAlignment="1">
      <alignment horizontal="center" vertical="center" shrinkToFit="1"/>
    </xf>
    <xf numFmtId="41" fontId="62" fillId="0" borderId="98" xfId="585" applyFont="1" applyBorder="1" applyAlignment="1">
      <alignment horizontal="center" vertical="center" shrinkToFit="1"/>
    </xf>
    <xf numFmtId="41" fontId="62" fillId="0" borderId="11" xfId="585" applyFont="1" applyBorder="1" applyAlignment="1">
      <alignment horizontal="center" vertical="center" shrinkToFit="1"/>
    </xf>
    <xf numFmtId="41" fontId="0" fillId="12" borderId="16" xfId="585" applyFont="1" applyFill="1" applyBorder="1" applyAlignment="1">
      <alignment horizontal="center" vertical="center" shrinkToFit="1"/>
    </xf>
    <xf numFmtId="41" fontId="0" fillId="12" borderId="31" xfId="585" applyFont="1" applyFill="1" applyBorder="1" applyAlignment="1">
      <alignment horizontal="center" vertical="center" shrinkToFit="1"/>
    </xf>
    <xf numFmtId="0" fontId="0" fillId="14" borderId="1" xfId="877" applyFont="1" applyFill="1" applyBorder="1" applyAlignment="1">
      <alignment horizontal="center" vertical="center" shrinkToFit="1"/>
    </xf>
    <xf numFmtId="41" fontId="0" fillId="14" borderId="1" xfId="585" applyFont="1" applyFill="1" applyBorder="1" applyAlignment="1">
      <alignment horizontal="center" vertical="center" shrinkToFit="1"/>
    </xf>
    <xf numFmtId="41" fontId="0" fillId="13" borderId="1" xfId="585" applyFont="1" applyFill="1" applyBorder="1" applyAlignment="1">
      <alignment horizontal="center" vertical="center" shrinkToFit="1"/>
    </xf>
    <xf numFmtId="0" fontId="6" fillId="13" borderId="76" xfId="0" applyFont="1" applyFill="1" applyBorder="1" applyAlignment="1">
      <alignment horizontal="center" vertical="center"/>
    </xf>
    <xf numFmtId="0" fontId="6" fillId="13" borderId="71" xfId="0" applyFont="1" applyFill="1" applyBorder="1" applyAlignment="1">
      <alignment horizontal="center" vertical="center"/>
    </xf>
    <xf numFmtId="0" fontId="75" fillId="12" borderId="39" xfId="882" applyFont="1" applyFill="1" applyBorder="1" applyAlignment="1">
      <alignment horizontal="left" vertical="center" wrapText="1"/>
    </xf>
    <xf numFmtId="0" fontId="75" fillId="12" borderId="40" xfId="882" applyFont="1" applyFill="1" applyBorder="1" applyAlignment="1">
      <alignment horizontal="left" vertical="center" wrapText="1"/>
    </xf>
    <xf numFmtId="0" fontId="75" fillId="12" borderId="41" xfId="882" applyFont="1" applyFill="1" applyBorder="1" applyAlignment="1">
      <alignment horizontal="left" vertical="center" wrapText="1"/>
    </xf>
    <xf numFmtId="0" fontId="75" fillId="0" borderId="62" xfId="882" applyFont="1" applyBorder="1" applyAlignment="1">
      <alignment horizontal="left" vertical="center" wrapText="1"/>
    </xf>
    <xf numFmtId="0" fontId="75" fillId="0" borderId="63" xfId="882" applyFont="1" applyBorder="1" applyAlignment="1">
      <alignment horizontal="left" vertical="center" wrapText="1"/>
    </xf>
    <xf numFmtId="0" fontId="75" fillId="0" borderId="64" xfId="882" applyFont="1" applyBorder="1" applyAlignment="1">
      <alignment horizontal="left" vertical="center" wrapText="1"/>
    </xf>
    <xf numFmtId="0" fontId="75" fillId="0" borderId="65" xfId="882" applyFont="1" applyBorder="1" applyAlignment="1">
      <alignment horizontal="left" vertical="center" wrapText="1"/>
    </xf>
    <xf numFmtId="0" fontId="75" fillId="0" borderId="0" xfId="882" applyFont="1" applyAlignment="1">
      <alignment horizontal="left" vertical="center" wrapText="1"/>
    </xf>
    <xf numFmtId="0" fontId="75" fillId="0" borderId="66" xfId="882" applyFont="1" applyBorder="1" applyAlignment="1">
      <alignment horizontal="left" vertical="center" wrapText="1"/>
    </xf>
    <xf numFmtId="0" fontId="75" fillId="0" borderId="67" xfId="882" applyFont="1" applyBorder="1" applyAlignment="1">
      <alignment horizontal="left" vertical="center" wrapText="1"/>
    </xf>
    <xf numFmtId="0" fontId="75" fillId="0" borderId="7" xfId="882" applyFont="1" applyBorder="1" applyAlignment="1">
      <alignment horizontal="left" vertical="center" wrapText="1"/>
    </xf>
    <xf numFmtId="0" fontId="75" fillId="0" borderId="68" xfId="882" applyFont="1" applyBorder="1" applyAlignment="1">
      <alignment horizontal="left" vertical="center" wrapText="1"/>
    </xf>
    <xf numFmtId="0" fontId="75" fillId="0" borderId="42" xfId="882" applyFont="1" applyBorder="1" applyAlignment="1">
      <alignment horizontal="left" vertical="center" wrapText="1"/>
    </xf>
    <xf numFmtId="0" fontId="75" fillId="0" borderId="54" xfId="882" applyFont="1" applyBorder="1" applyAlignment="1">
      <alignment horizontal="left" vertical="center" wrapText="1"/>
    </xf>
    <xf numFmtId="0" fontId="72" fillId="0" borderId="0" xfId="882" applyFont="1" applyAlignment="1">
      <alignment horizontal="center" vertical="center"/>
    </xf>
    <xf numFmtId="0" fontId="73" fillId="0" borderId="7" xfId="882" applyFont="1" applyBorder="1" applyAlignment="1">
      <alignment horizontal="right" vertical="center"/>
    </xf>
    <xf numFmtId="0" fontId="75" fillId="12" borderId="39" xfId="882" applyFont="1" applyFill="1" applyBorder="1" applyAlignment="1">
      <alignment horizontal="left" vertical="center"/>
    </xf>
    <xf numFmtId="0" fontId="75" fillId="12" borderId="40" xfId="882" applyFont="1" applyFill="1" applyBorder="1" applyAlignment="1">
      <alignment horizontal="left" vertical="center"/>
    </xf>
    <xf numFmtId="0" fontId="75" fillId="12" borderId="41" xfId="882" applyFont="1" applyFill="1" applyBorder="1" applyAlignment="1">
      <alignment horizontal="left" vertical="center"/>
    </xf>
    <xf numFmtId="0" fontId="88" fillId="0" borderId="85" xfId="0" applyFont="1" applyBorder="1" applyAlignment="1">
      <alignment horizontal="center" vertical="center" wrapText="1"/>
    </xf>
    <xf numFmtId="0" fontId="88" fillId="0" borderId="86" xfId="0" applyFont="1" applyBorder="1" applyAlignment="1">
      <alignment horizontal="center" vertical="center" wrapText="1"/>
    </xf>
    <xf numFmtId="0" fontId="88" fillId="0" borderId="87" xfId="0" applyFont="1" applyBorder="1" applyAlignment="1">
      <alignment horizontal="center" vertical="center" wrapText="1"/>
    </xf>
    <xf numFmtId="0" fontId="88" fillId="0" borderId="89" xfId="0" applyFont="1" applyBorder="1" applyAlignment="1">
      <alignment horizontal="center" vertical="center" wrapText="1"/>
    </xf>
    <xf numFmtId="0" fontId="88" fillId="0" borderId="90" xfId="0" applyFont="1" applyBorder="1" applyAlignment="1">
      <alignment horizontal="center" vertical="center" wrapText="1"/>
    </xf>
    <xf numFmtId="0" fontId="88" fillId="0" borderId="91" xfId="0" applyFont="1" applyBorder="1" applyAlignment="1">
      <alignment horizontal="center" vertical="center" wrapText="1"/>
    </xf>
    <xf numFmtId="0" fontId="64" fillId="12" borderId="1" xfId="889" applyFont="1" applyFill="1" applyBorder="1" applyAlignment="1">
      <alignment horizontal="center" vertical="center" shrinkToFit="1"/>
    </xf>
  </cellXfs>
  <cellStyles count="892">
    <cellStyle name=" " xfId="1"/>
    <cellStyle name=" _97연말" xfId="2"/>
    <cellStyle name=" _97연말1" xfId="3"/>
    <cellStyle name=" _Book1" xfId="4"/>
    <cellStyle name="#,##0" xfId="5"/>
    <cellStyle name="(△콤마)" xfId="6"/>
    <cellStyle name="(백분율)" xfId="7"/>
    <cellStyle name="(콤마)" xfId="8"/>
    <cellStyle name="??&amp;O?&amp;H?_x0008__x000f__x0007_?_x0007__x0001__x0001_" xfId="9"/>
    <cellStyle name="??&amp;O?&amp;H?_x0008_??_x0007__x0001__x0001_" xfId="10"/>
    <cellStyle name="?W?_laroux" xfId="11"/>
    <cellStyle name="?曹%U?&amp;H?_x0008_?s_x000a__x0007__x0001__x0001_" xfId="12"/>
    <cellStyle name="_02.생도식당R02" xfId="13"/>
    <cellStyle name="_HVAC공내역(삼강천안)제출" xfId="14"/>
    <cellStyle name="_RESULTS" xfId="15"/>
    <cellStyle name="_건축" xfId="16"/>
    <cellStyle name="_계장(SK)" xfId="17"/>
    <cellStyle name="_기계약대비" xfId="18"/>
    <cellStyle name="_김포대학국제관견적(030121)" xfId="19"/>
    <cellStyle name="_단가표" xfId="20"/>
    <cellStyle name="_단재관_용량계산서R01" xfId="21"/>
    <cellStyle name="_대구백화점제출견적(2001년5월22일)" xfId="22"/>
    <cellStyle name="_대호전기" xfId="23"/>
    <cellStyle name="_동래점" xfId="24"/>
    <cellStyle name="_롯데 마그넷 목포점 전기공사" xfId="25"/>
    <cellStyle name="_롯데마트장유점공조위생배관공사" xfId="26"/>
    <cellStyle name="_롯데쇼핑(주) 롯데 마그넷 영등포점 신축공사" xfId="27"/>
    <cellStyle name="_롯데쇼핑(주)소공동호텔분전반제작납품공사" xfId="28"/>
    <cellStyle name="_마그넷 마산점" xfId="29"/>
    <cellStyle name="_마그넷 마산-총괄" xfId="30"/>
    <cellStyle name="_마그넷 영등포점" xfId="31"/>
    <cellStyle name="_망미동 the아파트" xfId="32"/>
    <cellStyle name="_본점(최종)" xfId="33"/>
    <cellStyle name="_부산 낙민동(1공구)최종" xfId="34"/>
    <cellStyle name="_부용전기" xfId="35"/>
    <cellStyle name="_부평점정산내역" xfId="36"/>
    <cellStyle name="_분전반~1" xfId="37"/>
    <cellStyle name="_사전원가심의1" xfId="38"/>
    <cellStyle name="_사전원가심의1_03.파크뷰도급실행내역 02.02.15" xfId="39"/>
    <cellStyle name="_사전원가심의1_03.파크뷰도급실행내역 02.02.15_03.파크뷰도급실행내역 02.04.02" xfId="40"/>
    <cellStyle name="_사전원가심의1_03.파크뷰도급실행내역 02.04.02" xfId="41"/>
    <cellStyle name="_사전원가심의1_03.파크뷰도급실행내역 02.04.02_03.파크뷰도급실행내역 02.04.02" xfId="42"/>
    <cellStyle name="_사전원가심의1_11분당파크뷰(도급-실행-02.15)" xfId="43"/>
    <cellStyle name="_사전원가심의1_11분당파크뷰(도급-실행-02.15)_03.파크뷰도급실행내역 02.04.02" xfId="44"/>
    <cellStyle name="_사전원가심의1_파크뷰위생" xfId="45"/>
    <cellStyle name="_사전원가심의1_파크뷰위생_03.파크뷰도급실행내역 02.04.02" xfId="46"/>
    <cellStyle name="_설비보육시설(견적)" xfId="47"/>
    <cellStyle name="_세기기전" xfId="48"/>
    <cellStyle name="_신안전기" xfId="49"/>
    <cellStyle name="_약전설비년간단가" xfId="50"/>
    <cellStyle name="_영등포점 영화관" xfId="51"/>
    <cellStyle name="_영등포점약전내역(자재부제출)" xfId="52"/>
    <cellStyle name="_울산롯데호텔소방전기견적서" xfId="53"/>
    <cellStyle name="_울산점 영화관" xfId="54"/>
    <cellStyle name="_울산점소방전기공사(발주)" xfId="55"/>
    <cellStyle name="_유성점단가계약(N0)" xfId="56"/>
    <cellStyle name="_의정부 정산내역서" xfId="57"/>
    <cellStyle name="_익산점내역" xfId="58"/>
    <cellStyle name="_인원계획표 " xfId="59"/>
    <cellStyle name="_인원계획표 _1공구기계소화견적서-김앤드이" xfId="60"/>
    <cellStyle name="_인원계획표 _HVAC공내역(삼강천안)제출" xfId="61"/>
    <cellStyle name="_인원계획표 _LG유통하남점신축공사" xfId="62"/>
    <cellStyle name="_인원계획표 _롯데마그넷(오산점)" xfId="63"/>
    <cellStyle name="_인원계획표 _롯데마그넷(오산점)_통영점공조및위생" xfId="64"/>
    <cellStyle name="_인원계획표 _마그넷오산점내역(020320)" xfId="65"/>
    <cellStyle name="_인원계획표 _마그넷오산점내역(020320)_통영점공조및위생" xfId="66"/>
    <cellStyle name="_인원계획표 _월곳집행(본사)" xfId="67"/>
    <cellStyle name="_인원계획표 _월곳집행(본사)_공내역서(소방)" xfId="68"/>
    <cellStyle name="_인원계획표 _월곳집행(본사)_공내역서(소방)_롯데마그넷(오산점)" xfId="69"/>
    <cellStyle name="_인원계획표 _월곳집행(본사)_공내역서(소방)_롯데마그넷(오산점)_통영점공조및위생" xfId="70"/>
    <cellStyle name="_인원계획표 _월곳집행(본사)_공내역서(소방)_마그넷오산점내역(020320)" xfId="71"/>
    <cellStyle name="_인원계획표 _월곳집행(본사)_공내역서(소방)_마그넷오산점내역(020320)_통영점공조및위생" xfId="72"/>
    <cellStyle name="_인원계획표 _월곳집행(본사)_공내역서(소방)_정-의왕가스경보설비공사(기안)" xfId="73"/>
    <cellStyle name="_인원계획표 _월곳집행(본사)_공내역서(소방)_정-의왕가스경보설비공사(기안)_통영점공조및위생" xfId="74"/>
    <cellStyle name="_인원계획표 _월곳집행(본사)_공내역서(소방)_통영점공조및위생" xfId="75"/>
    <cellStyle name="_인원계획표 _월곳집행(본사)_공내역서(소방final)" xfId="76"/>
    <cellStyle name="_인원계획표 _월곳집행(본사)_공내역서(소방final)_롯데마그넷(오산점)" xfId="77"/>
    <cellStyle name="_인원계획표 _월곳집행(본사)_공내역서(소방final)_롯데마그넷(오산점)_통영점공조및위생" xfId="78"/>
    <cellStyle name="_인원계획표 _월곳집행(본사)_공내역서(소방final)_마그넷오산점내역(020320)" xfId="79"/>
    <cellStyle name="_인원계획표 _월곳집행(본사)_공내역서(소방final)_마그넷오산점내역(020320)_통영점공조및위생" xfId="80"/>
    <cellStyle name="_인원계획표 _월곳집행(본사)_공내역서(소방final)_정-의왕가스경보설비공사(기안)" xfId="81"/>
    <cellStyle name="_인원계획표 _월곳집행(본사)_공내역서(소방final)_정-의왕가스경보설비공사(기안)_통영점공조및위생" xfId="82"/>
    <cellStyle name="_인원계획표 _월곳집행(본사)_공내역서(소방final)_통영점공조및위생" xfId="83"/>
    <cellStyle name="_인원계획표 _월곳집행(본사)_롯데마그넷(오산점)" xfId="84"/>
    <cellStyle name="_인원계획표 _월곳집행(본사)_롯데마그넷(오산점)_통영점공조및위생" xfId="85"/>
    <cellStyle name="_인원계획표 _월곳집행(본사)_마그넷오산점내역(020320)" xfId="86"/>
    <cellStyle name="_인원계획표 _월곳집행(본사)_마그넷오산점내역(020320)_통영점공조및위생" xfId="87"/>
    <cellStyle name="_인원계획표 _월곳집행(본사)_정-의왕가스경보설비공사(기안)" xfId="88"/>
    <cellStyle name="_인원계획표 _월곳집행(본사)_정-의왕가스경보설비공사(기안)_통영점공조및위생" xfId="89"/>
    <cellStyle name="_인원계획표 _월곳집행(본사)_통영점공조및위생" xfId="90"/>
    <cellStyle name="_인원계획표 _적격 " xfId="91"/>
    <cellStyle name="_인원계획표 _적격 _1공구기계소화견적서-김앤드이" xfId="92"/>
    <cellStyle name="_인원계획표 _적격 _HVAC공내역(삼강천안)제출" xfId="93"/>
    <cellStyle name="_인원계획표 _적격 _LG유통하남점신축공사" xfId="94"/>
    <cellStyle name="_인원계획표 _적격 _롯데마그넷(오산점)" xfId="95"/>
    <cellStyle name="_인원계획표 _적격 _롯데마그넷(오산점)_통영점공조및위생" xfId="96"/>
    <cellStyle name="_인원계획표 _적격 _마그넷오산점내역(020320)" xfId="97"/>
    <cellStyle name="_인원계획표 _적격 _마그넷오산점내역(020320)_통영점공조및위생" xfId="98"/>
    <cellStyle name="_인원계획표 _적격 _월곳집행(본사)" xfId="99"/>
    <cellStyle name="_인원계획표 _적격 _월곳집행(본사)_공내역서(소방)" xfId="100"/>
    <cellStyle name="_인원계획표 _적격 _월곳집행(본사)_공내역서(소방)_롯데마그넷(오산점)" xfId="101"/>
    <cellStyle name="_인원계획표 _적격 _월곳집행(본사)_공내역서(소방)_롯데마그넷(오산점)_통영점공조및위생" xfId="102"/>
    <cellStyle name="_인원계획표 _적격 _월곳집행(본사)_공내역서(소방)_마그넷오산점내역(020320)" xfId="103"/>
    <cellStyle name="_인원계획표 _적격 _월곳집행(본사)_공내역서(소방)_마그넷오산점내역(020320)_통영점공조및위생" xfId="104"/>
    <cellStyle name="_인원계획표 _적격 _월곳집행(본사)_공내역서(소방)_정-의왕가스경보설비공사(기안)" xfId="105"/>
    <cellStyle name="_인원계획표 _적격 _월곳집행(본사)_공내역서(소방)_정-의왕가스경보설비공사(기안)_통영점공조및위생" xfId="106"/>
    <cellStyle name="_인원계획표 _적격 _월곳집행(본사)_공내역서(소방)_통영점공조및위생" xfId="107"/>
    <cellStyle name="_인원계획표 _적격 _월곳집행(본사)_공내역서(소방final)" xfId="108"/>
    <cellStyle name="_인원계획표 _적격 _월곳집행(본사)_공내역서(소방final)_롯데마그넷(오산점)" xfId="109"/>
    <cellStyle name="_인원계획표 _적격 _월곳집행(본사)_공내역서(소방final)_롯데마그넷(오산점)_통영점공조및위생" xfId="110"/>
    <cellStyle name="_인원계획표 _적격 _월곳집행(본사)_공내역서(소방final)_마그넷오산점내역(020320)" xfId="111"/>
    <cellStyle name="_인원계획표 _적격 _월곳집행(본사)_공내역서(소방final)_마그넷오산점내역(020320)_통영점공조및위생" xfId="112"/>
    <cellStyle name="_인원계획표 _적격 _월곳집행(본사)_공내역서(소방final)_정-의왕가스경보설비공사(기안)" xfId="113"/>
    <cellStyle name="_인원계획표 _적격 _월곳집행(본사)_공내역서(소방final)_정-의왕가스경보설비공사(기안)_통영점공조및위생" xfId="114"/>
    <cellStyle name="_인원계획표 _적격 _월곳집행(본사)_공내역서(소방final)_통영점공조및위생" xfId="115"/>
    <cellStyle name="_인원계획표 _적격 _월곳집행(본사)_롯데마그넷(오산점)" xfId="116"/>
    <cellStyle name="_인원계획표 _적격 _월곳집행(본사)_롯데마그넷(오산점)_통영점공조및위생" xfId="117"/>
    <cellStyle name="_인원계획표 _적격 _월곳집행(본사)_마그넷오산점내역(020320)" xfId="118"/>
    <cellStyle name="_인원계획표 _적격 _월곳집행(본사)_마그넷오산점내역(020320)_통영점공조및위생" xfId="119"/>
    <cellStyle name="_인원계획표 _적격 _월곳집행(본사)_정-의왕가스경보설비공사(기안)" xfId="120"/>
    <cellStyle name="_인원계획표 _적격 _월곳집행(본사)_정-의왕가스경보설비공사(기안)_통영점공조및위생" xfId="121"/>
    <cellStyle name="_인원계획표 _적격 _월곳집행(본사)_통영점공조및위생" xfId="122"/>
    <cellStyle name="_인원계획표 _적격 _정-의왕가스경보설비공사(기안)" xfId="123"/>
    <cellStyle name="_인원계획표 _적격 _정-의왕가스경보설비공사(기안)_통영점공조및위생" xfId="124"/>
    <cellStyle name="_인원계획표 _적격 _통영점공조및위생" xfId="125"/>
    <cellStyle name="_인원계획표 _정-의왕가스경보설비공사(기안)" xfId="126"/>
    <cellStyle name="_인원계획표 _정-의왕가스경보설비공사(기안)_통영점공조및위생" xfId="127"/>
    <cellStyle name="_인원계획표 _통영점공조및위생" xfId="128"/>
    <cellStyle name="_일반전기1공구" xfId="129"/>
    <cellStyle name="_일반전기2공구" xfId="130"/>
    <cellStyle name="_일반전기정산" xfId="131"/>
    <cellStyle name="_입찰표지 " xfId="132"/>
    <cellStyle name="_입찰표지 _1공구기계소화견적서-김앤드이" xfId="133"/>
    <cellStyle name="_입찰표지 _HVAC공내역(삼강천안)제출" xfId="134"/>
    <cellStyle name="_입찰표지 _LG유통하남점신축공사" xfId="135"/>
    <cellStyle name="_입찰표지 _롯데마그넷(오산점)" xfId="136"/>
    <cellStyle name="_입찰표지 _롯데마그넷(오산점)_통영점공조및위생" xfId="137"/>
    <cellStyle name="_입찰표지 _마그넷오산점내역(020320)" xfId="138"/>
    <cellStyle name="_입찰표지 _마그넷오산점내역(020320)_통영점공조및위생" xfId="139"/>
    <cellStyle name="_입찰표지 _월곳집행(본사)" xfId="140"/>
    <cellStyle name="_입찰표지 _월곳집행(본사)_공내역서(소방)" xfId="141"/>
    <cellStyle name="_입찰표지 _월곳집행(본사)_공내역서(소방)_롯데마그넷(오산점)" xfId="142"/>
    <cellStyle name="_입찰표지 _월곳집행(본사)_공내역서(소방)_롯데마그넷(오산점)_통영점공조및위생" xfId="143"/>
    <cellStyle name="_입찰표지 _월곳집행(본사)_공내역서(소방)_마그넷오산점내역(020320)" xfId="144"/>
    <cellStyle name="_입찰표지 _월곳집행(본사)_공내역서(소방)_마그넷오산점내역(020320)_통영점공조및위생" xfId="145"/>
    <cellStyle name="_입찰표지 _월곳집행(본사)_공내역서(소방)_정-의왕가스경보설비공사(기안)" xfId="146"/>
    <cellStyle name="_입찰표지 _월곳집행(본사)_공내역서(소방)_정-의왕가스경보설비공사(기안)_통영점공조및위생" xfId="147"/>
    <cellStyle name="_입찰표지 _월곳집행(본사)_공내역서(소방)_통영점공조및위생" xfId="148"/>
    <cellStyle name="_입찰표지 _월곳집행(본사)_공내역서(소방final)" xfId="149"/>
    <cellStyle name="_입찰표지 _월곳집행(본사)_공내역서(소방final)_롯데마그넷(오산점)" xfId="150"/>
    <cellStyle name="_입찰표지 _월곳집행(본사)_공내역서(소방final)_롯데마그넷(오산점)_통영점공조및위생" xfId="151"/>
    <cellStyle name="_입찰표지 _월곳집행(본사)_공내역서(소방final)_마그넷오산점내역(020320)" xfId="152"/>
    <cellStyle name="_입찰표지 _월곳집행(본사)_공내역서(소방final)_마그넷오산점내역(020320)_통영점공조및위생" xfId="153"/>
    <cellStyle name="_입찰표지 _월곳집행(본사)_공내역서(소방final)_정-의왕가스경보설비공사(기안)" xfId="154"/>
    <cellStyle name="_입찰표지 _월곳집행(본사)_공내역서(소방final)_정-의왕가스경보설비공사(기안)_통영점공조및위생" xfId="155"/>
    <cellStyle name="_입찰표지 _월곳집행(본사)_공내역서(소방final)_통영점공조및위생" xfId="156"/>
    <cellStyle name="_입찰표지 _월곳집행(본사)_롯데마그넷(오산점)" xfId="157"/>
    <cellStyle name="_입찰표지 _월곳집행(본사)_롯데마그넷(오산점)_통영점공조및위생" xfId="158"/>
    <cellStyle name="_입찰표지 _월곳집행(본사)_마그넷오산점내역(020320)" xfId="159"/>
    <cellStyle name="_입찰표지 _월곳집행(본사)_마그넷오산점내역(020320)_통영점공조및위생" xfId="160"/>
    <cellStyle name="_입찰표지 _월곳집행(본사)_정-의왕가스경보설비공사(기안)" xfId="161"/>
    <cellStyle name="_입찰표지 _월곳집행(본사)_정-의왕가스경보설비공사(기안)_통영점공조및위생" xfId="162"/>
    <cellStyle name="_입찰표지 _월곳집행(본사)_통영점공조및위생" xfId="163"/>
    <cellStyle name="_입찰표지 _정-의왕가스경보설비공사(기안)" xfId="164"/>
    <cellStyle name="_입찰표지 _정-의왕가스경보설비공사(기안)_통영점공조및위생" xfId="165"/>
    <cellStyle name="_입찰표지 _통영점공조및위생" xfId="166"/>
    <cellStyle name="_적격 " xfId="167"/>
    <cellStyle name="_적격 _1공구기계소화견적서-김앤드이" xfId="168"/>
    <cellStyle name="_적격 _HVAC공내역(삼강천안)제출" xfId="169"/>
    <cellStyle name="_적격 _LG유통하남점신축공사" xfId="170"/>
    <cellStyle name="_적격 _롯데마그넷(오산점)" xfId="171"/>
    <cellStyle name="_적격 _롯데마그넷(오산점)_통영점공조및위생" xfId="172"/>
    <cellStyle name="_적격 _마그넷오산점내역(020320)" xfId="173"/>
    <cellStyle name="_적격 _마그넷오산점내역(020320)_통영점공조및위생" xfId="174"/>
    <cellStyle name="_적격 _월곳집행(본사)" xfId="175"/>
    <cellStyle name="_적격 _월곳집행(본사)_공내역서(소방)" xfId="176"/>
    <cellStyle name="_적격 _월곳집행(본사)_공내역서(소방)_롯데마그넷(오산점)" xfId="177"/>
    <cellStyle name="_적격 _월곳집행(본사)_공내역서(소방)_롯데마그넷(오산점)_통영점공조및위생" xfId="178"/>
    <cellStyle name="_적격 _월곳집행(본사)_공내역서(소방)_마그넷오산점내역(020320)" xfId="179"/>
    <cellStyle name="_적격 _월곳집행(본사)_공내역서(소방)_마그넷오산점내역(020320)_통영점공조및위생" xfId="180"/>
    <cellStyle name="_적격 _월곳집행(본사)_공내역서(소방)_정-의왕가스경보설비공사(기안)" xfId="181"/>
    <cellStyle name="_적격 _월곳집행(본사)_공내역서(소방)_정-의왕가스경보설비공사(기안)_통영점공조및위생" xfId="182"/>
    <cellStyle name="_적격 _월곳집행(본사)_공내역서(소방)_통영점공조및위생" xfId="183"/>
    <cellStyle name="_적격 _월곳집행(본사)_공내역서(소방final)" xfId="184"/>
    <cellStyle name="_적격 _월곳집행(본사)_공내역서(소방final)_롯데마그넷(오산점)" xfId="185"/>
    <cellStyle name="_적격 _월곳집행(본사)_공내역서(소방final)_롯데마그넷(오산점)_통영점공조및위생" xfId="186"/>
    <cellStyle name="_적격 _월곳집행(본사)_공내역서(소방final)_마그넷오산점내역(020320)" xfId="187"/>
    <cellStyle name="_적격 _월곳집행(본사)_공내역서(소방final)_마그넷오산점내역(020320)_통영점공조및위생" xfId="188"/>
    <cellStyle name="_적격 _월곳집행(본사)_공내역서(소방final)_정-의왕가스경보설비공사(기안)" xfId="189"/>
    <cellStyle name="_적격 _월곳집행(본사)_공내역서(소방final)_정-의왕가스경보설비공사(기안)_통영점공조및위생" xfId="190"/>
    <cellStyle name="_적격 _월곳집행(본사)_공내역서(소방final)_통영점공조및위생" xfId="191"/>
    <cellStyle name="_적격 _월곳집행(본사)_롯데마그넷(오산점)" xfId="192"/>
    <cellStyle name="_적격 _월곳집행(본사)_롯데마그넷(오산점)_통영점공조및위생" xfId="193"/>
    <cellStyle name="_적격 _월곳집행(본사)_마그넷오산점내역(020320)" xfId="194"/>
    <cellStyle name="_적격 _월곳집행(본사)_마그넷오산점내역(020320)_통영점공조및위생" xfId="195"/>
    <cellStyle name="_적격 _월곳집행(본사)_정-의왕가스경보설비공사(기안)" xfId="196"/>
    <cellStyle name="_적격 _월곳집행(본사)_정-의왕가스경보설비공사(기안)_통영점공조및위생" xfId="197"/>
    <cellStyle name="_적격 _월곳집행(본사)_통영점공조및위생" xfId="198"/>
    <cellStyle name="_적격 _정-의왕가스경보설비공사(기안)" xfId="199"/>
    <cellStyle name="_적격 _정-의왕가스경보설비공사(기안)_통영점공조및위생" xfId="200"/>
    <cellStyle name="_적격 _통영점공조및위생" xfId="201"/>
    <cellStyle name="_적격(화산) " xfId="202"/>
    <cellStyle name="_적격(화산) _1공구기계소화견적서-김앤드이" xfId="203"/>
    <cellStyle name="_적격(화산) _HVAC공내역(삼강천안)제출" xfId="204"/>
    <cellStyle name="_적격(화산) _LG유통하남점신축공사" xfId="205"/>
    <cellStyle name="_적격(화산) _롯데마그넷(오산점)" xfId="206"/>
    <cellStyle name="_적격(화산) _롯데마그넷(오산점)_통영점공조및위생" xfId="207"/>
    <cellStyle name="_적격(화산) _마그넷오산점내역(020320)" xfId="208"/>
    <cellStyle name="_적격(화산) _마그넷오산점내역(020320)_통영점공조및위생" xfId="209"/>
    <cellStyle name="_적격(화산) _월곳집행(본사)" xfId="210"/>
    <cellStyle name="_적격(화산) _월곳집행(본사)_공내역서(소방)" xfId="211"/>
    <cellStyle name="_적격(화산) _월곳집행(본사)_공내역서(소방)_롯데마그넷(오산점)" xfId="212"/>
    <cellStyle name="_적격(화산) _월곳집행(본사)_공내역서(소방)_롯데마그넷(오산점)_통영점공조및위생" xfId="213"/>
    <cellStyle name="_적격(화산) _월곳집행(본사)_공내역서(소방)_마그넷오산점내역(020320)" xfId="214"/>
    <cellStyle name="_적격(화산) _월곳집행(본사)_공내역서(소방)_마그넷오산점내역(020320)_통영점공조및위생" xfId="215"/>
    <cellStyle name="_적격(화산) _월곳집행(본사)_공내역서(소방)_정-의왕가스경보설비공사(기안)" xfId="216"/>
    <cellStyle name="_적격(화산) _월곳집행(본사)_공내역서(소방)_정-의왕가스경보설비공사(기안)_통영점공조및위생" xfId="217"/>
    <cellStyle name="_적격(화산) _월곳집행(본사)_공내역서(소방)_통영점공조및위생" xfId="218"/>
    <cellStyle name="_적격(화산) _월곳집행(본사)_공내역서(소방final)" xfId="219"/>
    <cellStyle name="_적격(화산) _월곳집행(본사)_공내역서(소방final)_롯데마그넷(오산점)" xfId="220"/>
    <cellStyle name="_적격(화산) _월곳집행(본사)_공내역서(소방final)_롯데마그넷(오산점)_통영점공조및위생" xfId="221"/>
    <cellStyle name="_적격(화산) _월곳집행(본사)_공내역서(소방final)_마그넷오산점내역(020320)" xfId="222"/>
    <cellStyle name="_적격(화산) _월곳집행(본사)_공내역서(소방final)_마그넷오산점내역(020320)_통영점공조및위생" xfId="223"/>
    <cellStyle name="_적격(화산) _월곳집행(본사)_공내역서(소방final)_정-의왕가스경보설비공사(기안)" xfId="224"/>
    <cellStyle name="_적격(화산) _월곳집행(본사)_공내역서(소방final)_정-의왕가스경보설비공사(기안)_통영점공조및위생" xfId="225"/>
    <cellStyle name="_적격(화산) _월곳집행(본사)_공내역서(소방final)_통영점공조및위생" xfId="226"/>
    <cellStyle name="_적격(화산) _월곳집행(본사)_롯데마그넷(오산점)" xfId="227"/>
    <cellStyle name="_적격(화산) _월곳집행(본사)_롯데마그넷(오산점)_통영점공조및위생" xfId="228"/>
    <cellStyle name="_적격(화산) _월곳집행(본사)_마그넷오산점내역(020320)" xfId="229"/>
    <cellStyle name="_적격(화산) _월곳집행(본사)_마그넷오산점내역(020320)_통영점공조및위생" xfId="230"/>
    <cellStyle name="_적격(화산) _월곳집행(본사)_정-의왕가스경보설비공사(기안)" xfId="231"/>
    <cellStyle name="_적격(화산) _월곳집행(본사)_정-의왕가스경보설비공사(기안)_통영점공조및위생" xfId="232"/>
    <cellStyle name="_적격(화산) _월곳집행(본사)_통영점공조및위생" xfId="233"/>
    <cellStyle name="_적격(화산) _정-의왕가스경보설비공사(기안)" xfId="234"/>
    <cellStyle name="_적격(화산) _정-의왕가스경보설비공사(기안)_통영점공조및위생" xfId="235"/>
    <cellStyle name="_적격(화산) _통영점공조및위생" xfId="236"/>
    <cellStyle name="_전력간선" xfId="237"/>
    <cellStyle name="_정산세부내역(건설사정)" xfId="238"/>
    <cellStyle name="_지열관련설계자료" xfId="239"/>
    <cellStyle name="_충주공용버스터미널" xfId="240"/>
    <cellStyle name="_포항미술관_지열(영진)" xfId="241"/>
    <cellStyle name="_포항점1공구변경내역서" xfId="242"/>
    <cellStyle name="_호텔약전전기공사(1공구)-발의" xfId="243"/>
    <cellStyle name="_화성점공조제연닥트(견적실행)" xfId="244"/>
    <cellStyle name="’E‰Y [0.00]_laroux" xfId="245"/>
    <cellStyle name="’E‰Y_laroux" xfId="246"/>
    <cellStyle name="¤@?e_TEST-1 " xfId="247"/>
    <cellStyle name="△백분율" xfId="248"/>
    <cellStyle name="△콤마" xfId="249"/>
    <cellStyle name="æØè [0.00]_Region Orders (2)" xfId="250"/>
    <cellStyle name="æØè_Region Orders (2)" xfId="251"/>
    <cellStyle name="ÊÝ [0.00]_Region Orders (2)" xfId="252"/>
    <cellStyle name="ÊÝ_Region Orders (2)" xfId="253"/>
    <cellStyle name="W_Pacific Region P&amp;L" xfId="254"/>
    <cellStyle name="0.0" xfId="255"/>
    <cellStyle name="0.00" xfId="256"/>
    <cellStyle name="1" xfId="257"/>
    <cellStyle name="1_HVAC공내역(삼강천안)제출" xfId="258"/>
    <cellStyle name="1_단가조사표" xfId="259"/>
    <cellStyle name="1_단가조사표_1011소각" xfId="260"/>
    <cellStyle name="1_단가조사표_1113교~1" xfId="261"/>
    <cellStyle name="1_단가조사표_121내역" xfId="262"/>
    <cellStyle name="1_단가조사표_객토량" xfId="263"/>
    <cellStyle name="1_단가조사표_교통센~1" xfId="264"/>
    <cellStyle name="1_단가조사표_교통센터412" xfId="265"/>
    <cellStyle name="1_단가조사표_교통수" xfId="266"/>
    <cellStyle name="1_단가조사표_교통수량산출서" xfId="267"/>
    <cellStyle name="1_단가조사표_구조물대가 (2)" xfId="268"/>
    <cellStyle name="1_단가조사표_내역서 (2)" xfId="269"/>
    <cellStyle name="1_단가조사표_대전관저지구" xfId="270"/>
    <cellStyle name="1_단가조사표_동측지~1" xfId="271"/>
    <cellStyle name="1_단가조사표_동측지원422" xfId="272"/>
    <cellStyle name="1_단가조사표_동측지원512" xfId="273"/>
    <cellStyle name="1_단가조사표_동측지원524" xfId="274"/>
    <cellStyle name="1_단가조사표_부대422" xfId="275"/>
    <cellStyle name="1_단가조사표_부대시설" xfId="276"/>
    <cellStyle name="1_단가조사표_소각수~1" xfId="277"/>
    <cellStyle name="1_단가조사표_소각수내역서" xfId="278"/>
    <cellStyle name="1_단가조사표_소각수목2" xfId="279"/>
    <cellStyle name="1_단가조사표_수량산출서 (2)" xfId="280"/>
    <cellStyle name="1_단가조사표_엑스포~1" xfId="281"/>
    <cellStyle name="1_단가조사표_엑스포한빛1" xfId="282"/>
    <cellStyle name="1_단가조사표_여객터미널331" xfId="283"/>
    <cellStyle name="1_단가조사표_여객터미널513" xfId="284"/>
    <cellStyle name="1_단가조사표_여객터미널629" xfId="285"/>
    <cellStyle name="1_단가조사표_외곽도로616" xfId="286"/>
    <cellStyle name="1_단가조사표_원가계~1" xfId="287"/>
    <cellStyle name="1_단가조사표_유기질" xfId="288"/>
    <cellStyle name="1_단가조사표_자재조서 (2)" xfId="289"/>
    <cellStyle name="1_단가조사표_총괄내역" xfId="290"/>
    <cellStyle name="1_단가조사표_총괄내역 (2)" xfId="291"/>
    <cellStyle name="1_단가조사표_터미널도로403" xfId="292"/>
    <cellStyle name="1_단가조사표_터미널도로429" xfId="293"/>
    <cellStyle name="1_단가조사표_포장일위" xfId="294"/>
    <cellStyle name="1_지열내역서_과학고" xfId="295"/>
    <cellStyle name="1_포항미술관_지열(영진)" xfId="296"/>
    <cellStyle name="2" xfId="297"/>
    <cellStyle name="²" xfId="298"/>
    <cellStyle name="2_단가조사표" xfId="299"/>
    <cellStyle name="2_단가조사표_1011소각" xfId="300"/>
    <cellStyle name="2_단가조사표_1113교~1" xfId="301"/>
    <cellStyle name="2_단가조사표_121내역" xfId="302"/>
    <cellStyle name="2_단가조사표_객토량" xfId="303"/>
    <cellStyle name="2_단가조사표_교통센~1" xfId="304"/>
    <cellStyle name="2_단가조사표_교통센터412" xfId="305"/>
    <cellStyle name="2_단가조사표_교통수" xfId="306"/>
    <cellStyle name="2_단가조사표_교통수량산출서" xfId="307"/>
    <cellStyle name="2_단가조사표_구조물대가 (2)" xfId="308"/>
    <cellStyle name="2_단가조사표_내역서 (2)" xfId="309"/>
    <cellStyle name="2_단가조사표_대전관저지구" xfId="310"/>
    <cellStyle name="2_단가조사표_동측지~1" xfId="311"/>
    <cellStyle name="2_단가조사표_동측지원422" xfId="312"/>
    <cellStyle name="2_단가조사표_동측지원512" xfId="313"/>
    <cellStyle name="2_단가조사표_동측지원524" xfId="314"/>
    <cellStyle name="2_단가조사표_부대422" xfId="315"/>
    <cellStyle name="2_단가조사표_부대시설" xfId="316"/>
    <cellStyle name="2_단가조사표_소각수~1" xfId="317"/>
    <cellStyle name="2_단가조사표_소각수내역서" xfId="318"/>
    <cellStyle name="2_단가조사표_소각수목2" xfId="319"/>
    <cellStyle name="2_단가조사표_수량산출서 (2)" xfId="320"/>
    <cellStyle name="2_단가조사표_엑스포~1" xfId="321"/>
    <cellStyle name="2_단가조사표_엑스포한빛1" xfId="322"/>
    <cellStyle name="2_단가조사표_여객터미널331" xfId="323"/>
    <cellStyle name="2_단가조사표_여객터미널513" xfId="324"/>
    <cellStyle name="2_단가조사표_여객터미널629" xfId="325"/>
    <cellStyle name="2_단가조사표_외곽도로616" xfId="326"/>
    <cellStyle name="2_단가조사표_원가계~1" xfId="327"/>
    <cellStyle name="2_단가조사표_유기질" xfId="328"/>
    <cellStyle name="2_단가조사표_자재조서 (2)" xfId="329"/>
    <cellStyle name="2_단가조사표_총괄내역" xfId="330"/>
    <cellStyle name="2_단가조사표_총괄내역 (2)" xfId="331"/>
    <cellStyle name="2_단가조사표_터미널도로403" xfId="332"/>
    <cellStyle name="2_단가조사표_터미널도로429" xfId="333"/>
    <cellStyle name="2_단가조사표_포장일위" xfId="334"/>
    <cellStyle name="A¡§¡ⓒ¡E¡þ¡EO [0]_AO¡§uRCN￠R¨uU " xfId="335"/>
    <cellStyle name="A¡§¡ⓒ¡E¡þ¡EO_AO¡§uRCN￠R¨uU " xfId="336"/>
    <cellStyle name="AeE­ [0]_¼oAI¼º " xfId="337"/>
    <cellStyle name="ÅëÈ­ [0]_¼öÀÍ¼º " xfId="338"/>
    <cellStyle name="AeE­ [0]_¼oAI¼º _대구백화점제출견적(2001년5월22일)" xfId="339"/>
    <cellStyle name="ÅëÈ­ [0]_Á¤»ê¼­°©Áö" xfId="340"/>
    <cellStyle name="AeE­ [0]_INQUIRY ¿μ¾÷AßAø " xfId="341"/>
    <cellStyle name="ÅëÈ­ [0]_laroux" xfId="342"/>
    <cellStyle name="AeE­ [0]_laroux_1" xfId="343"/>
    <cellStyle name="ÅëÈ­ [0]_laroux_1" xfId="344"/>
    <cellStyle name="AeE­ [0]_laroux_1_견적서(가로양식)" xfId="345"/>
    <cellStyle name="ÅëÈ­ [0]_laroux_1_견적서(가로양식)" xfId="346"/>
    <cellStyle name="AeE­ [0]_laroux_1_국학진흥원(정산6-13)" xfId="347"/>
    <cellStyle name="ÅëÈ­ [0]_laroux_1_국학진흥원(정산6-13)" xfId="348"/>
    <cellStyle name="AeE­ [0]_laroux_1_대구종합전시관" xfId="349"/>
    <cellStyle name="ÅëÈ­ [0]_laroux_1_대구종합전시관" xfId="350"/>
    <cellStyle name="AeE­ [0]_laroux_2" xfId="351"/>
    <cellStyle name="ÅëÈ­ [0]_laroux_2" xfId="352"/>
    <cellStyle name="AeE­ [0]_laroux_2_견적서(가로양식)" xfId="353"/>
    <cellStyle name="ÅëÈ­ [0]_laroux_2_견적서(가로양식)" xfId="354"/>
    <cellStyle name="AeE­ [0]_laroux_2_국학진흥원(정산6-13)" xfId="355"/>
    <cellStyle name="ÅëÈ­ [0]_laroux_2_국학진흥원(정산6-13)" xfId="356"/>
    <cellStyle name="AeE­ [0]_laroux_2_대구종합전시관" xfId="357"/>
    <cellStyle name="ÅëÈ­ [0]_laroux_2_대구종합전시관" xfId="358"/>
    <cellStyle name="AeE­ [0]_laroux_견적서(가로양식)" xfId="359"/>
    <cellStyle name="ÅëÈ­ [0]_laroux_견적서(가로양식)" xfId="360"/>
    <cellStyle name="AeE­ [0]_laroux_국학진흥원(정산6-13)" xfId="361"/>
    <cellStyle name="ÅëÈ­ [0]_laroux_국학진흥원(정산6-13)" xfId="362"/>
    <cellStyle name="AeE­ [0]_laroux_대구종합전시관" xfId="363"/>
    <cellStyle name="ÅëÈ­ [0]_laroux_대구종합전시관" xfId="364"/>
    <cellStyle name="AeE­_¼oAI¼º " xfId="365"/>
    <cellStyle name="ÅëÈ­_¼öÀÍ¼º " xfId="366"/>
    <cellStyle name="AeE­_¼oAI¼º _대구백화점제출견적(2001년5월22일)" xfId="367"/>
    <cellStyle name="ÅëÈ­_Á¤»ê¼­°©Áö" xfId="368"/>
    <cellStyle name="AeE­_INQUIRY ¿μ¾÷AßAø " xfId="369"/>
    <cellStyle name="ÅëÈ­_laroux" xfId="370"/>
    <cellStyle name="AeE­_laroux_1" xfId="371"/>
    <cellStyle name="ÅëÈ­_laroux_1" xfId="372"/>
    <cellStyle name="AeE­_laroux_1_견적서(가로양식)" xfId="373"/>
    <cellStyle name="ÅëÈ­_laroux_1_견적서(가로양식)" xfId="374"/>
    <cellStyle name="AeE­_laroux_1_국학진흥원(정산6-13)" xfId="375"/>
    <cellStyle name="ÅëÈ­_laroux_1_국학진흥원(정산6-13)" xfId="376"/>
    <cellStyle name="AeE­_laroux_1_대구종합전시관" xfId="377"/>
    <cellStyle name="ÅëÈ­_laroux_1_대구종합전시관" xfId="378"/>
    <cellStyle name="AeE­_laroux_2" xfId="379"/>
    <cellStyle name="ÅëÈ­_laroux_2" xfId="380"/>
    <cellStyle name="AeE­_laroux_2_견적서(가로양식)" xfId="381"/>
    <cellStyle name="ÅëÈ­_laroux_2_견적서(가로양식)" xfId="382"/>
    <cellStyle name="AeE­_laroux_2_국학진흥원(정산6-13)" xfId="383"/>
    <cellStyle name="ÅëÈ­_laroux_2_국학진흥원(정산6-13)" xfId="384"/>
    <cellStyle name="AeE­_laroux_2_대구종합전시관" xfId="385"/>
    <cellStyle name="ÅëÈ­_laroux_2_대구종합전시관" xfId="386"/>
    <cellStyle name="AeE­_laroux_견적서(가로양식)" xfId="387"/>
    <cellStyle name="ÅëÈ­_laroux_견적서(가로양식)" xfId="388"/>
    <cellStyle name="AeE­_laroux_국학진흥원(정산6-13)" xfId="389"/>
    <cellStyle name="ÅëÈ­_laroux_국학진흥원(정산6-13)" xfId="390"/>
    <cellStyle name="AeE­_laroux_대구종합전시관" xfId="391"/>
    <cellStyle name="ÅëÈ­_laroux_대구종합전시관" xfId="392"/>
    <cellStyle name="AeE￠R¨I [0]_AO¡§uRCN￠R¨uU " xfId="393"/>
    <cellStyle name="AeE￠R¨I_AO¡§uRCN￠R¨uU " xfId="394"/>
    <cellStyle name="ALIGNMENT" xfId="395"/>
    <cellStyle name="args.style" xfId="396"/>
    <cellStyle name="AÞ¸¶ [0]_¼oAI¼º " xfId="397"/>
    <cellStyle name="ÄÞ¸¶ [0]_¼öÀÍ¼º " xfId="398"/>
    <cellStyle name="AÞ¸¶ [0]_¼oAI¼º _대구백화점제출견적(2001년5월22일)" xfId="399"/>
    <cellStyle name="ÄÞ¸¶ [0]_Á¤»ê¼­°©Áö" xfId="400"/>
    <cellStyle name="AÞ¸¶ [0]_INQUIRY ¿μ¾÷AßAø " xfId="401"/>
    <cellStyle name="ÄÞ¸¶ [0]_laroux" xfId="402"/>
    <cellStyle name="AÞ¸¶ [0]_laroux_1" xfId="403"/>
    <cellStyle name="ÄÞ¸¶ [0]_laroux_1" xfId="404"/>
    <cellStyle name="AÞ¸¶ [0]_laroux_1_견적서(가로양식)" xfId="405"/>
    <cellStyle name="ÄÞ¸¶ [0]_laroux_1_견적서(가로양식)" xfId="406"/>
    <cellStyle name="AÞ¸¶ [0]_laroux_1_국학진흥원(정산6-13)" xfId="407"/>
    <cellStyle name="ÄÞ¸¶ [0]_laroux_1_국학진흥원(정산6-13)" xfId="408"/>
    <cellStyle name="AÞ¸¶ [0]_laroux_1_대구종합전시관" xfId="409"/>
    <cellStyle name="ÄÞ¸¶ [0]_laroux_1_대구종합전시관" xfId="410"/>
    <cellStyle name="AÞ¸¶ [0]_laroux_2" xfId="411"/>
    <cellStyle name="ÄÞ¸¶ [0]_laroux_2" xfId="412"/>
    <cellStyle name="AÞ¸¶ [0]_laroux_견적서(가로양식)" xfId="413"/>
    <cellStyle name="ÄÞ¸¶ [0]_laroux_견적서(가로양식)" xfId="414"/>
    <cellStyle name="AÞ¸¶ [0]_laroux_국학진흥원(정산6-13)" xfId="415"/>
    <cellStyle name="ÄÞ¸¶ [0]_laroux_국학진흥원(정산6-13)" xfId="416"/>
    <cellStyle name="AÞ¸¶ [0]_laroux_대구종합전시관" xfId="417"/>
    <cellStyle name="ÄÞ¸¶ [0]_laroux_대구종합전시관" xfId="418"/>
    <cellStyle name="AÞ¸¶_¼oAI¼º " xfId="419"/>
    <cellStyle name="ÄÞ¸¶_¼öÀÍ¼º " xfId="420"/>
    <cellStyle name="AÞ¸¶_¼oAI¼º _대구백화점제출견적(2001년5월22일)" xfId="421"/>
    <cellStyle name="ÄÞ¸¶_Á¤»ê¼­°©Áö" xfId="422"/>
    <cellStyle name="AÞ¸¶_INQUIRY ¿μ¾÷AßAø " xfId="423"/>
    <cellStyle name="ÄÞ¸¶_laroux" xfId="424"/>
    <cellStyle name="AÞ¸¶_laroux_1" xfId="425"/>
    <cellStyle name="ÄÞ¸¶_laroux_1" xfId="426"/>
    <cellStyle name="AÞ¸¶_laroux_1_견적서(가로양식)" xfId="427"/>
    <cellStyle name="ÄÞ¸¶_laroux_1_견적서(가로양식)" xfId="428"/>
    <cellStyle name="AÞ¸¶_laroux_1_국학진흥원(정산6-13)" xfId="429"/>
    <cellStyle name="ÄÞ¸¶_laroux_1_국학진흥원(정산6-13)" xfId="430"/>
    <cellStyle name="AÞ¸¶_laroux_1_대구종합전시관" xfId="431"/>
    <cellStyle name="ÄÞ¸¶_laroux_1_대구종합전시관" xfId="432"/>
    <cellStyle name="AÞ¸¶_laroux_2" xfId="433"/>
    <cellStyle name="ÄÞ¸¶_laroux_2" xfId="434"/>
    <cellStyle name="AÞ¸¶_laroux_견적서(가로양식)" xfId="435"/>
    <cellStyle name="ÄÞ¸¶_laroux_견적서(가로양식)" xfId="436"/>
    <cellStyle name="AÞ¸¶_laroux_국학진흥원(정산6-13)" xfId="437"/>
    <cellStyle name="ÄÞ¸¶_laroux_국학진흥원(정산6-13)" xfId="438"/>
    <cellStyle name="AÞ¸¶_laroux_대구종합전시관" xfId="439"/>
    <cellStyle name="ÄÞ¸¶_laroux_대구종합전시관" xfId="440"/>
    <cellStyle name="C￠RIA¡§¨￡_AO¡§uRCN￠R¨uU " xfId="441"/>
    <cellStyle name="C￥AØ_  FAB AIA¤  " xfId="442"/>
    <cellStyle name="Ç¥ÁØ_»ç¾÷ºÎº° ÃÑ°è " xfId="443"/>
    <cellStyle name="C￥AØ_≫c¾÷ºIº° AN°e " xfId="444"/>
    <cellStyle name="Ç¥ÁØ_°¡¼³" xfId="445"/>
    <cellStyle name="C￥AØ_5-1±¤°i " xfId="446"/>
    <cellStyle name="Ç¥ÁØ_5-1±¤°í " xfId="447"/>
    <cellStyle name="C￥AØ_5-1±¤°i _01.시운전 및 인입공사비산출(설비팀)" xfId="448"/>
    <cellStyle name="Ç¥ÁØ_laroux" xfId="449"/>
    <cellStyle name="C￥AØ_laroux_1" xfId="450"/>
    <cellStyle name="Ç¥ÁØ_laroux_1" xfId="451"/>
    <cellStyle name="Calc Currency (0)" xfId="452"/>
    <cellStyle name="Calc Currency (2)" xfId="453"/>
    <cellStyle name="Calc Percent (0)" xfId="454"/>
    <cellStyle name="Calc Percent (1)" xfId="455"/>
    <cellStyle name="Calc Percent (2)" xfId="456"/>
    <cellStyle name="Calc Units (0)" xfId="457"/>
    <cellStyle name="Calc Units (1)" xfId="458"/>
    <cellStyle name="Calc Units (2)" xfId="459"/>
    <cellStyle name="category" xfId="460"/>
    <cellStyle name="Comma" xfId="461"/>
    <cellStyle name="Comma [0]" xfId="462"/>
    <cellStyle name="Comma [00]" xfId="463"/>
    <cellStyle name="comma zerodec" xfId="464"/>
    <cellStyle name="Comma_ SG&amp;A Bridge " xfId="465"/>
    <cellStyle name="Comma0" xfId="466"/>
    <cellStyle name="Comm뼬_E&amp;ONW2" xfId="467"/>
    <cellStyle name="Copied" xfId="468"/>
    <cellStyle name="COST1" xfId="469"/>
    <cellStyle name="Curre~cy [0]_MATERAL2" xfId="470"/>
    <cellStyle name="Currency" xfId="471"/>
    <cellStyle name="Currency [0]" xfId="472"/>
    <cellStyle name="Currency [0]͢laroux_1" xfId="473"/>
    <cellStyle name="Currency [00]" xfId="474"/>
    <cellStyle name="currency-$" xfId="475"/>
    <cellStyle name="Currency_ SG&amp;A Bridge " xfId="476"/>
    <cellStyle name="Currency0" xfId="477"/>
    <cellStyle name="Currency1" xfId="478"/>
    <cellStyle name="Date" xfId="479"/>
    <cellStyle name="Date Short" xfId="480"/>
    <cellStyle name="Date_02.생도식당R02" xfId="481"/>
    <cellStyle name="DELTA" xfId="482"/>
    <cellStyle name="Dezimal [0]_laroux" xfId="483"/>
    <cellStyle name="Dezimal_laroux" xfId="484"/>
    <cellStyle name="Dollar (zero dec)" xfId="485"/>
    <cellStyle name="DSValue" xfId="486"/>
    <cellStyle name="Enter Currency (0)" xfId="487"/>
    <cellStyle name="Enter Currency (2)" xfId="488"/>
    <cellStyle name="Enter Units (0)" xfId="489"/>
    <cellStyle name="Enter Units (1)" xfId="490"/>
    <cellStyle name="Enter Units (2)" xfId="491"/>
    <cellStyle name="Entered" xfId="492"/>
    <cellStyle name="Fixed" xfId="493"/>
    <cellStyle name="Grey" xfId="494"/>
    <cellStyle name="H1" xfId="495"/>
    <cellStyle name="H2" xfId="496"/>
    <cellStyle name="HEADER" xfId="497"/>
    <cellStyle name="Header1" xfId="498"/>
    <cellStyle name="Header2" xfId="499"/>
    <cellStyle name="Heading 1" xfId="500"/>
    <cellStyle name="Heading 2" xfId="501"/>
    <cellStyle name="Heading1" xfId="502"/>
    <cellStyle name="Heading2" xfId="503"/>
    <cellStyle name="Hyperlink_NEGS" xfId="504"/>
    <cellStyle name="Input [yellow]" xfId="505"/>
    <cellStyle name="Input Cells" xfId="506"/>
    <cellStyle name="Link Currency (0)" xfId="507"/>
    <cellStyle name="Link Currency (2)" xfId="508"/>
    <cellStyle name="Link Units (0)" xfId="509"/>
    <cellStyle name="Link Units (1)" xfId="510"/>
    <cellStyle name="Link Units (2)" xfId="511"/>
    <cellStyle name="Linked Cells" xfId="512"/>
    <cellStyle name="Milliers [0]_Arabian Spec" xfId="513"/>
    <cellStyle name="Milliers_Arabian Spec" xfId="514"/>
    <cellStyle name="Model" xfId="515"/>
    <cellStyle name="Mon?aire [0]_Arabian Spec" xfId="516"/>
    <cellStyle name="Mon?aire_Arabian Spec" xfId="517"/>
    <cellStyle name="Monétaire [0]_CTC" xfId="518"/>
    <cellStyle name="Monétaire_CTC" xfId="519"/>
    <cellStyle name="no dec" xfId="520"/>
    <cellStyle name="Normal - Style1" xfId="521"/>
    <cellStyle name="Normal - 유형1" xfId="522"/>
    <cellStyle name="Normal_ SG&amp;A Bridge " xfId="523"/>
    <cellStyle name="Œ…?æ맖?e [0.00]_laroux" xfId="524"/>
    <cellStyle name="Œ…?æ맖?e_laroux" xfId="525"/>
    <cellStyle name="oft Excel]_x000d__x000a_Comment=The open=/f lines load custom functions into the Paste Function list._x000d__x000a_Maximized=3_x000d__x000a_AutoFormat=" xfId="526"/>
    <cellStyle name="per.style" xfId="527"/>
    <cellStyle name="Percent" xfId="528"/>
    <cellStyle name="Percent [0]" xfId="529"/>
    <cellStyle name="Percent [00]" xfId="530"/>
    <cellStyle name="Percent [2]" xfId="531"/>
    <cellStyle name="Percent_#6 Temps &amp; Contractors" xfId="532"/>
    <cellStyle name="PrePop Currency (0)" xfId="533"/>
    <cellStyle name="PrePop Currency (2)" xfId="534"/>
    <cellStyle name="PrePop Units (0)" xfId="535"/>
    <cellStyle name="PrePop Units (1)" xfId="536"/>
    <cellStyle name="PrePop Units (2)" xfId="537"/>
    <cellStyle name="pricing" xfId="538"/>
    <cellStyle name="PSChar" xfId="539"/>
    <cellStyle name="RevList" xfId="540"/>
    <cellStyle name="Standard_laroux" xfId="541"/>
    <cellStyle name="string" xfId="542"/>
    <cellStyle name="subhead" xfId="543"/>
    <cellStyle name="Subtotal" xfId="544"/>
    <cellStyle name="Text Indent A" xfId="545"/>
    <cellStyle name="Text Indent B" xfId="546"/>
    <cellStyle name="Text Indent C" xfId="547"/>
    <cellStyle name="title [1]" xfId="548"/>
    <cellStyle name="title [2]" xfId="549"/>
    <cellStyle name="Total" xfId="550"/>
    <cellStyle name="unit" xfId="551"/>
    <cellStyle name="W?rung [0]_laroux" xfId="552"/>
    <cellStyle name="W?rung_laroux" xfId="553"/>
    <cellStyle name="Обычный_Units" xfId="554"/>
    <cellStyle name="고정소숫점" xfId="555"/>
    <cellStyle name="고정출력1" xfId="556"/>
    <cellStyle name="고정출력2" xfId="557"/>
    <cellStyle name="날짜" xfId="558"/>
    <cellStyle name="내역서" xfId="559"/>
    <cellStyle name="단가" xfId="560"/>
    <cellStyle name="달러" xfId="561"/>
    <cellStyle name="뒤에 오는 하이퍼링크" xfId="562"/>
    <cellStyle name="똿떓죶Ø괻 [0.00]_NT Server " xfId="563"/>
    <cellStyle name="똿떓죶Ø괻_NT Server " xfId="564"/>
    <cellStyle name="똿뗦먛귟 [0.00]_laroux" xfId="565"/>
    <cellStyle name="똿뗦먛귟_laroux" xfId="566"/>
    <cellStyle name="묮뎋 [0.00]_NT Server " xfId="567"/>
    <cellStyle name="묮뎋_NT Server " xfId="568"/>
    <cellStyle name="믅됞 [0.00]_laroux" xfId="569"/>
    <cellStyle name="믅됞_laroux" xfId="570"/>
    <cellStyle name="백분율" xfId="888" builtinId="5"/>
    <cellStyle name="백분율 [0]" xfId="571"/>
    <cellStyle name="백분율 [2]" xfId="572"/>
    <cellStyle name="백분율 2" xfId="573"/>
    <cellStyle name="백분율 3" xfId="574"/>
    <cellStyle name="백분율 4" xfId="891"/>
    <cellStyle name="보통" xfId="575" builtinId="28"/>
    <cellStyle name="본문" xfId="576"/>
    <cellStyle name="분수" xfId="577"/>
    <cellStyle name="뷭?" xfId="578"/>
    <cellStyle name="소수0" xfId="579"/>
    <cellStyle name="소수1" xfId="580"/>
    <cellStyle name="소수2" xfId="581"/>
    <cellStyle name="소수3" xfId="582"/>
    <cellStyle name="수량" xfId="583"/>
    <cellStyle name="숫자(R)" xfId="584"/>
    <cellStyle name="쉼표 [0]" xfId="585" builtinId="6"/>
    <cellStyle name="쉼표 [0] 2" xfId="586"/>
    <cellStyle name="쉼표 [0] 2 2" xfId="587"/>
    <cellStyle name="쉼표 [0] 2 3" xfId="886"/>
    <cellStyle name="쉼표 [0] 3" xfId="588"/>
    <cellStyle name="쉼표 [0] 4" xfId="589"/>
    <cellStyle name="쉼표 [0] 5" xfId="885"/>
    <cellStyle name="쉼표 [0] 6" xfId="890"/>
    <cellStyle name="스타일 1" xfId="590"/>
    <cellStyle name="스타일 10" xfId="591"/>
    <cellStyle name="스타일 100" xfId="592"/>
    <cellStyle name="스타일 101" xfId="593"/>
    <cellStyle name="스타일 102" xfId="594"/>
    <cellStyle name="스타일 103" xfId="595"/>
    <cellStyle name="스타일 104" xfId="596"/>
    <cellStyle name="스타일 105" xfId="597"/>
    <cellStyle name="스타일 106" xfId="598"/>
    <cellStyle name="스타일 107" xfId="599"/>
    <cellStyle name="스타일 108" xfId="600"/>
    <cellStyle name="스타일 109" xfId="601"/>
    <cellStyle name="스타일 11" xfId="602"/>
    <cellStyle name="스타일 110" xfId="603"/>
    <cellStyle name="스타일 111" xfId="604"/>
    <cellStyle name="스타일 112" xfId="605"/>
    <cellStyle name="스타일 113" xfId="606"/>
    <cellStyle name="스타일 114" xfId="607"/>
    <cellStyle name="스타일 115" xfId="608"/>
    <cellStyle name="스타일 116" xfId="609"/>
    <cellStyle name="스타일 117" xfId="610"/>
    <cellStyle name="스타일 118" xfId="611"/>
    <cellStyle name="스타일 119" xfId="612"/>
    <cellStyle name="스타일 12" xfId="613"/>
    <cellStyle name="스타일 120" xfId="614"/>
    <cellStyle name="스타일 121" xfId="615"/>
    <cellStyle name="스타일 122" xfId="616"/>
    <cellStyle name="스타일 123" xfId="617"/>
    <cellStyle name="스타일 124" xfId="618"/>
    <cellStyle name="스타일 125" xfId="619"/>
    <cellStyle name="스타일 126" xfId="620"/>
    <cellStyle name="스타일 127" xfId="621"/>
    <cellStyle name="스타일 128" xfId="622"/>
    <cellStyle name="스타일 129" xfId="623"/>
    <cellStyle name="스타일 13" xfId="624"/>
    <cellStyle name="스타일 130" xfId="625"/>
    <cellStyle name="스타일 131" xfId="626"/>
    <cellStyle name="스타일 132" xfId="627"/>
    <cellStyle name="스타일 133" xfId="628"/>
    <cellStyle name="스타일 134" xfId="629"/>
    <cellStyle name="스타일 135" xfId="630"/>
    <cellStyle name="스타일 136" xfId="631"/>
    <cellStyle name="스타일 137" xfId="632"/>
    <cellStyle name="스타일 138" xfId="633"/>
    <cellStyle name="스타일 139" xfId="634"/>
    <cellStyle name="스타일 14" xfId="635"/>
    <cellStyle name="스타일 140" xfId="636"/>
    <cellStyle name="스타일 141" xfId="637"/>
    <cellStyle name="스타일 142" xfId="638"/>
    <cellStyle name="스타일 143" xfId="639"/>
    <cellStyle name="스타일 144" xfId="640"/>
    <cellStyle name="스타일 145" xfId="641"/>
    <cellStyle name="스타일 146" xfId="642"/>
    <cellStyle name="스타일 147" xfId="643"/>
    <cellStyle name="스타일 148" xfId="644"/>
    <cellStyle name="스타일 149" xfId="645"/>
    <cellStyle name="스타일 15" xfId="646"/>
    <cellStyle name="스타일 150" xfId="647"/>
    <cellStyle name="스타일 151" xfId="648"/>
    <cellStyle name="스타일 152" xfId="649"/>
    <cellStyle name="스타일 153" xfId="650"/>
    <cellStyle name="스타일 154" xfId="651"/>
    <cellStyle name="스타일 155" xfId="652"/>
    <cellStyle name="스타일 156" xfId="653"/>
    <cellStyle name="스타일 157" xfId="654"/>
    <cellStyle name="스타일 158" xfId="655"/>
    <cellStyle name="스타일 159" xfId="656"/>
    <cellStyle name="스타일 16" xfId="657"/>
    <cellStyle name="스타일 160" xfId="658"/>
    <cellStyle name="스타일 161" xfId="659"/>
    <cellStyle name="스타일 162" xfId="660"/>
    <cellStyle name="스타일 163" xfId="661"/>
    <cellStyle name="스타일 164" xfId="662"/>
    <cellStyle name="스타일 165" xfId="663"/>
    <cellStyle name="스타일 166" xfId="664"/>
    <cellStyle name="스타일 167" xfId="665"/>
    <cellStyle name="스타일 168" xfId="666"/>
    <cellStyle name="스타일 169" xfId="667"/>
    <cellStyle name="스타일 17" xfId="668"/>
    <cellStyle name="스타일 170" xfId="669"/>
    <cellStyle name="스타일 171" xfId="670"/>
    <cellStyle name="스타일 172" xfId="671"/>
    <cellStyle name="스타일 173" xfId="672"/>
    <cellStyle name="스타일 174" xfId="673"/>
    <cellStyle name="스타일 175" xfId="674"/>
    <cellStyle name="스타일 176" xfId="675"/>
    <cellStyle name="스타일 177" xfId="676"/>
    <cellStyle name="스타일 178" xfId="677"/>
    <cellStyle name="스타일 179" xfId="678"/>
    <cellStyle name="스타일 18" xfId="679"/>
    <cellStyle name="스타일 180" xfId="680"/>
    <cellStyle name="스타일 181" xfId="681"/>
    <cellStyle name="스타일 182" xfId="682"/>
    <cellStyle name="스타일 183" xfId="683"/>
    <cellStyle name="스타일 184" xfId="684"/>
    <cellStyle name="스타일 185" xfId="685"/>
    <cellStyle name="스타일 186" xfId="686"/>
    <cellStyle name="스타일 187" xfId="687"/>
    <cellStyle name="스타일 188" xfId="688"/>
    <cellStyle name="스타일 189" xfId="689"/>
    <cellStyle name="스타일 19" xfId="690"/>
    <cellStyle name="스타일 190" xfId="691"/>
    <cellStyle name="스타일 191" xfId="692"/>
    <cellStyle name="스타일 192" xfId="693"/>
    <cellStyle name="스타일 193" xfId="694"/>
    <cellStyle name="스타일 194" xfId="695"/>
    <cellStyle name="스타일 195" xfId="696"/>
    <cellStyle name="스타일 196" xfId="697"/>
    <cellStyle name="스타일 197" xfId="698"/>
    <cellStyle name="스타일 198" xfId="699"/>
    <cellStyle name="스타일 199" xfId="700"/>
    <cellStyle name="스타일 2" xfId="701"/>
    <cellStyle name="스타일 20" xfId="702"/>
    <cellStyle name="스타일 200" xfId="703"/>
    <cellStyle name="스타일 201" xfId="704"/>
    <cellStyle name="스타일 202" xfId="705"/>
    <cellStyle name="스타일 203" xfId="706"/>
    <cellStyle name="스타일 204" xfId="707"/>
    <cellStyle name="스타일 205" xfId="708"/>
    <cellStyle name="스타일 206" xfId="709"/>
    <cellStyle name="스타일 207" xfId="710"/>
    <cellStyle name="스타일 208" xfId="711"/>
    <cellStyle name="스타일 209" xfId="712"/>
    <cellStyle name="스타일 21" xfId="713"/>
    <cellStyle name="스타일 210" xfId="714"/>
    <cellStyle name="스타일 211" xfId="715"/>
    <cellStyle name="스타일 212" xfId="716"/>
    <cellStyle name="스타일 213" xfId="717"/>
    <cellStyle name="스타일 214" xfId="718"/>
    <cellStyle name="스타일 215" xfId="719"/>
    <cellStyle name="스타일 216" xfId="720"/>
    <cellStyle name="스타일 217" xfId="721"/>
    <cellStyle name="스타일 218" xfId="722"/>
    <cellStyle name="스타일 219" xfId="723"/>
    <cellStyle name="스타일 22" xfId="724"/>
    <cellStyle name="스타일 220" xfId="725"/>
    <cellStyle name="스타일 221" xfId="726"/>
    <cellStyle name="스타일 222" xfId="727"/>
    <cellStyle name="스타일 223" xfId="728"/>
    <cellStyle name="스타일 224" xfId="729"/>
    <cellStyle name="스타일 225" xfId="730"/>
    <cellStyle name="스타일 226" xfId="731"/>
    <cellStyle name="스타일 227" xfId="732"/>
    <cellStyle name="스타일 228" xfId="733"/>
    <cellStyle name="스타일 229" xfId="734"/>
    <cellStyle name="스타일 23" xfId="735"/>
    <cellStyle name="스타일 230" xfId="736"/>
    <cellStyle name="스타일 231" xfId="737"/>
    <cellStyle name="스타일 232" xfId="738"/>
    <cellStyle name="스타일 233" xfId="739"/>
    <cellStyle name="스타일 234" xfId="740"/>
    <cellStyle name="스타일 235" xfId="741"/>
    <cellStyle name="스타일 236" xfId="742"/>
    <cellStyle name="스타일 237" xfId="743"/>
    <cellStyle name="스타일 238" xfId="744"/>
    <cellStyle name="스타일 239" xfId="745"/>
    <cellStyle name="스타일 24" xfId="746"/>
    <cellStyle name="스타일 240" xfId="747"/>
    <cellStyle name="스타일 241" xfId="748"/>
    <cellStyle name="스타일 242" xfId="749"/>
    <cellStyle name="스타일 243" xfId="750"/>
    <cellStyle name="스타일 244" xfId="751"/>
    <cellStyle name="스타일 245" xfId="752"/>
    <cellStyle name="스타일 246" xfId="753"/>
    <cellStyle name="스타일 247" xfId="754"/>
    <cellStyle name="스타일 248" xfId="755"/>
    <cellStyle name="스타일 249" xfId="756"/>
    <cellStyle name="스타일 25" xfId="757"/>
    <cellStyle name="스타일 250" xfId="758"/>
    <cellStyle name="스타일 251" xfId="759"/>
    <cellStyle name="스타일 252" xfId="760"/>
    <cellStyle name="스타일 253" xfId="761"/>
    <cellStyle name="스타일 254" xfId="762"/>
    <cellStyle name="스타일 255" xfId="763"/>
    <cellStyle name="스타일 26" xfId="764"/>
    <cellStyle name="스타일 27" xfId="765"/>
    <cellStyle name="스타일 28" xfId="766"/>
    <cellStyle name="스타일 29" xfId="767"/>
    <cellStyle name="스타일 3" xfId="768"/>
    <cellStyle name="스타일 30" xfId="769"/>
    <cellStyle name="스타일 31" xfId="770"/>
    <cellStyle name="스타일 32" xfId="771"/>
    <cellStyle name="스타일 33" xfId="772"/>
    <cellStyle name="스타일 34" xfId="773"/>
    <cellStyle name="스타일 35" xfId="774"/>
    <cellStyle name="스타일 36" xfId="775"/>
    <cellStyle name="스타일 37" xfId="776"/>
    <cellStyle name="스타일 38" xfId="777"/>
    <cellStyle name="스타일 39" xfId="778"/>
    <cellStyle name="스타일 4" xfId="779"/>
    <cellStyle name="스타일 40" xfId="780"/>
    <cellStyle name="스타일 41" xfId="781"/>
    <cellStyle name="스타일 42" xfId="782"/>
    <cellStyle name="스타일 43" xfId="783"/>
    <cellStyle name="스타일 44" xfId="784"/>
    <cellStyle name="스타일 45" xfId="785"/>
    <cellStyle name="스타일 46" xfId="786"/>
    <cellStyle name="스타일 47" xfId="787"/>
    <cellStyle name="스타일 48" xfId="788"/>
    <cellStyle name="스타일 49" xfId="789"/>
    <cellStyle name="스타일 5" xfId="790"/>
    <cellStyle name="스타일 50" xfId="791"/>
    <cellStyle name="스타일 51" xfId="792"/>
    <cellStyle name="스타일 52" xfId="793"/>
    <cellStyle name="스타일 53" xfId="794"/>
    <cellStyle name="스타일 54" xfId="795"/>
    <cellStyle name="스타일 55" xfId="796"/>
    <cellStyle name="스타일 56" xfId="797"/>
    <cellStyle name="스타일 57" xfId="798"/>
    <cellStyle name="스타일 58" xfId="799"/>
    <cellStyle name="스타일 59" xfId="800"/>
    <cellStyle name="스타일 6" xfId="801"/>
    <cellStyle name="스타일 60" xfId="802"/>
    <cellStyle name="스타일 61" xfId="803"/>
    <cellStyle name="스타일 62" xfId="804"/>
    <cellStyle name="스타일 63" xfId="805"/>
    <cellStyle name="스타일 64" xfId="806"/>
    <cellStyle name="스타일 65" xfId="807"/>
    <cellStyle name="스타일 66" xfId="808"/>
    <cellStyle name="스타일 67" xfId="809"/>
    <cellStyle name="스타일 68" xfId="810"/>
    <cellStyle name="스타일 69" xfId="811"/>
    <cellStyle name="스타일 7" xfId="812"/>
    <cellStyle name="스타일 70" xfId="813"/>
    <cellStyle name="스타일 71" xfId="814"/>
    <cellStyle name="스타일 72" xfId="815"/>
    <cellStyle name="스타일 73" xfId="816"/>
    <cellStyle name="스타일 74" xfId="817"/>
    <cellStyle name="스타일 75" xfId="818"/>
    <cellStyle name="스타일 76" xfId="819"/>
    <cellStyle name="스타일 77" xfId="820"/>
    <cellStyle name="스타일 78" xfId="821"/>
    <cellStyle name="스타일 79" xfId="822"/>
    <cellStyle name="스타일 8" xfId="823"/>
    <cellStyle name="스타일 80" xfId="824"/>
    <cellStyle name="스타일 81" xfId="825"/>
    <cellStyle name="스타일 82" xfId="826"/>
    <cellStyle name="스타일 83" xfId="827"/>
    <cellStyle name="스타일 84" xfId="828"/>
    <cellStyle name="스타일 85" xfId="829"/>
    <cellStyle name="스타일 86" xfId="830"/>
    <cellStyle name="스타일 87" xfId="831"/>
    <cellStyle name="스타일 88" xfId="832"/>
    <cellStyle name="스타일 89" xfId="833"/>
    <cellStyle name="스타일 9" xfId="834"/>
    <cellStyle name="스타일 90" xfId="835"/>
    <cellStyle name="스타일 91" xfId="836"/>
    <cellStyle name="스타일 92" xfId="837"/>
    <cellStyle name="스타일 93" xfId="838"/>
    <cellStyle name="스타일 94" xfId="839"/>
    <cellStyle name="스타일 95" xfId="840"/>
    <cellStyle name="스타일 96" xfId="841"/>
    <cellStyle name="스타일 97" xfId="842"/>
    <cellStyle name="스타일 98" xfId="843"/>
    <cellStyle name="스타일 99" xfId="844"/>
    <cellStyle name="안건회계법인" xfId="845"/>
    <cellStyle name="유1" xfId="846"/>
    <cellStyle name="자리수" xfId="847"/>
    <cellStyle name="자리수0" xfId="848"/>
    <cellStyle name="제목 1(左)" xfId="849"/>
    <cellStyle name="제목 1(中)" xfId="850"/>
    <cellStyle name="제목[1 줄]" xfId="851"/>
    <cellStyle name="제목[2줄 아래]" xfId="852"/>
    <cellStyle name="제목[2줄 위]" xfId="853"/>
    <cellStyle name="제목1" xfId="854"/>
    <cellStyle name="좋음" xfId="855" builtinId="26"/>
    <cellStyle name="지정되지 않음" xfId="856"/>
    <cellStyle name="콤마 [0]" xfId="857"/>
    <cellStyle name="콤마 [0]/원" xfId="858"/>
    <cellStyle name="콤마 [0]_  종  합  " xfId="859"/>
    <cellStyle name="콤마 [2]" xfId="860"/>
    <cellStyle name="콤마[0]" xfId="861"/>
    <cellStyle name="콤마_  종  합  " xfId="862"/>
    <cellStyle name="콤마숫자" xfId="863"/>
    <cellStyle name="통화 [0] 2" xfId="864"/>
    <cellStyle name="퍼센트" xfId="865"/>
    <cellStyle name="표(가는선,가운데,중앙)" xfId="866"/>
    <cellStyle name="표(가는선,왼쪽,중앙)" xfId="867"/>
    <cellStyle name="표(세로쓰기)" xfId="868"/>
    <cellStyle name="표머릿글(上)" xfId="869"/>
    <cellStyle name="표머릿글(中)" xfId="870"/>
    <cellStyle name="표머릿글(下)" xfId="871"/>
    <cellStyle name="표준" xfId="0" builtinId="0"/>
    <cellStyle name="표준 2" xfId="872"/>
    <cellStyle name="표준 2 2" xfId="883"/>
    <cellStyle name="표준 3" xfId="873"/>
    <cellStyle name="표준 4" xfId="874"/>
    <cellStyle name="표준 4 2" xfId="884"/>
    <cellStyle name="표준 5" xfId="875"/>
    <cellStyle name="표준 6" xfId="887"/>
    <cellStyle name="표준 7" xfId="889"/>
    <cellStyle name="표준_2001예산편성단가표_05년예산단가_2010시설단가확정내역(통보용)" xfId="882"/>
    <cellStyle name="標準_Akia(F）-8" xfId="876"/>
    <cellStyle name="표준_Sheet1" xfId="877"/>
    <cellStyle name="합산" xfId="878"/>
    <cellStyle name="화폐기호" xfId="879"/>
    <cellStyle name="화폐기호0" xfId="880"/>
    <cellStyle name="ㅣ" xfId="88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growShrinkType="overwriteClear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tabSelected="1" view="pageBreakPreview" zoomScale="70" zoomScaleNormal="85" zoomScaleSheetLayoutView="70" workbookViewId="0">
      <selection activeCell="D78" sqref="D78"/>
    </sheetView>
  </sheetViews>
  <sheetFormatPr defaultRowHeight="13.5"/>
  <cols>
    <col min="1" max="1" width="10.5546875" customWidth="1"/>
    <col min="2" max="2" width="16" customWidth="1"/>
    <col min="3" max="3" width="8.21875" customWidth="1"/>
    <col min="4" max="4" width="9.44140625" bestFit="1" customWidth="1"/>
    <col min="5" max="5" width="11.44140625" bestFit="1" customWidth="1"/>
    <col min="6" max="6" width="5.77734375" customWidth="1"/>
    <col min="7" max="7" width="10.77734375" customWidth="1"/>
    <col min="8" max="9" width="12.77734375" style="1" customWidth="1"/>
    <col min="10" max="10" width="35.21875" style="4" bestFit="1" customWidth="1"/>
    <col min="11" max="11" width="9.21875" customWidth="1"/>
  </cols>
  <sheetData>
    <row r="1" spans="1:12" ht="21" customHeight="1">
      <c r="A1" t="s">
        <v>49</v>
      </c>
    </row>
    <row r="2" spans="1:12" ht="33" customHeight="1">
      <c r="A2" s="244" t="s">
        <v>307</v>
      </c>
      <c r="B2" s="244"/>
      <c r="C2" s="244"/>
      <c r="D2" s="244"/>
      <c r="E2" s="244"/>
      <c r="F2" s="244"/>
      <c r="G2" s="244"/>
      <c r="H2" s="244"/>
      <c r="I2" s="244"/>
      <c r="J2" s="244"/>
    </row>
    <row r="3" spans="1:12" ht="24.95" customHeight="1">
      <c r="A3" s="5" t="s">
        <v>38</v>
      </c>
      <c r="B3" t="s">
        <v>224</v>
      </c>
      <c r="H3" s="166"/>
      <c r="I3" s="166"/>
      <c r="J3" s="2"/>
    </row>
    <row r="4" spans="1:12" ht="24.95" customHeight="1">
      <c r="A4" t="s">
        <v>27</v>
      </c>
      <c r="B4" s="5" t="s">
        <v>36</v>
      </c>
      <c r="G4" t="s">
        <v>2</v>
      </c>
      <c r="H4" s="167">
        <v>9000</v>
      </c>
      <c r="I4" s="167"/>
      <c r="J4" s="2"/>
    </row>
    <row r="5" spans="1:12" ht="24.95" customHeight="1">
      <c r="A5" s="5" t="s">
        <v>26</v>
      </c>
      <c r="G5" t="s">
        <v>3</v>
      </c>
      <c r="H5" s="167">
        <v>1440.35</v>
      </c>
      <c r="I5" t="s">
        <v>260</v>
      </c>
      <c r="J5" s="167">
        <f>E14</f>
        <v>1949.4</v>
      </c>
    </row>
    <row r="6" spans="1:12" ht="24.95" customHeight="1" thickBot="1">
      <c r="A6" s="5" t="s">
        <v>50</v>
      </c>
      <c r="G6" t="s">
        <v>4</v>
      </c>
      <c r="H6" s="178">
        <f>H5/H4</f>
        <v>0.16003888888888887</v>
      </c>
      <c r="I6" t="s">
        <v>5</v>
      </c>
      <c r="J6" s="178">
        <f>J5/H4</f>
        <v>0.21660000000000001</v>
      </c>
    </row>
    <row r="7" spans="1:12" ht="30" customHeight="1" thickTop="1">
      <c r="A7" s="253" t="s">
        <v>6</v>
      </c>
      <c r="B7" s="254"/>
      <c r="C7" s="257" t="s">
        <v>252</v>
      </c>
      <c r="D7" s="257"/>
      <c r="E7" s="257"/>
      <c r="F7" s="253" t="s">
        <v>1</v>
      </c>
      <c r="G7" s="258"/>
      <c r="H7" s="254"/>
      <c r="I7" s="259" t="s">
        <v>8</v>
      </c>
      <c r="J7" s="260"/>
    </row>
    <row r="8" spans="1:12" ht="30" customHeight="1" thickBot="1">
      <c r="A8" s="255"/>
      <c r="B8" s="256"/>
      <c r="C8" s="136" t="s">
        <v>226</v>
      </c>
      <c r="D8" s="136" t="s">
        <v>251</v>
      </c>
      <c r="E8" s="136" t="s">
        <v>263</v>
      </c>
      <c r="F8" s="137" t="s">
        <v>7</v>
      </c>
      <c r="G8" s="137" t="s">
        <v>261</v>
      </c>
      <c r="H8" s="168" t="s">
        <v>262</v>
      </c>
      <c r="I8" s="261"/>
      <c r="J8" s="262"/>
      <c r="L8" s="6"/>
    </row>
    <row r="9" spans="1:12" ht="24.95" customHeight="1" thickTop="1" thickBot="1">
      <c r="A9" s="245" t="s">
        <v>259</v>
      </c>
      <c r="B9" s="245"/>
      <c r="C9" s="133"/>
      <c r="D9" s="133"/>
      <c r="E9" s="133"/>
      <c r="F9" s="135"/>
      <c r="G9" s="134"/>
      <c r="H9" s="169">
        <f>SUM(H10:H13)</f>
        <v>7123453.5999999987</v>
      </c>
      <c r="I9" s="263"/>
      <c r="J9" s="264"/>
      <c r="K9" s="8"/>
      <c r="L9" s="7"/>
    </row>
    <row r="10" spans="1:12" ht="24.95" customHeight="1" thickTop="1">
      <c r="A10" s="265" t="s">
        <v>315</v>
      </c>
      <c r="B10" s="265"/>
      <c r="C10" s="127"/>
      <c r="D10" s="127">
        <v>1</v>
      </c>
      <c r="E10" s="127"/>
      <c r="F10" s="126" t="s">
        <v>11</v>
      </c>
      <c r="G10" s="128"/>
      <c r="H10" s="170">
        <f>H14+H37+H39+H50+H61</f>
        <v>6049945.5999999987</v>
      </c>
      <c r="I10" s="247"/>
      <c r="J10" s="248"/>
      <c r="K10" s="10"/>
      <c r="L10" s="7"/>
    </row>
    <row r="11" spans="1:12" ht="24.95" customHeight="1">
      <c r="A11" s="238" t="s">
        <v>237</v>
      </c>
      <c r="B11" s="238"/>
      <c r="C11" s="22"/>
      <c r="D11" s="22">
        <v>1</v>
      </c>
      <c r="E11" s="22"/>
      <c r="F11" s="21" t="s">
        <v>11</v>
      </c>
      <c r="G11" s="115"/>
      <c r="H11" s="115">
        <f>H57</f>
        <v>660000</v>
      </c>
      <c r="I11" s="249"/>
      <c r="J11" s="250"/>
      <c r="K11" s="8"/>
      <c r="L11" s="7"/>
    </row>
    <row r="12" spans="1:12" ht="24.95" customHeight="1">
      <c r="A12" s="238" t="s">
        <v>316</v>
      </c>
      <c r="B12" s="238"/>
      <c r="C12" s="22"/>
      <c r="D12" s="22">
        <v>1</v>
      </c>
      <c r="E12" s="22"/>
      <c r="F12" s="21" t="s">
        <v>11</v>
      </c>
      <c r="G12" s="23"/>
      <c r="H12" s="23">
        <f>H65</f>
        <v>413508</v>
      </c>
      <c r="I12" s="251"/>
      <c r="J12" s="252"/>
      <c r="K12" s="8"/>
      <c r="L12" s="7"/>
    </row>
    <row r="13" spans="1:12" ht="24.95" customHeight="1">
      <c r="A13" s="238" t="s">
        <v>317</v>
      </c>
      <c r="B13" s="238"/>
      <c r="C13" s="22"/>
      <c r="D13" s="22">
        <v>1</v>
      </c>
      <c r="E13" s="22"/>
      <c r="F13" s="21" t="s">
        <v>11</v>
      </c>
      <c r="G13" s="23"/>
      <c r="H13" s="23">
        <f>H76</f>
        <v>0</v>
      </c>
      <c r="I13" s="251"/>
      <c r="J13" s="252"/>
      <c r="K13" s="8"/>
      <c r="L13" s="7"/>
    </row>
    <row r="14" spans="1:12" ht="24.95" customHeight="1">
      <c r="A14" s="237" t="s">
        <v>233</v>
      </c>
      <c r="B14" s="237"/>
      <c r="C14" s="130"/>
      <c r="D14" s="130"/>
      <c r="E14" s="131">
        <f>E21+E28+E34+E36</f>
        <v>1949.4</v>
      </c>
      <c r="F14" s="129"/>
      <c r="G14" s="131"/>
      <c r="H14" s="131">
        <f>H21+H28+H34+H36</f>
        <v>4200268.0399999991</v>
      </c>
      <c r="I14" s="220"/>
      <c r="J14" s="221"/>
      <c r="K14" s="10"/>
      <c r="L14" s="7"/>
    </row>
    <row r="15" spans="1:12" ht="24.95" customHeight="1">
      <c r="A15" s="239" t="s">
        <v>225</v>
      </c>
      <c r="B15" s="141" t="s">
        <v>250</v>
      </c>
      <c r="C15" s="116">
        <v>6</v>
      </c>
      <c r="D15" s="116">
        <v>60.48</v>
      </c>
      <c r="E15" s="116">
        <f>C15*D15</f>
        <v>362.88</v>
      </c>
      <c r="F15" s="118" t="s">
        <v>10</v>
      </c>
      <c r="G15" s="117">
        <v>1902</v>
      </c>
      <c r="H15" s="117">
        <f>E15*G15</f>
        <v>690197.76</v>
      </c>
      <c r="I15" s="224"/>
      <c r="J15" s="225"/>
      <c r="K15" s="10"/>
      <c r="L15" s="7"/>
    </row>
    <row r="16" spans="1:12" ht="24.95" customHeight="1">
      <c r="A16" s="240"/>
      <c r="B16" s="141" t="s">
        <v>41</v>
      </c>
      <c r="C16" s="116">
        <v>1</v>
      </c>
      <c r="D16" s="116">
        <v>60.48</v>
      </c>
      <c r="E16" s="116">
        <f t="shared" ref="E16:E26" si="0">C16*D16</f>
        <v>60.48</v>
      </c>
      <c r="F16" s="118" t="s">
        <v>10</v>
      </c>
      <c r="G16" s="117">
        <v>1902</v>
      </c>
      <c r="H16" s="117">
        <f t="shared" ref="H16:H20" si="1">E16*G16</f>
        <v>115032.95999999999</v>
      </c>
      <c r="I16" s="224"/>
      <c r="J16" s="225"/>
      <c r="L16" s="7"/>
    </row>
    <row r="17" spans="1:12" ht="24.95" customHeight="1">
      <c r="A17" s="240"/>
      <c r="B17" s="142" t="s">
        <v>329</v>
      </c>
      <c r="C17" s="113">
        <v>2</v>
      </c>
      <c r="D17" s="113">
        <v>60.48</v>
      </c>
      <c r="E17" s="116">
        <f t="shared" si="0"/>
        <v>120.96</v>
      </c>
      <c r="F17" s="118" t="s">
        <v>10</v>
      </c>
      <c r="G17" s="117">
        <v>1902</v>
      </c>
      <c r="H17" s="117">
        <f t="shared" si="1"/>
        <v>230065.91999999998</v>
      </c>
      <c r="I17" s="224"/>
      <c r="J17" s="225"/>
      <c r="L17" s="7"/>
    </row>
    <row r="18" spans="1:12" ht="24.95" customHeight="1">
      <c r="A18" s="240"/>
      <c r="B18" s="142" t="s">
        <v>249</v>
      </c>
      <c r="C18" s="113">
        <v>1</v>
      </c>
      <c r="D18" s="113">
        <v>60.48</v>
      </c>
      <c r="E18" s="116">
        <f t="shared" si="0"/>
        <v>60.48</v>
      </c>
      <c r="F18" s="118" t="s">
        <v>10</v>
      </c>
      <c r="G18" s="117">
        <v>1902</v>
      </c>
      <c r="H18" s="117">
        <f t="shared" si="1"/>
        <v>115032.95999999999</v>
      </c>
      <c r="I18" s="224"/>
      <c r="J18" s="225"/>
      <c r="L18" s="7"/>
    </row>
    <row r="19" spans="1:12" ht="24.95" customHeight="1">
      <c r="A19" s="240"/>
      <c r="B19" s="142" t="s">
        <v>40</v>
      </c>
      <c r="C19" s="113">
        <v>1</v>
      </c>
      <c r="D19" s="113">
        <v>60.48</v>
      </c>
      <c r="E19" s="116">
        <f t="shared" si="0"/>
        <v>60.48</v>
      </c>
      <c r="F19" s="118" t="s">
        <v>10</v>
      </c>
      <c r="G19" s="117">
        <v>1902</v>
      </c>
      <c r="H19" s="117">
        <f t="shared" si="1"/>
        <v>115032.95999999999</v>
      </c>
      <c r="I19" s="224"/>
      <c r="J19" s="225"/>
      <c r="L19" s="7"/>
    </row>
    <row r="20" spans="1:12" ht="24.95" customHeight="1">
      <c r="A20" s="240"/>
      <c r="B20" s="142" t="s">
        <v>328</v>
      </c>
      <c r="C20" s="113">
        <v>1</v>
      </c>
      <c r="D20" s="113">
        <v>60.48</v>
      </c>
      <c r="E20" s="116">
        <f t="shared" si="0"/>
        <v>60.48</v>
      </c>
      <c r="F20" s="118" t="s">
        <v>10</v>
      </c>
      <c r="G20" s="117">
        <v>1902</v>
      </c>
      <c r="H20" s="117">
        <f t="shared" si="1"/>
        <v>115032.95999999999</v>
      </c>
      <c r="I20" s="224"/>
      <c r="J20" s="225"/>
      <c r="L20" s="7"/>
    </row>
    <row r="21" spans="1:12" ht="24.95" customHeight="1">
      <c r="A21" s="241"/>
      <c r="B21" s="143" t="s">
        <v>14</v>
      </c>
      <c r="C21" s="144">
        <f>SUM(C15:C20)</f>
        <v>12</v>
      </c>
      <c r="D21" s="144"/>
      <c r="E21" s="144">
        <f>SUM(E15:E20)</f>
        <v>725.7600000000001</v>
      </c>
      <c r="F21" s="145" t="s">
        <v>10</v>
      </c>
      <c r="G21" s="144"/>
      <c r="H21" s="171">
        <f>SUM(H15:H20)</f>
        <v>1380395.5199999998</v>
      </c>
      <c r="I21" s="230"/>
      <c r="J21" s="231"/>
    </row>
    <row r="22" spans="1:12" ht="24.95" customHeight="1">
      <c r="A22" s="239" t="s">
        <v>46</v>
      </c>
      <c r="B22" s="141" t="s">
        <v>246</v>
      </c>
      <c r="C22" s="116">
        <v>1</v>
      </c>
      <c r="D22" s="116">
        <v>60.48</v>
      </c>
      <c r="E22" s="116">
        <f t="shared" si="0"/>
        <v>60.48</v>
      </c>
      <c r="F22" s="138" t="s">
        <v>10</v>
      </c>
      <c r="G22" s="117">
        <v>1902</v>
      </c>
      <c r="H22" s="117">
        <f>SUM(E22*G22)</f>
        <v>115032.95999999999</v>
      </c>
      <c r="I22" s="224"/>
      <c r="J22" s="225"/>
    </row>
    <row r="23" spans="1:12" ht="24.95" customHeight="1">
      <c r="A23" s="240"/>
      <c r="B23" s="146" t="s">
        <v>13</v>
      </c>
      <c r="C23" s="147">
        <f>SUM(C22:C22)</f>
        <v>1</v>
      </c>
      <c r="D23" s="147"/>
      <c r="E23" s="147">
        <f>SUM(E22)</f>
        <v>60.48</v>
      </c>
      <c r="F23" s="148" t="s">
        <v>10</v>
      </c>
      <c r="G23" s="147"/>
      <c r="H23" s="172">
        <f>SUM(H22:H22)</f>
        <v>115032.95999999999</v>
      </c>
      <c r="I23" s="234"/>
      <c r="J23" s="235"/>
    </row>
    <row r="24" spans="1:12" ht="24.95" customHeight="1">
      <c r="A24" s="240"/>
      <c r="B24" s="149" t="s">
        <v>245</v>
      </c>
      <c r="C24" s="150">
        <v>2</v>
      </c>
      <c r="D24" s="150">
        <v>45</v>
      </c>
      <c r="E24" s="139">
        <f t="shared" si="0"/>
        <v>90</v>
      </c>
      <c r="F24" s="140" t="s">
        <v>10</v>
      </c>
      <c r="G24" s="150">
        <v>3659.5</v>
      </c>
      <c r="H24" s="114">
        <f>SUM(E24*G24)</f>
        <v>329355</v>
      </c>
      <c r="I24" s="224"/>
      <c r="J24" s="225"/>
    </row>
    <row r="25" spans="1:12" ht="24.95" customHeight="1">
      <c r="A25" s="240"/>
      <c r="B25" s="142" t="s">
        <v>35</v>
      </c>
      <c r="C25" s="113">
        <v>3</v>
      </c>
      <c r="D25" s="113">
        <v>60.48</v>
      </c>
      <c r="E25" s="116">
        <f t="shared" si="0"/>
        <v>181.44</v>
      </c>
      <c r="F25" s="138" t="s">
        <v>10</v>
      </c>
      <c r="G25" s="114">
        <v>2326</v>
      </c>
      <c r="H25" s="114">
        <f>SUM(E25*G25)</f>
        <v>422029.44</v>
      </c>
      <c r="I25" s="224"/>
      <c r="J25" s="225"/>
    </row>
    <row r="26" spans="1:12" ht="24.95" customHeight="1">
      <c r="A26" s="240"/>
      <c r="B26" s="142" t="s">
        <v>37</v>
      </c>
      <c r="C26" s="113">
        <v>2</v>
      </c>
      <c r="D26" s="113">
        <v>60.48</v>
      </c>
      <c r="E26" s="116">
        <f t="shared" si="0"/>
        <v>120.96</v>
      </c>
      <c r="F26" s="118" t="s">
        <v>10</v>
      </c>
      <c r="G26" s="114">
        <v>4030</v>
      </c>
      <c r="H26" s="114">
        <f>SUM(E26*G26)</f>
        <v>487468.79999999999</v>
      </c>
      <c r="I26" s="224"/>
      <c r="J26" s="225"/>
    </row>
    <row r="27" spans="1:12" ht="24.95" customHeight="1">
      <c r="A27" s="240"/>
      <c r="B27" s="146" t="s">
        <v>13</v>
      </c>
      <c r="C27" s="147">
        <f>SUM(C24:C26)</f>
        <v>7</v>
      </c>
      <c r="D27" s="147"/>
      <c r="E27" s="147">
        <f>SUM(E24:E26)</f>
        <v>392.4</v>
      </c>
      <c r="F27" s="151" t="s">
        <v>10</v>
      </c>
      <c r="G27" s="147"/>
      <c r="H27" s="172">
        <f>SUM(H24:H26)</f>
        <v>1238853.24</v>
      </c>
      <c r="I27" s="234"/>
      <c r="J27" s="235"/>
    </row>
    <row r="28" spans="1:12" ht="24.95" customHeight="1">
      <c r="A28" s="241"/>
      <c r="B28" s="152" t="s">
        <v>14</v>
      </c>
      <c r="C28" s="153">
        <f>SUM(C23+C27)</f>
        <v>8</v>
      </c>
      <c r="D28" s="153"/>
      <c r="E28" s="153">
        <f>SUM(E23+E27)</f>
        <v>452.88</v>
      </c>
      <c r="F28" s="145" t="s">
        <v>10</v>
      </c>
      <c r="G28" s="153"/>
      <c r="H28" s="171">
        <f>ROUNDUP(SUM(H23+H27),0)</f>
        <v>1353887</v>
      </c>
      <c r="I28" s="230"/>
      <c r="J28" s="231"/>
    </row>
    <row r="29" spans="1:12" ht="24.95" customHeight="1">
      <c r="A29" s="239" t="s">
        <v>15</v>
      </c>
      <c r="B29" s="142" t="s">
        <v>244</v>
      </c>
      <c r="C29" s="113">
        <v>1</v>
      </c>
      <c r="D29" s="113">
        <v>60.48</v>
      </c>
      <c r="E29" s="116">
        <f t="shared" ref="E29" si="2">C29*D29</f>
        <v>60.48</v>
      </c>
      <c r="F29" s="118" t="s">
        <v>10</v>
      </c>
      <c r="G29" s="114">
        <v>1902</v>
      </c>
      <c r="H29" s="114">
        <f>SUM(E29*G29)</f>
        <v>115032.95999999999</v>
      </c>
      <c r="I29" s="224"/>
      <c r="J29" s="225"/>
    </row>
    <row r="30" spans="1:12" ht="24.95" customHeight="1">
      <c r="A30" s="240"/>
      <c r="B30" s="146" t="s">
        <v>18</v>
      </c>
      <c r="C30" s="147">
        <f>SUM(C29:C29)</f>
        <v>1</v>
      </c>
      <c r="D30" s="147"/>
      <c r="E30" s="147">
        <f>SUM(E29:E29)</f>
        <v>60.48</v>
      </c>
      <c r="F30" s="154" t="s">
        <v>10</v>
      </c>
      <c r="G30" s="147"/>
      <c r="H30" s="172">
        <f>SUM(H29:H29)</f>
        <v>115032.95999999999</v>
      </c>
      <c r="I30" s="234"/>
      <c r="J30" s="235"/>
    </row>
    <row r="31" spans="1:12" ht="24.95" customHeight="1">
      <c r="A31" s="240"/>
      <c r="B31" s="142" t="s">
        <v>247</v>
      </c>
      <c r="C31" s="113">
        <v>0.5</v>
      </c>
      <c r="D31" s="113">
        <v>60.48</v>
      </c>
      <c r="E31" s="116">
        <f t="shared" ref="E31:E32" si="3">C31*D31</f>
        <v>30.24</v>
      </c>
      <c r="F31" s="118" t="s">
        <v>10</v>
      </c>
      <c r="G31" s="114">
        <v>1902</v>
      </c>
      <c r="H31" s="114">
        <f>SUM(E31*G31)</f>
        <v>57516.479999999996</v>
      </c>
      <c r="I31" s="224"/>
      <c r="J31" s="225"/>
    </row>
    <row r="32" spans="1:12" ht="24.95" customHeight="1">
      <c r="A32" s="240"/>
      <c r="B32" s="142" t="s">
        <v>248</v>
      </c>
      <c r="C32" s="113">
        <v>0.5</v>
      </c>
      <c r="D32" s="113">
        <v>60.48</v>
      </c>
      <c r="E32" s="116">
        <f t="shared" si="3"/>
        <v>30.24</v>
      </c>
      <c r="F32" s="118" t="s">
        <v>10</v>
      </c>
      <c r="G32" s="114">
        <v>1902</v>
      </c>
      <c r="H32" s="114">
        <f>SUM(E32*G32)</f>
        <v>57516.479999999996</v>
      </c>
      <c r="I32" s="224"/>
      <c r="J32" s="225"/>
    </row>
    <row r="33" spans="1:10" ht="24.95" customHeight="1">
      <c r="A33" s="240"/>
      <c r="B33" s="146" t="s">
        <v>13</v>
      </c>
      <c r="C33" s="147">
        <f>SUM(C31:C32)</f>
        <v>1</v>
      </c>
      <c r="D33" s="147"/>
      <c r="E33" s="147">
        <f>SUM(E31:E32)</f>
        <v>60.48</v>
      </c>
      <c r="F33" s="154" t="s">
        <v>10</v>
      </c>
      <c r="G33" s="147"/>
      <c r="H33" s="172">
        <f>SUM(H31:H32)</f>
        <v>115032.95999999999</v>
      </c>
      <c r="I33" s="234"/>
      <c r="J33" s="235"/>
    </row>
    <row r="34" spans="1:10" ht="24.95" customHeight="1">
      <c r="A34" s="241"/>
      <c r="B34" s="152" t="s">
        <v>16</v>
      </c>
      <c r="C34" s="153">
        <f>SUM(C30+C33)</f>
        <v>2</v>
      </c>
      <c r="D34" s="153"/>
      <c r="E34" s="153">
        <f>SUM(E30+E33)</f>
        <v>120.96</v>
      </c>
      <c r="F34" s="155" t="s">
        <v>12</v>
      </c>
      <c r="G34" s="153"/>
      <c r="H34" s="171">
        <f>SUM(H30+H33)</f>
        <v>230065.91999999998</v>
      </c>
      <c r="I34" s="230"/>
      <c r="J34" s="231"/>
    </row>
    <row r="35" spans="1:10" ht="24.95" customHeight="1">
      <c r="A35" s="242" t="s">
        <v>17</v>
      </c>
      <c r="B35" s="243"/>
      <c r="C35" s="156"/>
      <c r="D35" s="156"/>
      <c r="E35" s="156">
        <f>E21+E28+E34</f>
        <v>1299.6000000000001</v>
      </c>
      <c r="F35" s="158" t="s">
        <v>10</v>
      </c>
      <c r="G35" s="156"/>
      <c r="H35" s="156">
        <f>ROUNDUP(H21+H28+H34,0)</f>
        <v>2964349</v>
      </c>
      <c r="I35" s="232"/>
      <c r="J35" s="233"/>
    </row>
    <row r="36" spans="1:10" ht="24.95" customHeight="1">
      <c r="A36" s="242" t="s">
        <v>19</v>
      </c>
      <c r="B36" s="243"/>
      <c r="C36" s="157"/>
      <c r="D36" s="157"/>
      <c r="E36" s="157">
        <f>E35*50%</f>
        <v>649.80000000000007</v>
      </c>
      <c r="F36" s="158" t="s">
        <v>10</v>
      </c>
      <c r="G36" s="159">
        <v>1902</v>
      </c>
      <c r="H36" s="173">
        <f>E36*G36</f>
        <v>1235919.6000000001</v>
      </c>
      <c r="I36" s="226"/>
      <c r="J36" s="227"/>
    </row>
    <row r="37" spans="1:10" ht="24.95" customHeight="1">
      <c r="A37" s="237" t="s">
        <v>227</v>
      </c>
      <c r="B37" s="237"/>
      <c r="C37" s="130"/>
      <c r="D37" s="130"/>
      <c r="E37" s="130">
        <f>E38</f>
        <v>389.88000000000005</v>
      </c>
      <c r="F37" s="129"/>
      <c r="G37" s="131"/>
      <c r="H37" s="131">
        <f>H38</f>
        <v>204492.06000000003</v>
      </c>
      <c r="I37" s="220"/>
      <c r="J37" s="221"/>
    </row>
    <row r="38" spans="1:10" ht="30" customHeight="1">
      <c r="A38" s="213" t="s">
        <v>228</v>
      </c>
      <c r="B38" s="213"/>
      <c r="C38" s="11"/>
      <c r="D38" s="11"/>
      <c r="E38" s="11">
        <f>(E35+E36)*20%</f>
        <v>389.88000000000005</v>
      </c>
      <c r="F38" s="160" t="s">
        <v>10</v>
      </c>
      <c r="G38" s="12">
        <v>524.5</v>
      </c>
      <c r="H38" s="9">
        <f>E38*G38</f>
        <v>204492.06000000003</v>
      </c>
      <c r="I38" s="228" t="s">
        <v>325</v>
      </c>
      <c r="J38" s="229"/>
    </row>
    <row r="39" spans="1:10" ht="24.95" customHeight="1">
      <c r="A39" s="237" t="s">
        <v>229</v>
      </c>
      <c r="B39" s="237"/>
      <c r="C39" s="130"/>
      <c r="D39" s="130"/>
      <c r="E39" s="130"/>
      <c r="F39" s="129"/>
      <c r="G39" s="131"/>
      <c r="H39" s="131">
        <f>SUM(H40:H49)</f>
        <v>1038725.5</v>
      </c>
      <c r="I39" s="220"/>
      <c r="J39" s="221"/>
    </row>
    <row r="40" spans="1:10" ht="24.95" customHeight="1">
      <c r="A40" s="213" t="s">
        <v>309</v>
      </c>
      <c r="B40" s="213"/>
      <c r="C40" s="161"/>
      <c r="D40" s="161">
        <v>1000</v>
      </c>
      <c r="E40" s="161"/>
      <c r="F40" s="160" t="s">
        <v>10</v>
      </c>
      <c r="G40" s="12">
        <v>134</v>
      </c>
      <c r="H40" s="9">
        <f>SUM(D40*G40)</f>
        <v>134000</v>
      </c>
      <c r="I40" s="214"/>
      <c r="J40" s="215"/>
    </row>
    <row r="41" spans="1:10" ht="24.95" customHeight="1">
      <c r="A41" s="213" t="s">
        <v>47</v>
      </c>
      <c r="B41" s="213"/>
      <c r="C41" s="161"/>
      <c r="D41" s="161">
        <v>10</v>
      </c>
      <c r="E41" s="161"/>
      <c r="F41" s="160" t="s">
        <v>12</v>
      </c>
      <c r="G41" s="12">
        <v>6627</v>
      </c>
      <c r="H41" s="9">
        <f t="shared" ref="H41:H42" si="4">SUM(D41*G41)</f>
        <v>66270</v>
      </c>
      <c r="I41" s="222"/>
      <c r="J41" s="223"/>
    </row>
    <row r="42" spans="1:10" ht="24.95" customHeight="1">
      <c r="A42" s="213" t="s">
        <v>253</v>
      </c>
      <c r="B42" s="213"/>
      <c r="C42" s="161" t="s">
        <v>21</v>
      </c>
      <c r="D42" s="161">
        <v>1</v>
      </c>
      <c r="E42" s="161"/>
      <c r="F42" s="160" t="s">
        <v>11</v>
      </c>
      <c r="G42" s="12">
        <v>121967</v>
      </c>
      <c r="H42" s="9">
        <f t="shared" si="4"/>
        <v>121967</v>
      </c>
      <c r="I42" s="214"/>
      <c r="J42" s="215"/>
    </row>
    <row r="43" spans="1:10" ht="24.95" customHeight="1">
      <c r="A43" s="213" t="s">
        <v>28</v>
      </c>
      <c r="B43" s="213"/>
      <c r="C43" s="161"/>
      <c r="D43" s="161">
        <v>500</v>
      </c>
      <c r="E43" s="161"/>
      <c r="F43" s="160" t="s">
        <v>10</v>
      </c>
      <c r="G43" s="9">
        <v>164</v>
      </c>
      <c r="H43" s="9">
        <f t="shared" ref="H43" si="5">SUM(D43*G43)</f>
        <v>82000</v>
      </c>
      <c r="I43" s="214"/>
      <c r="J43" s="215"/>
    </row>
    <row r="44" spans="1:10" ht="24.95" customHeight="1">
      <c r="A44" s="246" t="s">
        <v>30</v>
      </c>
      <c r="B44" s="246"/>
      <c r="C44" s="163"/>
      <c r="D44" s="163">
        <v>500</v>
      </c>
      <c r="E44" s="163"/>
      <c r="F44" s="162" t="s">
        <v>10</v>
      </c>
      <c r="G44" s="114">
        <v>172</v>
      </c>
      <c r="H44" s="114">
        <f t="shared" ref="H44:H48" si="6">SUM(D44*G44)</f>
        <v>86000</v>
      </c>
      <c r="I44" s="224"/>
      <c r="J44" s="225"/>
    </row>
    <row r="45" spans="1:10" ht="24.95" customHeight="1">
      <c r="A45" s="213" t="s">
        <v>29</v>
      </c>
      <c r="B45" s="213"/>
      <c r="C45" s="161"/>
      <c r="D45" s="161">
        <v>10</v>
      </c>
      <c r="E45" s="161"/>
      <c r="F45" s="160" t="s">
        <v>9</v>
      </c>
      <c r="G45" s="9">
        <f>494277/20</f>
        <v>24713.85</v>
      </c>
      <c r="H45" s="9">
        <f t="shared" si="6"/>
        <v>247138.5</v>
      </c>
      <c r="I45" s="214"/>
      <c r="J45" s="215"/>
    </row>
    <row r="46" spans="1:10" ht="24.95" customHeight="1">
      <c r="A46" s="216" t="s">
        <v>326</v>
      </c>
      <c r="B46" s="217"/>
      <c r="C46" s="161"/>
      <c r="D46" s="161">
        <v>1</v>
      </c>
      <c r="E46" s="161"/>
      <c r="F46" s="212" t="s">
        <v>327</v>
      </c>
      <c r="G46" s="9"/>
      <c r="H46" s="9"/>
      <c r="I46" s="214"/>
      <c r="J46" s="215"/>
    </row>
    <row r="47" spans="1:10" ht="24.95" customHeight="1">
      <c r="A47" s="213" t="s">
        <v>266</v>
      </c>
      <c r="B47" s="213"/>
      <c r="C47" s="161"/>
      <c r="D47" s="161">
        <v>1</v>
      </c>
      <c r="E47" s="161"/>
      <c r="F47" s="160" t="s">
        <v>11</v>
      </c>
      <c r="G47" s="12">
        <v>300000</v>
      </c>
      <c r="H47" s="9">
        <f t="shared" si="6"/>
        <v>300000</v>
      </c>
      <c r="I47" s="214"/>
      <c r="J47" s="215"/>
    </row>
    <row r="48" spans="1:10" ht="24.95" customHeight="1">
      <c r="A48" s="216" t="s">
        <v>330</v>
      </c>
      <c r="B48" s="217"/>
      <c r="C48" s="161"/>
      <c r="D48" s="161">
        <v>1</v>
      </c>
      <c r="E48" s="161"/>
      <c r="F48" s="212" t="s">
        <v>332</v>
      </c>
      <c r="G48" s="12">
        <v>1350</v>
      </c>
      <c r="H48" s="9">
        <f t="shared" si="6"/>
        <v>1350</v>
      </c>
      <c r="I48" s="214"/>
      <c r="J48" s="215"/>
    </row>
    <row r="49" spans="1:10" ht="24.95" customHeight="1">
      <c r="A49" s="216" t="s">
        <v>331</v>
      </c>
      <c r="B49" s="217"/>
      <c r="C49" s="161"/>
      <c r="D49" s="161">
        <v>1</v>
      </c>
      <c r="E49" s="161"/>
      <c r="F49" s="212" t="s">
        <v>333</v>
      </c>
      <c r="G49" s="12"/>
      <c r="H49" s="9"/>
      <c r="I49" s="214"/>
      <c r="J49" s="215"/>
    </row>
    <row r="50" spans="1:10" ht="24.95" customHeight="1">
      <c r="A50" s="236" t="s">
        <v>230</v>
      </c>
      <c r="B50" s="236"/>
      <c r="C50" s="132"/>
      <c r="D50" s="132"/>
      <c r="E50" s="132"/>
      <c r="F50" s="164"/>
      <c r="G50" s="131"/>
      <c r="H50" s="131">
        <f>SUM(H51:H56)</f>
        <v>606460</v>
      </c>
      <c r="I50" s="220"/>
      <c r="J50" s="221"/>
    </row>
    <row r="51" spans="1:10" ht="24.95" customHeight="1">
      <c r="A51" s="213" t="s">
        <v>334</v>
      </c>
      <c r="B51" s="213"/>
      <c r="C51" s="161"/>
      <c r="D51" s="161">
        <v>500</v>
      </c>
      <c r="E51" s="161"/>
      <c r="F51" s="212" t="s">
        <v>10</v>
      </c>
      <c r="G51" s="12">
        <v>172</v>
      </c>
      <c r="H51" s="9">
        <f t="shared" ref="H51:H52" si="7">SUM(D51*G51)</f>
        <v>86000</v>
      </c>
      <c r="I51" s="214"/>
      <c r="J51" s="215"/>
    </row>
    <row r="52" spans="1:10" ht="24.95" customHeight="1">
      <c r="A52" s="216" t="s">
        <v>335</v>
      </c>
      <c r="B52" s="217"/>
      <c r="C52" s="161"/>
      <c r="D52" s="161">
        <v>300</v>
      </c>
      <c r="E52" s="161"/>
      <c r="F52" s="212" t="s">
        <v>10</v>
      </c>
      <c r="G52" s="12">
        <v>162</v>
      </c>
      <c r="H52" s="9">
        <f t="shared" si="7"/>
        <v>48600</v>
      </c>
      <c r="I52" s="214"/>
      <c r="J52" s="215"/>
    </row>
    <row r="53" spans="1:10" ht="24.95" customHeight="1">
      <c r="A53" s="213" t="s">
        <v>43</v>
      </c>
      <c r="B53" s="213"/>
      <c r="C53" s="161"/>
      <c r="D53" s="161">
        <v>120</v>
      </c>
      <c r="E53" s="161"/>
      <c r="F53" s="160" t="s">
        <v>10</v>
      </c>
      <c r="G53" s="12">
        <v>198</v>
      </c>
      <c r="H53" s="9">
        <f t="shared" ref="H53" si="8">SUM(D53*G53)</f>
        <v>23760</v>
      </c>
      <c r="I53" s="214"/>
      <c r="J53" s="215"/>
    </row>
    <row r="54" spans="1:10" ht="24.95" customHeight="1">
      <c r="A54" s="213" t="s">
        <v>48</v>
      </c>
      <c r="B54" s="213"/>
      <c r="C54" s="161"/>
      <c r="D54" s="161">
        <v>1</v>
      </c>
      <c r="E54" s="161"/>
      <c r="F54" s="160" t="s">
        <v>11</v>
      </c>
      <c r="G54" s="12">
        <v>50000</v>
      </c>
      <c r="H54" s="9">
        <f t="shared" ref="H54" si="9">SUM(D54*G54)</f>
        <v>50000</v>
      </c>
      <c r="I54" s="214"/>
      <c r="J54" s="215"/>
    </row>
    <row r="55" spans="1:10" ht="24.95" customHeight="1">
      <c r="A55" s="213" t="s">
        <v>23</v>
      </c>
      <c r="B55" s="213"/>
      <c r="C55" s="161"/>
      <c r="D55" s="165">
        <v>3000</v>
      </c>
      <c r="E55" s="165"/>
      <c r="F55" s="160" t="s">
        <v>10</v>
      </c>
      <c r="G55" s="12">
        <v>118</v>
      </c>
      <c r="H55" s="9">
        <f t="shared" ref="H55" si="10">SUM(D55*G55)</f>
        <v>354000</v>
      </c>
      <c r="I55" s="214"/>
      <c r="J55" s="215"/>
    </row>
    <row r="56" spans="1:10" ht="24.95" customHeight="1">
      <c r="A56" s="213" t="s">
        <v>42</v>
      </c>
      <c r="B56" s="213"/>
      <c r="C56" s="161"/>
      <c r="D56" s="165">
        <v>150</v>
      </c>
      <c r="E56" s="165"/>
      <c r="F56" s="160" t="s">
        <v>0</v>
      </c>
      <c r="G56" s="12">
        <v>294</v>
      </c>
      <c r="H56" s="9">
        <f t="shared" ref="H56" si="11">SUM(D56*G56)</f>
        <v>44100</v>
      </c>
      <c r="I56" s="214"/>
      <c r="J56" s="215"/>
    </row>
    <row r="57" spans="1:10" ht="24.95" customHeight="1">
      <c r="A57" s="236" t="s">
        <v>236</v>
      </c>
      <c r="B57" s="236"/>
      <c r="C57" s="132"/>
      <c r="D57" s="132"/>
      <c r="E57" s="132"/>
      <c r="F57" s="164"/>
      <c r="G57" s="131"/>
      <c r="H57" s="131">
        <f>SUM(H58:H60)</f>
        <v>660000</v>
      </c>
      <c r="I57" s="220"/>
      <c r="J57" s="221"/>
    </row>
    <row r="58" spans="1:10" ht="24.95" customHeight="1">
      <c r="A58" s="213" t="s">
        <v>238</v>
      </c>
      <c r="B58" s="213"/>
      <c r="C58" s="161"/>
      <c r="D58" s="161">
        <v>1</v>
      </c>
      <c r="E58" s="161"/>
      <c r="F58" s="160" t="s">
        <v>11</v>
      </c>
      <c r="G58" s="12">
        <v>20000</v>
      </c>
      <c r="H58" s="9">
        <f>SUM(D58*G58)</f>
        <v>20000</v>
      </c>
      <c r="I58" s="218" t="s">
        <v>254</v>
      </c>
      <c r="J58" s="219"/>
    </row>
    <row r="59" spans="1:10" ht="24.95" customHeight="1">
      <c r="A59" s="213" t="s">
        <v>239</v>
      </c>
      <c r="B59" s="213"/>
      <c r="C59" s="161"/>
      <c r="D59" s="161">
        <v>1</v>
      </c>
      <c r="E59" s="161"/>
      <c r="F59" s="160" t="s">
        <v>11</v>
      </c>
      <c r="G59" s="12">
        <v>100000</v>
      </c>
      <c r="H59" s="9">
        <f t="shared" ref="H59:H60" si="12">SUM(D59*G59)</f>
        <v>100000</v>
      </c>
      <c r="I59" s="218" t="s">
        <v>255</v>
      </c>
      <c r="J59" s="219"/>
    </row>
    <row r="60" spans="1:10" ht="24.95" customHeight="1">
      <c r="A60" s="213" t="s">
        <v>240</v>
      </c>
      <c r="B60" s="213"/>
      <c r="C60" s="161"/>
      <c r="D60" s="161">
        <v>6</v>
      </c>
      <c r="E60" s="161"/>
      <c r="F60" s="160" t="s">
        <v>9</v>
      </c>
      <c r="G60" s="12">
        <v>90000</v>
      </c>
      <c r="H60" s="9">
        <f t="shared" si="12"/>
        <v>540000</v>
      </c>
      <c r="I60" s="218" t="s">
        <v>336</v>
      </c>
      <c r="J60" s="219"/>
    </row>
    <row r="61" spans="1:10" ht="24.95" customHeight="1">
      <c r="A61" s="236" t="s">
        <v>320</v>
      </c>
      <c r="B61" s="236"/>
      <c r="C61" s="132"/>
      <c r="D61" s="132"/>
      <c r="E61" s="132"/>
      <c r="F61" s="164"/>
      <c r="G61" s="131"/>
      <c r="H61" s="131">
        <f>SUM(H62:H64)</f>
        <v>0</v>
      </c>
      <c r="I61" s="220" t="s">
        <v>319</v>
      </c>
      <c r="J61" s="221"/>
    </row>
    <row r="62" spans="1:10" ht="24.95" customHeight="1">
      <c r="A62" s="213" t="s">
        <v>289</v>
      </c>
      <c r="B62" s="213"/>
      <c r="C62" s="161"/>
      <c r="D62" s="161">
        <v>1</v>
      </c>
      <c r="E62" s="161"/>
      <c r="F62" s="160" t="s">
        <v>11</v>
      </c>
      <c r="G62" s="12"/>
      <c r="H62" s="9">
        <f>SUM(D62*G62)</f>
        <v>0</v>
      </c>
      <c r="I62" s="218"/>
      <c r="J62" s="219"/>
    </row>
    <row r="63" spans="1:10" ht="24.95" customHeight="1">
      <c r="A63" s="213" t="s">
        <v>311</v>
      </c>
      <c r="B63" s="213"/>
      <c r="C63" s="161"/>
      <c r="D63" s="161">
        <v>1</v>
      </c>
      <c r="E63" s="161"/>
      <c r="F63" s="160" t="s">
        <v>11</v>
      </c>
      <c r="G63" s="12"/>
      <c r="H63" s="9">
        <f t="shared" ref="H63:H64" si="13">SUM(D63*G63)</f>
        <v>0</v>
      </c>
      <c r="I63" s="218"/>
      <c r="J63" s="219"/>
    </row>
    <row r="64" spans="1:10" ht="24.95" customHeight="1">
      <c r="A64" s="213" t="s">
        <v>312</v>
      </c>
      <c r="B64" s="213"/>
      <c r="C64" s="161"/>
      <c r="D64" s="161">
        <v>6</v>
      </c>
      <c r="E64" s="161"/>
      <c r="F64" s="160" t="s">
        <v>9</v>
      </c>
      <c r="G64" s="12"/>
      <c r="H64" s="9">
        <f t="shared" si="13"/>
        <v>0</v>
      </c>
      <c r="I64" s="218"/>
      <c r="J64" s="219"/>
    </row>
    <row r="65" spans="1:10" ht="24.95" customHeight="1">
      <c r="A65" s="236" t="s">
        <v>313</v>
      </c>
      <c r="B65" s="236"/>
      <c r="C65" s="132"/>
      <c r="D65" s="132"/>
      <c r="E65" s="132"/>
      <c r="F65" s="164"/>
      <c r="G65" s="131"/>
      <c r="H65" s="131">
        <f>SUM(H66:H75)</f>
        <v>413508</v>
      </c>
      <c r="I65" s="220"/>
      <c r="J65" s="221"/>
    </row>
    <row r="66" spans="1:10" ht="24.95" customHeight="1">
      <c r="A66" s="268" t="s">
        <v>274</v>
      </c>
      <c r="B66" s="191" t="s">
        <v>231</v>
      </c>
      <c r="C66" s="161"/>
      <c r="D66" s="161">
        <v>1</v>
      </c>
      <c r="E66" s="161"/>
      <c r="F66" s="160" t="s">
        <v>11</v>
      </c>
      <c r="G66" s="12">
        <v>165697</v>
      </c>
      <c r="H66" s="9">
        <f>SUM(D66*G66)</f>
        <v>165697</v>
      </c>
      <c r="I66" s="218" t="s">
        <v>265</v>
      </c>
      <c r="J66" s="219"/>
    </row>
    <row r="67" spans="1:10" ht="24.95" customHeight="1">
      <c r="A67" s="269"/>
      <c r="B67" s="191" t="s">
        <v>33</v>
      </c>
      <c r="C67" s="161"/>
      <c r="D67" s="161">
        <v>1</v>
      </c>
      <c r="E67" s="161"/>
      <c r="F67" s="160" t="s">
        <v>11</v>
      </c>
      <c r="G67" s="12">
        <f>INT((G66)*10%)</f>
        <v>16569</v>
      </c>
      <c r="H67" s="9">
        <f t="shared" ref="H67:H74" si="14">SUM(D67*G67)</f>
        <v>16569</v>
      </c>
      <c r="I67" s="218" t="s">
        <v>264</v>
      </c>
      <c r="J67" s="219"/>
    </row>
    <row r="68" spans="1:10" ht="24.95" customHeight="1">
      <c r="A68" s="269"/>
      <c r="B68" s="191" t="s">
        <v>34</v>
      </c>
      <c r="C68" s="161"/>
      <c r="D68" s="161">
        <v>1</v>
      </c>
      <c r="E68" s="161"/>
      <c r="F68" s="160" t="s">
        <v>11</v>
      </c>
      <c r="G68" s="12">
        <f>INT((G66)*9%)</f>
        <v>14912</v>
      </c>
      <c r="H68" s="9">
        <f t="shared" ref="H68:H69" si="15">SUM(D68*G68)</f>
        <v>14912</v>
      </c>
      <c r="I68" s="218" t="s">
        <v>256</v>
      </c>
      <c r="J68" s="219"/>
    </row>
    <row r="69" spans="1:10" ht="24.95" customHeight="1">
      <c r="A69" s="270"/>
      <c r="B69" s="190" t="s">
        <v>257</v>
      </c>
      <c r="C69" s="161"/>
      <c r="D69" s="161">
        <v>1</v>
      </c>
      <c r="E69" s="161"/>
      <c r="F69" s="160" t="s">
        <v>11</v>
      </c>
      <c r="G69" s="12">
        <v>20000</v>
      </c>
      <c r="H69" s="9">
        <f t="shared" si="15"/>
        <v>20000</v>
      </c>
      <c r="I69" s="218" t="s">
        <v>256</v>
      </c>
      <c r="J69" s="219"/>
    </row>
    <row r="70" spans="1:10" ht="24.95" customHeight="1">
      <c r="A70" s="268" t="s">
        <v>275</v>
      </c>
      <c r="B70" s="191" t="s">
        <v>24</v>
      </c>
      <c r="C70" s="161"/>
      <c r="D70" s="161">
        <v>1</v>
      </c>
      <c r="E70" s="161"/>
      <c r="F70" s="160" t="s">
        <v>11</v>
      </c>
      <c r="G70" s="12">
        <v>50000</v>
      </c>
      <c r="H70" s="9">
        <f>SUM(D70*G70)</f>
        <v>50000</v>
      </c>
      <c r="I70" s="271" t="s">
        <v>324</v>
      </c>
      <c r="J70" s="272"/>
    </row>
    <row r="71" spans="1:10" ht="24.95" customHeight="1">
      <c r="A71" s="269"/>
      <c r="B71" s="191" t="s">
        <v>39</v>
      </c>
      <c r="C71" s="161"/>
      <c r="D71" s="161">
        <v>1</v>
      </c>
      <c r="E71" s="161"/>
      <c r="F71" s="160" t="s">
        <v>11</v>
      </c>
      <c r="G71" s="12">
        <v>40000</v>
      </c>
      <c r="H71" s="9">
        <f>SUM(D71*G71)</f>
        <v>40000</v>
      </c>
      <c r="I71" s="273"/>
      <c r="J71" s="274"/>
    </row>
    <row r="72" spans="1:10" ht="24.95" customHeight="1">
      <c r="A72" s="269"/>
      <c r="B72" s="191" t="s">
        <v>25</v>
      </c>
      <c r="C72" s="161"/>
      <c r="D72" s="161">
        <v>1</v>
      </c>
      <c r="E72" s="161"/>
      <c r="F72" s="160" t="s">
        <v>11</v>
      </c>
      <c r="G72" s="12">
        <v>42720</v>
      </c>
      <c r="H72" s="9">
        <f>SUM(D72*G72)</f>
        <v>42720</v>
      </c>
      <c r="I72" s="273"/>
      <c r="J72" s="274"/>
    </row>
    <row r="73" spans="1:10" ht="24.95" customHeight="1">
      <c r="A73" s="269"/>
      <c r="B73" s="191" t="s">
        <v>44</v>
      </c>
      <c r="C73" s="161"/>
      <c r="D73" s="161">
        <v>1</v>
      </c>
      <c r="E73" s="161"/>
      <c r="F73" s="160" t="s">
        <v>11</v>
      </c>
      <c r="G73" s="12">
        <v>29164</v>
      </c>
      <c r="H73" s="9">
        <f t="shared" ref="H73" si="16">SUM(D73*G73)</f>
        <v>29164</v>
      </c>
      <c r="I73" s="273"/>
      <c r="J73" s="274"/>
    </row>
    <row r="74" spans="1:10" ht="24.95" customHeight="1">
      <c r="A74" s="269"/>
      <c r="B74" s="192" t="s">
        <v>45</v>
      </c>
      <c r="C74" s="163"/>
      <c r="D74" s="163">
        <v>1</v>
      </c>
      <c r="E74" s="163"/>
      <c r="F74" s="162" t="s">
        <v>11</v>
      </c>
      <c r="G74" s="114">
        <v>27446</v>
      </c>
      <c r="H74" s="114">
        <f t="shared" si="14"/>
        <v>27446</v>
      </c>
      <c r="I74" s="273"/>
      <c r="J74" s="274"/>
    </row>
    <row r="75" spans="1:10" ht="24.95" customHeight="1">
      <c r="A75" s="270"/>
      <c r="B75" s="192" t="s">
        <v>31</v>
      </c>
      <c r="C75" s="163"/>
      <c r="D75" s="163">
        <v>1</v>
      </c>
      <c r="E75" s="163"/>
      <c r="F75" s="162" t="s">
        <v>11</v>
      </c>
      <c r="G75" s="114">
        <v>7000</v>
      </c>
      <c r="H75" s="114">
        <f t="shared" ref="H75:H76" si="17">SUM(D75*G75)</f>
        <v>7000</v>
      </c>
      <c r="I75" s="275"/>
      <c r="J75" s="276"/>
    </row>
    <row r="76" spans="1:10" ht="24.95" customHeight="1">
      <c r="A76" s="236" t="s">
        <v>314</v>
      </c>
      <c r="B76" s="236"/>
      <c r="C76" s="132"/>
      <c r="D76" s="132">
        <v>1</v>
      </c>
      <c r="E76" s="132"/>
      <c r="F76" s="164" t="s">
        <v>11</v>
      </c>
      <c r="G76" s="131"/>
      <c r="H76" s="131">
        <f t="shared" si="17"/>
        <v>0</v>
      </c>
      <c r="I76" s="220" t="s">
        <v>323</v>
      </c>
      <c r="J76" s="221"/>
    </row>
    <row r="77" spans="1:10" ht="21" customHeight="1">
      <c r="A77" s="25"/>
      <c r="B77" s="25"/>
      <c r="C77" s="26"/>
      <c r="D77" s="26"/>
      <c r="E77" s="26"/>
      <c r="F77" s="25"/>
      <c r="G77" s="27"/>
      <c r="H77" s="174"/>
      <c r="I77" s="174"/>
      <c r="J77" s="24"/>
    </row>
    <row r="78" spans="1:10" ht="21" customHeight="1">
      <c r="A78" s="119" t="s">
        <v>32</v>
      </c>
      <c r="B78" s="120"/>
      <c r="C78" s="121"/>
      <c r="D78" s="121"/>
      <c r="E78" s="121"/>
      <c r="F78" s="120"/>
      <c r="G78" s="122"/>
      <c r="H78" s="175"/>
      <c r="I78" s="175"/>
      <c r="J78" s="123"/>
    </row>
    <row r="79" spans="1:10" ht="21" customHeight="1">
      <c r="A79" s="119" t="s">
        <v>258</v>
      </c>
      <c r="B79" s="120"/>
      <c r="C79" s="121"/>
      <c r="D79" s="121"/>
      <c r="E79" s="121"/>
      <c r="F79" s="120"/>
      <c r="G79" s="122"/>
      <c r="H79" s="175"/>
      <c r="I79" s="175"/>
      <c r="J79" s="123"/>
    </row>
    <row r="80" spans="1:10" ht="21" customHeight="1">
      <c r="A80" s="267" t="s">
        <v>341</v>
      </c>
      <c r="B80" s="267"/>
      <c r="C80" s="267"/>
      <c r="D80" s="267"/>
      <c r="E80" s="267"/>
      <c r="F80" s="267"/>
      <c r="G80" s="267"/>
      <c r="H80" s="267"/>
      <c r="I80" s="267"/>
      <c r="J80" s="267"/>
    </row>
    <row r="81" spans="1:10" ht="21" customHeight="1">
      <c r="A81" s="266" t="s">
        <v>232</v>
      </c>
      <c r="B81" s="266"/>
      <c r="C81" s="266"/>
      <c r="D81" s="266"/>
      <c r="E81" s="266"/>
      <c r="F81" s="266"/>
      <c r="G81" s="266"/>
      <c r="H81" s="266"/>
      <c r="I81" s="266"/>
      <c r="J81" s="266"/>
    </row>
    <row r="82" spans="1:10" ht="21" customHeight="1">
      <c r="A82" s="124"/>
      <c r="B82" s="125"/>
      <c r="C82" s="125"/>
      <c r="D82" s="125"/>
      <c r="E82" s="125"/>
      <c r="F82" s="125"/>
      <c r="G82" s="125"/>
      <c r="H82" s="176"/>
      <c r="I82" s="176"/>
      <c r="J82" s="125"/>
    </row>
    <row r="83" spans="1:10" ht="24.95" customHeight="1">
      <c r="C83" s="15"/>
      <c r="D83" s="15"/>
      <c r="E83" s="15"/>
      <c r="F83" s="14"/>
    </row>
    <row r="84" spans="1:10" ht="24.95" customHeight="1">
      <c r="C84" s="15"/>
      <c r="D84" s="15"/>
      <c r="E84" s="15"/>
      <c r="F84" s="14"/>
    </row>
    <row r="85" spans="1:10" ht="24.95" customHeight="1">
      <c r="C85" s="15"/>
      <c r="D85" s="15"/>
      <c r="E85" s="15"/>
      <c r="F85" s="14"/>
    </row>
    <row r="86" spans="1:10" ht="24.95" customHeight="1">
      <c r="C86" s="15"/>
      <c r="D86" s="15"/>
      <c r="E86" s="15"/>
      <c r="F86" s="14"/>
    </row>
    <row r="87" spans="1:10" ht="24.95" customHeight="1">
      <c r="C87" s="15"/>
      <c r="D87" s="15"/>
      <c r="E87" s="15"/>
      <c r="F87" s="14"/>
    </row>
    <row r="88" spans="1:10" ht="24.95" customHeight="1">
      <c r="C88" s="15"/>
      <c r="D88" s="15"/>
      <c r="E88" s="15"/>
      <c r="F88" s="14"/>
    </row>
    <row r="89" spans="1:10" ht="24.95" customHeight="1">
      <c r="B89" s="16"/>
      <c r="C89" s="15"/>
      <c r="D89" s="15"/>
      <c r="E89" s="15"/>
      <c r="F89" s="14"/>
    </row>
    <row r="90" spans="1:10" ht="24.95" customHeight="1">
      <c r="B90" s="17"/>
      <c r="C90" s="15"/>
      <c r="D90" s="15"/>
      <c r="E90" s="15"/>
      <c r="F90" s="14"/>
    </row>
    <row r="91" spans="1:10" ht="24.95" customHeight="1">
      <c r="C91" s="15"/>
      <c r="D91" s="15"/>
      <c r="E91" s="15"/>
      <c r="F91" s="14"/>
      <c r="J91" s="4" t="s">
        <v>22</v>
      </c>
    </row>
    <row r="92" spans="1:10" ht="24.95" customHeight="1">
      <c r="B92" s="14"/>
      <c r="C92" s="15"/>
      <c r="D92" s="15"/>
      <c r="E92" s="15"/>
      <c r="F92" s="14"/>
      <c r="J92" s="18"/>
    </row>
    <row r="93" spans="1:10" ht="24.95" customHeight="1">
      <c r="B93" s="7"/>
      <c r="C93" s="15"/>
      <c r="D93" s="15"/>
      <c r="E93" s="15"/>
      <c r="F93" s="14"/>
    </row>
    <row r="94" spans="1:10" ht="24.95" customHeight="1">
      <c r="A94" s="4"/>
      <c r="B94" s="17"/>
      <c r="C94" s="15"/>
      <c r="D94" s="15"/>
      <c r="E94" s="15"/>
      <c r="F94" s="14"/>
    </row>
    <row r="95" spans="1:10" ht="24.95" customHeight="1">
      <c r="A95" s="4"/>
      <c r="B95" s="17"/>
      <c r="C95" s="15"/>
      <c r="D95" s="15"/>
      <c r="E95" s="15"/>
      <c r="F95" s="14"/>
    </row>
    <row r="96" spans="1:10" ht="24.95" customHeight="1">
      <c r="C96" s="15"/>
      <c r="D96" s="15"/>
      <c r="E96" s="15"/>
      <c r="F96" s="14"/>
    </row>
    <row r="97" spans="1:10" ht="20.100000000000001" customHeight="1">
      <c r="B97" s="14"/>
      <c r="C97" s="19"/>
      <c r="D97" s="6"/>
      <c r="E97" s="6"/>
      <c r="F97" s="15"/>
      <c r="G97" s="6"/>
      <c r="J97"/>
    </row>
    <row r="98" spans="1:10" ht="20.100000000000001" customHeight="1">
      <c r="B98" s="14"/>
      <c r="C98" s="19"/>
      <c r="D98" s="6"/>
      <c r="E98" s="6"/>
      <c r="F98" s="15"/>
      <c r="G98" s="6"/>
      <c r="J98"/>
    </row>
    <row r="99" spans="1:10" ht="20.100000000000001" customHeight="1">
      <c r="C99" s="15"/>
      <c r="D99" s="15"/>
      <c r="E99" s="15"/>
      <c r="F99" s="14"/>
      <c r="G99" s="19"/>
      <c r="H99" s="19"/>
      <c r="I99" s="19"/>
    </row>
    <row r="100" spans="1:10" ht="20.100000000000001" customHeight="1">
      <c r="C100" s="15"/>
      <c r="D100" s="15"/>
      <c r="E100" s="15"/>
      <c r="F100" s="14"/>
      <c r="G100" s="19"/>
      <c r="H100" s="19"/>
      <c r="I100" s="19"/>
    </row>
    <row r="101" spans="1:10" ht="20.100000000000001" customHeight="1">
      <c r="C101" s="15"/>
      <c r="D101" s="15"/>
      <c r="E101" s="15"/>
      <c r="F101" s="14"/>
      <c r="G101" s="19"/>
      <c r="H101" s="19"/>
      <c r="I101" s="19"/>
    </row>
    <row r="102" spans="1:10" ht="20.100000000000001" customHeight="1">
      <c r="C102" s="15"/>
      <c r="D102" s="15"/>
      <c r="E102" s="15"/>
      <c r="F102" s="14"/>
      <c r="G102" s="19"/>
      <c r="H102" s="19"/>
      <c r="I102" s="19"/>
    </row>
    <row r="103" spans="1:10" ht="20.100000000000001" customHeight="1">
      <c r="C103" s="15"/>
      <c r="D103" s="15"/>
      <c r="E103" s="15"/>
      <c r="F103" s="14"/>
      <c r="G103" s="19"/>
      <c r="H103" s="19"/>
      <c r="I103" s="19"/>
    </row>
    <row r="104" spans="1:10" ht="20.100000000000001" customHeight="1">
      <c r="C104" s="15"/>
      <c r="D104" s="15"/>
      <c r="E104" s="15"/>
      <c r="F104" s="14"/>
      <c r="G104" s="19"/>
      <c r="H104" s="19"/>
      <c r="I104" s="19"/>
    </row>
    <row r="105" spans="1:10" ht="20.100000000000001" customHeight="1">
      <c r="C105" s="15"/>
      <c r="D105" s="15"/>
      <c r="E105" s="15"/>
      <c r="F105" s="14"/>
      <c r="G105" s="19"/>
      <c r="H105" s="19"/>
      <c r="I105" s="19"/>
    </row>
    <row r="106" spans="1:10" ht="20.100000000000001" customHeight="1">
      <c r="C106" s="15"/>
      <c r="D106" s="15"/>
      <c r="E106" s="15"/>
      <c r="F106" s="14"/>
      <c r="G106" s="19"/>
      <c r="H106" s="19"/>
      <c r="I106" s="19"/>
    </row>
    <row r="107" spans="1:10" ht="20.100000000000001" customHeight="1">
      <c r="C107" s="15"/>
      <c r="D107" s="15"/>
      <c r="E107" s="15"/>
      <c r="F107" s="14"/>
      <c r="G107" s="19"/>
      <c r="H107" s="19"/>
      <c r="I107" s="19"/>
    </row>
    <row r="108" spans="1:10" ht="20.100000000000001" customHeight="1">
      <c r="C108" s="15"/>
      <c r="D108" s="15"/>
      <c r="E108" s="15"/>
      <c r="F108" s="14"/>
      <c r="G108" s="19"/>
      <c r="H108" s="19"/>
      <c r="I108" s="19"/>
    </row>
    <row r="109" spans="1:10" ht="20.100000000000001" customHeight="1">
      <c r="C109" s="15"/>
      <c r="D109" s="15"/>
      <c r="E109" s="15"/>
      <c r="F109" s="14"/>
      <c r="G109" s="19"/>
      <c r="H109" s="19"/>
      <c r="I109" s="19"/>
    </row>
    <row r="110" spans="1:10" ht="20.100000000000001" customHeight="1">
      <c r="C110" s="15"/>
      <c r="D110" s="15"/>
      <c r="E110" s="15"/>
      <c r="F110" s="14"/>
      <c r="G110" s="19"/>
      <c r="H110" s="19"/>
      <c r="I110" s="19"/>
    </row>
    <row r="111" spans="1:10" s="1" customFormat="1">
      <c r="A111"/>
      <c r="B111"/>
      <c r="C111" s="15"/>
      <c r="D111" s="15"/>
      <c r="E111" s="15"/>
      <c r="F111" s="14"/>
      <c r="G111" s="19"/>
      <c r="H111" s="19"/>
      <c r="I111" s="19"/>
      <c r="J111" s="4"/>
    </row>
    <row r="112" spans="1:10" s="1" customFormat="1">
      <c r="A112"/>
      <c r="B112"/>
      <c r="C112" s="15"/>
      <c r="D112" s="15"/>
      <c r="E112" s="15"/>
      <c r="F112" s="14"/>
      <c r="G112" s="19"/>
      <c r="H112" s="19"/>
      <c r="I112" s="19"/>
      <c r="J112" s="4"/>
    </row>
    <row r="113" spans="1:10" s="1" customFormat="1">
      <c r="A113"/>
      <c r="B113"/>
      <c r="C113" s="15"/>
      <c r="D113" s="15"/>
      <c r="E113" s="15"/>
      <c r="F113" s="14"/>
      <c r="G113" s="19"/>
      <c r="H113" s="19"/>
      <c r="I113" s="19"/>
      <c r="J113" s="4"/>
    </row>
    <row r="114" spans="1:10" s="1" customFormat="1">
      <c r="A114"/>
      <c r="B114"/>
      <c r="C114" s="15"/>
      <c r="D114" s="15"/>
      <c r="E114" s="15"/>
      <c r="F114" s="14"/>
      <c r="G114" s="19"/>
      <c r="H114" s="19"/>
      <c r="I114" s="19"/>
      <c r="J114" s="4"/>
    </row>
    <row r="115" spans="1:10" s="1" customFormat="1">
      <c r="A115"/>
      <c r="B115"/>
      <c r="C115" s="15"/>
      <c r="D115" s="15"/>
      <c r="E115" s="15"/>
      <c r="F115" s="14"/>
      <c r="G115" s="19"/>
      <c r="H115" s="19"/>
      <c r="I115" s="19"/>
      <c r="J115" s="4"/>
    </row>
    <row r="116" spans="1:10" s="1" customFormat="1">
      <c r="A116"/>
      <c r="B116"/>
      <c r="C116" s="15"/>
      <c r="D116" s="15"/>
      <c r="E116" s="15"/>
      <c r="F116" s="14"/>
      <c r="G116" s="6"/>
      <c r="H116" s="19"/>
      <c r="I116" s="19"/>
      <c r="J116" s="4"/>
    </row>
    <row r="117" spans="1:10" s="1" customFormat="1">
      <c r="A117"/>
      <c r="B117"/>
      <c r="C117" s="15"/>
      <c r="D117" s="15"/>
      <c r="E117" s="15"/>
      <c r="F117" s="14"/>
      <c r="G117" s="6"/>
      <c r="H117" s="19"/>
      <c r="I117" s="19"/>
      <c r="J117" s="4"/>
    </row>
    <row r="118" spans="1:10" s="1" customFormat="1">
      <c r="A118"/>
      <c r="B118"/>
      <c r="C118" s="15"/>
      <c r="D118" s="15"/>
      <c r="E118" s="15"/>
      <c r="F118" s="14"/>
      <c r="G118" s="6"/>
      <c r="H118" s="19"/>
      <c r="I118" s="19"/>
      <c r="J118" s="4"/>
    </row>
    <row r="119" spans="1:10" s="1" customFormat="1">
      <c r="A119"/>
      <c r="B119"/>
      <c r="C119" s="15"/>
      <c r="D119" s="15"/>
      <c r="E119" s="15"/>
      <c r="F119" s="14"/>
      <c r="G119" s="6"/>
      <c r="H119" s="19"/>
      <c r="I119" s="19"/>
      <c r="J119" s="4"/>
    </row>
    <row r="120" spans="1:10" s="1" customFormat="1">
      <c r="A120"/>
      <c r="B120"/>
      <c r="C120" s="15"/>
      <c r="D120" s="15"/>
      <c r="E120" s="15"/>
      <c r="F120" s="14"/>
      <c r="G120" s="6"/>
      <c r="H120" s="19"/>
      <c r="I120" s="19"/>
      <c r="J120" s="4"/>
    </row>
    <row r="121" spans="1:10" s="1" customFormat="1">
      <c r="A121"/>
      <c r="B121"/>
      <c r="C121" s="15"/>
      <c r="D121" s="15"/>
      <c r="E121" s="15"/>
      <c r="F121" s="14"/>
      <c r="G121" s="6"/>
      <c r="H121" s="19"/>
      <c r="I121" s="19"/>
      <c r="J121" s="4"/>
    </row>
    <row r="122" spans="1:10" s="1" customFormat="1">
      <c r="A122"/>
      <c r="B122"/>
      <c r="C122" s="15"/>
      <c r="D122" s="15"/>
      <c r="E122" s="15"/>
      <c r="F122" s="14"/>
      <c r="G122" s="6"/>
      <c r="H122" s="19"/>
      <c r="I122" s="19"/>
      <c r="J122" s="4"/>
    </row>
    <row r="123" spans="1:10" s="1" customFormat="1">
      <c r="A123"/>
      <c r="B123"/>
      <c r="C123" s="15"/>
      <c r="D123" s="15"/>
      <c r="E123" s="15"/>
      <c r="F123" s="14"/>
      <c r="G123" s="6"/>
      <c r="H123" s="19"/>
      <c r="I123" s="19"/>
      <c r="J123" s="4"/>
    </row>
    <row r="124" spans="1:10" s="1" customFormat="1">
      <c r="A124"/>
      <c r="B124"/>
      <c r="C124" s="15"/>
      <c r="D124" s="15"/>
      <c r="E124" s="15"/>
      <c r="F124" s="14"/>
      <c r="G124" s="6"/>
      <c r="H124" s="19"/>
      <c r="I124" s="19"/>
      <c r="J124" s="4"/>
    </row>
    <row r="125" spans="1:10" s="1" customFormat="1">
      <c r="A125"/>
      <c r="B125"/>
      <c r="C125" s="15"/>
      <c r="D125" s="15"/>
      <c r="E125" s="15"/>
      <c r="F125" s="14"/>
      <c r="G125" s="6"/>
      <c r="H125" s="19"/>
      <c r="I125" s="19"/>
      <c r="J125" s="4"/>
    </row>
    <row r="126" spans="1:10" s="1" customFormat="1">
      <c r="A126"/>
      <c r="B126"/>
      <c r="C126" s="15"/>
      <c r="D126" s="15"/>
      <c r="E126" s="15"/>
      <c r="F126" s="14"/>
      <c r="G126" s="6"/>
      <c r="H126" s="19"/>
      <c r="I126" s="19"/>
      <c r="J126" s="4"/>
    </row>
    <row r="127" spans="1:10" s="1" customFormat="1">
      <c r="A127"/>
      <c r="B127"/>
      <c r="C127" s="15"/>
      <c r="D127" s="15"/>
      <c r="E127" s="15"/>
      <c r="F127" s="14"/>
      <c r="G127" s="6"/>
      <c r="H127" s="19"/>
      <c r="I127" s="19"/>
      <c r="J127" s="4"/>
    </row>
    <row r="128" spans="1:10" s="1" customFormat="1">
      <c r="A128"/>
      <c r="B128"/>
      <c r="C128" s="15"/>
      <c r="D128" s="15"/>
      <c r="E128" s="15"/>
      <c r="F128" s="14"/>
      <c r="G128" s="6"/>
      <c r="H128" s="19"/>
      <c r="I128" s="19"/>
      <c r="J128" s="4"/>
    </row>
    <row r="129" spans="1:10" s="1" customFormat="1">
      <c r="A129"/>
      <c r="B129"/>
      <c r="C129" s="15"/>
      <c r="D129" s="15"/>
      <c r="E129" s="15"/>
      <c r="F129" s="14"/>
      <c r="G129" s="6"/>
      <c r="H129" s="19"/>
      <c r="I129" s="19"/>
      <c r="J129" s="4"/>
    </row>
    <row r="130" spans="1:10" s="1" customFormat="1">
      <c r="A130"/>
      <c r="B130"/>
      <c r="C130" s="15"/>
      <c r="D130" s="15"/>
      <c r="E130" s="15"/>
      <c r="F130" s="14"/>
      <c r="G130" s="6"/>
      <c r="H130" s="19"/>
      <c r="I130" s="19"/>
      <c r="J130" s="4"/>
    </row>
    <row r="131" spans="1:10" s="1" customFormat="1">
      <c r="A131"/>
      <c r="B131"/>
      <c r="C131" s="15"/>
      <c r="D131" s="15"/>
      <c r="E131" s="15"/>
      <c r="F131" s="14"/>
      <c r="G131" s="6"/>
      <c r="H131" s="19"/>
      <c r="I131" s="19"/>
      <c r="J131" s="4"/>
    </row>
    <row r="132" spans="1:10" s="1" customFormat="1">
      <c r="A132"/>
      <c r="B132"/>
      <c r="C132" s="15"/>
      <c r="D132" s="15"/>
      <c r="E132" s="15"/>
      <c r="F132" s="14"/>
      <c r="G132" s="6"/>
      <c r="H132" s="19"/>
      <c r="I132" s="19"/>
      <c r="J132" s="4"/>
    </row>
    <row r="133" spans="1:10" s="1" customFormat="1">
      <c r="A133"/>
      <c r="B133"/>
      <c r="C133" s="15"/>
      <c r="D133" s="15"/>
      <c r="E133" s="15"/>
      <c r="F133" s="14"/>
      <c r="G133" s="6"/>
      <c r="H133" s="19"/>
      <c r="I133" s="19"/>
      <c r="J133" s="4"/>
    </row>
    <row r="134" spans="1:10" s="1" customFormat="1">
      <c r="A134"/>
      <c r="B134"/>
      <c r="C134" s="15"/>
      <c r="D134" s="15"/>
      <c r="E134" s="15"/>
      <c r="F134" s="14"/>
      <c r="G134" s="6"/>
      <c r="H134" s="19"/>
      <c r="I134" s="19"/>
      <c r="J134" s="4"/>
    </row>
    <row r="135" spans="1:10" s="1" customFormat="1">
      <c r="A135"/>
      <c r="B135"/>
      <c r="C135" s="15"/>
      <c r="D135" s="15"/>
      <c r="E135" s="15"/>
      <c r="F135" s="14"/>
      <c r="G135" s="6"/>
      <c r="H135" s="19"/>
      <c r="I135" s="19"/>
      <c r="J135" s="4"/>
    </row>
    <row r="136" spans="1:10" s="1" customFormat="1">
      <c r="A136"/>
      <c r="B136"/>
      <c r="C136" s="15"/>
      <c r="D136" s="15"/>
      <c r="E136" s="15"/>
      <c r="F136" s="14"/>
      <c r="G136" s="6"/>
      <c r="H136" s="19"/>
      <c r="I136" s="19"/>
      <c r="J136" s="4"/>
    </row>
    <row r="137" spans="1:10" s="1" customFormat="1">
      <c r="A137"/>
      <c r="B137"/>
      <c r="C137" s="15"/>
      <c r="D137" s="15"/>
      <c r="E137" s="15"/>
      <c r="F137" s="14"/>
      <c r="G137" s="6"/>
      <c r="H137" s="19"/>
      <c r="I137" s="19"/>
      <c r="J137" s="4"/>
    </row>
    <row r="138" spans="1:10" s="1" customFormat="1">
      <c r="A138"/>
      <c r="B138"/>
      <c r="C138" s="15"/>
      <c r="D138" s="15"/>
      <c r="E138" s="15"/>
      <c r="F138" s="14"/>
      <c r="G138" s="6"/>
      <c r="H138" s="19"/>
      <c r="I138" s="19"/>
      <c r="J138" s="4"/>
    </row>
    <row r="139" spans="1:10" s="1" customFormat="1">
      <c r="A139"/>
      <c r="B139"/>
      <c r="C139" s="15"/>
      <c r="D139" s="15"/>
      <c r="E139" s="15"/>
      <c r="F139" s="14"/>
      <c r="G139" s="6"/>
      <c r="H139" s="19"/>
      <c r="I139" s="19"/>
      <c r="J139" s="4"/>
    </row>
    <row r="140" spans="1:10" s="1" customFormat="1">
      <c r="A140"/>
      <c r="B140"/>
      <c r="C140" s="15"/>
      <c r="D140" s="15"/>
      <c r="E140" s="15"/>
      <c r="F140" s="14"/>
      <c r="G140" s="6"/>
      <c r="H140" s="19"/>
      <c r="I140" s="19"/>
      <c r="J140" s="4"/>
    </row>
    <row r="141" spans="1:10" s="1" customFormat="1">
      <c r="A141"/>
      <c r="B141"/>
      <c r="C141" s="15"/>
      <c r="D141" s="15"/>
      <c r="E141" s="15"/>
      <c r="F141" s="14"/>
      <c r="G141" s="6"/>
      <c r="H141" s="19"/>
      <c r="I141" s="19"/>
      <c r="J141" s="4"/>
    </row>
    <row r="142" spans="1:10" s="1" customFormat="1">
      <c r="A142"/>
      <c r="B142"/>
      <c r="C142" s="15"/>
      <c r="D142" s="15"/>
      <c r="E142" s="15"/>
      <c r="F142" s="14"/>
      <c r="G142" s="6"/>
      <c r="H142" s="19"/>
      <c r="I142" s="19"/>
      <c r="J142" s="4"/>
    </row>
    <row r="143" spans="1:10" s="1" customFormat="1">
      <c r="A143"/>
      <c r="B143"/>
      <c r="C143" s="15"/>
      <c r="D143" s="15"/>
      <c r="E143" s="15"/>
      <c r="F143" s="14"/>
      <c r="G143" s="6"/>
      <c r="H143" s="19"/>
      <c r="I143" s="19"/>
      <c r="J143" s="4"/>
    </row>
    <row r="144" spans="1:10" s="1" customFormat="1">
      <c r="A144"/>
      <c r="B144"/>
      <c r="C144" s="15"/>
      <c r="D144" s="15"/>
      <c r="E144" s="15"/>
      <c r="F144" s="14"/>
      <c r="G144" s="6"/>
      <c r="H144" s="19"/>
      <c r="I144" s="19"/>
      <c r="J144" s="4"/>
    </row>
    <row r="145" spans="1:10" s="1" customFormat="1">
      <c r="A145"/>
      <c r="B145"/>
      <c r="C145" s="15"/>
      <c r="D145" s="15"/>
      <c r="E145" s="15"/>
      <c r="F145" s="14"/>
      <c r="G145" s="6"/>
      <c r="H145" s="19"/>
      <c r="I145" s="19"/>
      <c r="J145" s="4"/>
    </row>
    <row r="146" spans="1:10" s="1" customFormat="1">
      <c r="A146"/>
      <c r="B146"/>
      <c r="C146" s="15"/>
      <c r="D146" s="15"/>
      <c r="E146" s="15"/>
      <c r="F146" s="14"/>
      <c r="G146" s="6"/>
      <c r="H146" s="19"/>
      <c r="I146" s="19"/>
      <c r="J146" s="4"/>
    </row>
    <row r="147" spans="1:10" s="1" customFormat="1">
      <c r="A147"/>
      <c r="B147"/>
      <c r="C147" s="15"/>
      <c r="D147" s="15"/>
      <c r="E147" s="15"/>
      <c r="F147" s="14"/>
      <c r="G147" s="6"/>
      <c r="H147" s="19"/>
      <c r="I147" s="19"/>
      <c r="J147" s="4"/>
    </row>
    <row r="148" spans="1:10" s="1" customFormat="1">
      <c r="A148"/>
      <c r="B148"/>
      <c r="C148" s="15"/>
      <c r="D148" s="15"/>
      <c r="E148" s="15"/>
      <c r="F148" s="14"/>
      <c r="G148" s="6"/>
      <c r="H148" s="19"/>
      <c r="I148" s="19"/>
      <c r="J148" s="4"/>
    </row>
    <row r="149" spans="1:10" s="1" customFormat="1">
      <c r="A149"/>
      <c r="B149"/>
      <c r="C149" s="15"/>
      <c r="D149" s="15"/>
      <c r="E149" s="15"/>
      <c r="F149" s="14"/>
      <c r="G149" s="6"/>
      <c r="H149" s="19"/>
      <c r="I149" s="19"/>
      <c r="J149" s="4"/>
    </row>
    <row r="150" spans="1:10" s="1" customFormat="1">
      <c r="A150"/>
      <c r="B150"/>
      <c r="C150" s="15"/>
      <c r="D150" s="15"/>
      <c r="E150" s="15"/>
      <c r="F150" s="14"/>
      <c r="G150" s="6"/>
      <c r="H150" s="19"/>
      <c r="I150" s="19"/>
      <c r="J150" s="4"/>
    </row>
    <row r="151" spans="1:10" s="1" customFormat="1">
      <c r="A151"/>
      <c r="B151"/>
      <c r="C151" s="15"/>
      <c r="D151" s="15"/>
      <c r="E151" s="15"/>
      <c r="F151" s="14"/>
      <c r="G151" s="6"/>
      <c r="H151" s="19"/>
      <c r="I151" s="19"/>
      <c r="J151" s="4"/>
    </row>
    <row r="152" spans="1:10" s="1" customFormat="1">
      <c r="A152"/>
      <c r="B152"/>
      <c r="C152" s="15"/>
      <c r="D152" s="15"/>
      <c r="E152" s="15"/>
      <c r="F152" s="14"/>
      <c r="G152" s="6"/>
      <c r="H152" s="19"/>
      <c r="I152" s="19"/>
      <c r="J152" s="4"/>
    </row>
    <row r="153" spans="1:10" s="1" customFormat="1">
      <c r="A153"/>
      <c r="B153"/>
      <c r="C153" s="20"/>
      <c r="D153" s="20"/>
      <c r="E153" s="20"/>
      <c r="F153" s="14"/>
      <c r="G153"/>
      <c r="J153" s="4"/>
    </row>
    <row r="154" spans="1:10" s="1" customFormat="1">
      <c r="A154"/>
      <c r="B154"/>
      <c r="C154" s="20"/>
      <c r="D154" s="20"/>
      <c r="E154" s="20"/>
      <c r="F154" s="14"/>
      <c r="G154"/>
      <c r="J154" s="4"/>
    </row>
    <row r="155" spans="1:10" s="1" customFormat="1">
      <c r="A155"/>
      <c r="B155"/>
      <c r="C155" s="20"/>
      <c r="D155" s="20"/>
      <c r="E155" s="20"/>
      <c r="F155" s="14"/>
      <c r="G155"/>
      <c r="J155" s="4"/>
    </row>
    <row r="156" spans="1:10" s="1" customFormat="1">
      <c r="A156"/>
      <c r="B156"/>
      <c r="C156" s="20"/>
      <c r="D156" s="20"/>
      <c r="E156" s="20"/>
      <c r="F156" s="14"/>
      <c r="G156"/>
      <c r="J156" s="4"/>
    </row>
    <row r="157" spans="1:10" s="1" customFormat="1">
      <c r="A157"/>
      <c r="B157"/>
      <c r="C157" s="20"/>
      <c r="D157" s="20"/>
      <c r="E157" s="20"/>
      <c r="F157" s="14"/>
      <c r="G157"/>
      <c r="J157" s="4"/>
    </row>
    <row r="158" spans="1:10" s="1" customFormat="1">
      <c r="A158"/>
      <c r="B158"/>
      <c r="C158" s="20"/>
      <c r="D158" s="20"/>
      <c r="E158" s="20"/>
      <c r="F158" s="14"/>
      <c r="G158"/>
      <c r="J158" s="4"/>
    </row>
    <row r="159" spans="1:10">
      <c r="C159" s="20"/>
      <c r="D159" s="20"/>
      <c r="E159" s="20"/>
      <c r="F159" s="14"/>
    </row>
    <row r="160" spans="1:10">
      <c r="C160" s="20"/>
      <c r="D160" s="20"/>
      <c r="E160" s="20"/>
      <c r="F160" s="14"/>
    </row>
    <row r="161" spans="3:6">
      <c r="C161" s="20"/>
      <c r="D161" s="20"/>
      <c r="E161" s="20"/>
      <c r="F161" s="14"/>
    </row>
    <row r="162" spans="3:6">
      <c r="C162" s="20"/>
      <c r="D162" s="20"/>
      <c r="E162" s="20"/>
      <c r="F162" s="14"/>
    </row>
    <row r="163" spans="3:6">
      <c r="C163" s="20"/>
      <c r="D163" s="20"/>
      <c r="E163" s="20"/>
      <c r="F163" s="14"/>
    </row>
    <row r="164" spans="3:6">
      <c r="C164" s="20"/>
      <c r="D164" s="20"/>
      <c r="E164" s="20"/>
      <c r="F164" s="14"/>
    </row>
    <row r="165" spans="3:6">
      <c r="F165" s="14"/>
    </row>
    <row r="166" spans="3:6">
      <c r="F166" s="14"/>
    </row>
    <row r="167" spans="3:6">
      <c r="F167" s="14"/>
    </row>
    <row r="168" spans="3:6">
      <c r="F168" s="14"/>
    </row>
    <row r="169" spans="3:6">
      <c r="F169" s="14"/>
    </row>
    <row r="170" spans="3:6">
      <c r="F170" s="14"/>
    </row>
    <row r="171" spans="3:6">
      <c r="F171" s="14"/>
    </row>
    <row r="172" spans="3:6">
      <c r="F172" s="14"/>
    </row>
    <row r="173" spans="3:6">
      <c r="F173" s="14"/>
    </row>
    <row r="174" spans="3:6">
      <c r="F174" s="14"/>
    </row>
    <row r="175" spans="3:6">
      <c r="F175" s="14"/>
    </row>
    <row r="176" spans="3:6">
      <c r="F176" s="14"/>
    </row>
    <row r="177" spans="6:6">
      <c r="F177" s="14"/>
    </row>
    <row r="178" spans="6:6">
      <c r="F178" s="14"/>
    </row>
    <row r="179" spans="6:6">
      <c r="F179" s="14"/>
    </row>
    <row r="180" spans="6:6">
      <c r="F180" s="14"/>
    </row>
    <row r="181" spans="6:6">
      <c r="F181" s="14"/>
    </row>
    <row r="182" spans="6:6">
      <c r="F182" s="14"/>
    </row>
    <row r="183" spans="6:6">
      <c r="F183" s="14"/>
    </row>
    <row r="184" spans="6:6">
      <c r="F184" s="14"/>
    </row>
  </sheetData>
  <mergeCells count="113">
    <mergeCell ref="A81:J81"/>
    <mergeCell ref="A76:B76"/>
    <mergeCell ref="A80:J80"/>
    <mergeCell ref="I69:J69"/>
    <mergeCell ref="A61:B61"/>
    <mergeCell ref="I61:J61"/>
    <mergeCell ref="A62:B62"/>
    <mergeCell ref="I62:J62"/>
    <mergeCell ref="A63:B63"/>
    <mergeCell ref="I63:J63"/>
    <mergeCell ref="A64:B64"/>
    <mergeCell ref="I64:J64"/>
    <mergeCell ref="I76:J76"/>
    <mergeCell ref="A66:A69"/>
    <mergeCell ref="A70:A75"/>
    <mergeCell ref="I70:J75"/>
    <mergeCell ref="A46:B46"/>
    <mergeCell ref="A48:B48"/>
    <mergeCell ref="A49:B49"/>
    <mergeCell ref="A2:J2"/>
    <mergeCell ref="A9:B9"/>
    <mergeCell ref="A42:B42"/>
    <mergeCell ref="A50:B50"/>
    <mergeCell ref="A43:B43"/>
    <mergeCell ref="A47:B47"/>
    <mergeCell ref="A45:B45"/>
    <mergeCell ref="A44:B44"/>
    <mergeCell ref="I10:J10"/>
    <mergeCell ref="I11:J11"/>
    <mergeCell ref="I12:J12"/>
    <mergeCell ref="I13:J13"/>
    <mergeCell ref="I14:J14"/>
    <mergeCell ref="A7:B8"/>
    <mergeCell ref="C7:E7"/>
    <mergeCell ref="F7:H7"/>
    <mergeCell ref="I7:J8"/>
    <mergeCell ref="I9:J9"/>
    <mergeCell ref="A10:B10"/>
    <mergeCell ref="I21:J21"/>
    <mergeCell ref="I22:J22"/>
    <mergeCell ref="A41:B41"/>
    <mergeCell ref="A38:B38"/>
    <mergeCell ref="A40:B40"/>
    <mergeCell ref="A39:B39"/>
    <mergeCell ref="A11:B11"/>
    <mergeCell ref="A14:B14"/>
    <mergeCell ref="A37:B37"/>
    <mergeCell ref="A12:B12"/>
    <mergeCell ref="A29:A34"/>
    <mergeCell ref="A35:B35"/>
    <mergeCell ref="A36:B36"/>
    <mergeCell ref="A13:B13"/>
    <mergeCell ref="A15:A21"/>
    <mergeCell ref="A22:A28"/>
    <mergeCell ref="I26:J26"/>
    <mergeCell ref="I27:J27"/>
    <mergeCell ref="I28:J28"/>
    <mergeCell ref="I29:J29"/>
    <mergeCell ref="I30:J30"/>
    <mergeCell ref="I53:J53"/>
    <mergeCell ref="I54:J54"/>
    <mergeCell ref="I25:J25"/>
    <mergeCell ref="I15:J15"/>
    <mergeCell ref="I16:J16"/>
    <mergeCell ref="I17:J17"/>
    <mergeCell ref="I18:J18"/>
    <mergeCell ref="I19:J19"/>
    <mergeCell ref="I31:J31"/>
    <mergeCell ref="I32:J32"/>
    <mergeCell ref="I33:J33"/>
    <mergeCell ref="I20:J20"/>
    <mergeCell ref="I23:J23"/>
    <mergeCell ref="I24:J24"/>
    <mergeCell ref="I36:J36"/>
    <mergeCell ref="I37:J37"/>
    <mergeCell ref="I38:J38"/>
    <mergeCell ref="I39:J39"/>
    <mergeCell ref="I40:J40"/>
    <mergeCell ref="I47:J47"/>
    <mergeCell ref="I50:J50"/>
    <mergeCell ref="I46:J46"/>
    <mergeCell ref="I34:J34"/>
    <mergeCell ref="I35:J35"/>
    <mergeCell ref="I67:J67"/>
    <mergeCell ref="I68:J68"/>
    <mergeCell ref="I56:J56"/>
    <mergeCell ref="I57:J57"/>
    <mergeCell ref="I58:J58"/>
    <mergeCell ref="I59:J59"/>
    <mergeCell ref="I55:J55"/>
    <mergeCell ref="I42:J42"/>
    <mergeCell ref="I41:J41"/>
    <mergeCell ref="I43:J43"/>
    <mergeCell ref="I44:J44"/>
    <mergeCell ref="I45:J45"/>
    <mergeCell ref="A51:B51"/>
    <mergeCell ref="I51:J51"/>
    <mergeCell ref="A52:B52"/>
    <mergeCell ref="I48:J48"/>
    <mergeCell ref="I49:J49"/>
    <mergeCell ref="I52:J52"/>
    <mergeCell ref="I60:J60"/>
    <mergeCell ref="I65:J65"/>
    <mergeCell ref="I66:J66"/>
    <mergeCell ref="A57:B57"/>
    <mergeCell ref="A58:B58"/>
    <mergeCell ref="A59:B59"/>
    <mergeCell ref="A60:B60"/>
    <mergeCell ref="A54:B54"/>
    <mergeCell ref="A55:B55"/>
    <mergeCell ref="A56:B56"/>
    <mergeCell ref="A53:B53"/>
    <mergeCell ref="A65:B65"/>
  </mergeCells>
  <phoneticPr fontId="4" type="noConversion"/>
  <pageMargins left="0.39370078740157483" right="0.39370078740157483" top="0.6692913385826772" bottom="0.39370078740157483" header="0.51181102362204722" footer="0.27559055118110237"/>
  <pageSetup paperSize="9" scale="62" fitToHeight="0" orientation="portrait" r:id="rId1"/>
  <headerFooter>
    <oddFooter>&amp;C- &amp;P -</oddFooter>
  </headerFooter>
  <rowBreaks count="1" manualBreakCount="1">
    <brk id="4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65"/>
  <sheetViews>
    <sheetView view="pageBreakPreview" topLeftCell="A28" zoomScale="85" zoomScaleNormal="85" zoomScaleSheetLayoutView="85" workbookViewId="0">
      <selection activeCell="C36" sqref="C36"/>
    </sheetView>
  </sheetViews>
  <sheetFormatPr defaultRowHeight="13.5"/>
  <cols>
    <col min="1" max="1" width="14.21875" customWidth="1"/>
    <col min="2" max="2" width="16" customWidth="1"/>
    <col min="3" max="3" width="26.21875" style="14" customWidth="1"/>
    <col min="4" max="4" width="8.21875" customWidth="1"/>
    <col min="5" max="5" width="9.44140625" bestFit="1" customWidth="1"/>
    <col min="6" max="6" width="11.44140625" bestFit="1" customWidth="1"/>
    <col min="7" max="7" width="5.77734375" customWidth="1"/>
    <col min="8" max="8" width="10.77734375" customWidth="1"/>
    <col min="9" max="10" width="12.77734375" style="1" customWidth="1"/>
    <col min="11" max="11" width="35.21875" style="4" bestFit="1" customWidth="1"/>
    <col min="12" max="12" width="9.21875" customWidth="1"/>
  </cols>
  <sheetData>
    <row r="1" spans="1:13" ht="21" customHeight="1">
      <c r="A1" t="s">
        <v>322</v>
      </c>
    </row>
    <row r="2" spans="1:13" ht="33" customHeight="1">
      <c r="A2" s="244" t="s">
        <v>308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</row>
    <row r="3" spans="1:13" ht="24.95" customHeight="1">
      <c r="A3" s="5" t="s">
        <v>38</v>
      </c>
      <c r="B3" t="s">
        <v>224</v>
      </c>
      <c r="I3" s="166"/>
      <c r="J3" s="166"/>
      <c r="K3" s="2"/>
    </row>
    <row r="4" spans="1:13" ht="24.95" customHeight="1">
      <c r="A4" t="s">
        <v>27</v>
      </c>
      <c r="B4" s="5" t="s">
        <v>36</v>
      </c>
      <c r="C4" s="13"/>
      <c r="H4" t="s">
        <v>2</v>
      </c>
      <c r="I4" s="167">
        <v>9000</v>
      </c>
      <c r="J4" s="167"/>
      <c r="K4" s="2"/>
    </row>
    <row r="5" spans="1:13" ht="24.95" customHeight="1">
      <c r="A5" s="5" t="s">
        <v>26</v>
      </c>
      <c r="H5" t="s">
        <v>3</v>
      </c>
      <c r="I5" s="167">
        <v>1440.35</v>
      </c>
      <c r="J5" t="s">
        <v>260</v>
      </c>
      <c r="K5" s="167">
        <f>F14</f>
        <v>0</v>
      </c>
    </row>
    <row r="6" spans="1:13" ht="24.95" customHeight="1" thickBot="1">
      <c r="A6" s="5" t="s">
        <v>50</v>
      </c>
      <c r="H6" t="s">
        <v>4</v>
      </c>
      <c r="I6" s="178">
        <f>I5/I4</f>
        <v>0.16003888888888887</v>
      </c>
      <c r="J6" t="s">
        <v>5</v>
      </c>
      <c r="K6" s="178">
        <f>K5/I4</f>
        <v>0</v>
      </c>
    </row>
    <row r="7" spans="1:13" ht="30" customHeight="1" thickTop="1">
      <c r="A7" s="193" t="s">
        <v>6</v>
      </c>
      <c r="B7" s="282" t="s">
        <v>279</v>
      </c>
      <c r="C7" s="282" t="s">
        <v>280</v>
      </c>
      <c r="D7" s="257" t="s">
        <v>252</v>
      </c>
      <c r="E7" s="257"/>
      <c r="F7" s="257"/>
      <c r="G7" s="253" t="s">
        <v>1</v>
      </c>
      <c r="H7" s="258"/>
      <c r="I7" s="254"/>
      <c r="J7" s="259" t="s">
        <v>8</v>
      </c>
      <c r="K7" s="260"/>
    </row>
    <row r="8" spans="1:13" ht="30" customHeight="1" thickBot="1">
      <c r="A8" s="194"/>
      <c r="B8" s="283"/>
      <c r="C8" s="283"/>
      <c r="D8" s="136" t="s">
        <v>226</v>
      </c>
      <c r="E8" s="136" t="s">
        <v>251</v>
      </c>
      <c r="F8" s="136" t="s">
        <v>263</v>
      </c>
      <c r="G8" s="137" t="s">
        <v>7</v>
      </c>
      <c r="H8" s="137" t="s">
        <v>261</v>
      </c>
      <c r="I8" s="168" t="s">
        <v>262</v>
      </c>
      <c r="J8" s="261"/>
      <c r="K8" s="262"/>
      <c r="M8" s="6"/>
    </row>
    <row r="9" spans="1:13" ht="24.95" customHeight="1" thickTop="1" thickBot="1">
      <c r="A9" s="245" t="s">
        <v>259</v>
      </c>
      <c r="B9" s="245"/>
      <c r="C9" s="135"/>
      <c r="D9" s="133"/>
      <c r="E9" s="133"/>
      <c r="F9" s="133"/>
      <c r="G9" s="135"/>
      <c r="H9" s="134"/>
      <c r="I9" s="169">
        <f>SUM(I10:I13)</f>
        <v>2645778</v>
      </c>
      <c r="J9" s="263"/>
      <c r="K9" s="264"/>
      <c r="L9" s="8"/>
      <c r="M9" s="7"/>
    </row>
    <row r="10" spans="1:13" ht="24.95" customHeight="1" thickTop="1">
      <c r="A10" s="265" t="s">
        <v>321</v>
      </c>
      <c r="B10" s="265"/>
      <c r="C10" s="126"/>
      <c r="D10" s="127"/>
      <c r="E10" s="127">
        <v>1</v>
      </c>
      <c r="F10" s="127"/>
      <c r="G10" s="126" t="s">
        <v>11</v>
      </c>
      <c r="H10" s="128"/>
      <c r="I10" s="170">
        <f>I14+I32+I35+I39+I43</f>
        <v>1572270</v>
      </c>
      <c r="J10" s="247"/>
      <c r="K10" s="248"/>
      <c r="L10" s="10"/>
      <c r="M10" s="7"/>
    </row>
    <row r="11" spans="1:13" ht="24.95" customHeight="1">
      <c r="A11" s="238" t="s">
        <v>306</v>
      </c>
      <c r="B11" s="238"/>
      <c r="C11" s="21"/>
      <c r="D11" s="22"/>
      <c r="E11" s="22">
        <v>1</v>
      </c>
      <c r="F11" s="22"/>
      <c r="G11" s="21" t="s">
        <v>11</v>
      </c>
      <c r="H11" s="115"/>
      <c r="I11" s="115">
        <f>I39</f>
        <v>660000</v>
      </c>
      <c r="J11" s="249"/>
      <c r="K11" s="250"/>
      <c r="L11" s="8"/>
      <c r="M11" s="7"/>
    </row>
    <row r="12" spans="1:13" ht="24.95" customHeight="1">
      <c r="A12" s="238" t="s">
        <v>234</v>
      </c>
      <c r="B12" s="238"/>
      <c r="C12" s="21"/>
      <c r="D12" s="22"/>
      <c r="E12" s="22">
        <v>1</v>
      </c>
      <c r="F12" s="22"/>
      <c r="G12" s="21" t="s">
        <v>11</v>
      </c>
      <c r="H12" s="23"/>
      <c r="I12" s="23">
        <f>I47</f>
        <v>413508</v>
      </c>
      <c r="J12" s="251"/>
      <c r="K12" s="252"/>
      <c r="L12" s="8"/>
      <c r="M12" s="7"/>
    </row>
    <row r="13" spans="1:13" ht="24.95" customHeight="1">
      <c r="A13" s="238" t="s">
        <v>235</v>
      </c>
      <c r="B13" s="238"/>
      <c r="C13" s="21"/>
      <c r="D13" s="22"/>
      <c r="E13" s="22">
        <v>1</v>
      </c>
      <c r="F13" s="22"/>
      <c r="G13" s="21" t="s">
        <v>11</v>
      </c>
      <c r="H13" s="23"/>
      <c r="I13" s="23">
        <f>I58</f>
        <v>0</v>
      </c>
      <c r="J13" s="251"/>
      <c r="K13" s="252"/>
      <c r="L13" s="8"/>
      <c r="M13" s="7"/>
    </row>
    <row r="14" spans="1:13" ht="24.95" customHeight="1">
      <c r="A14" s="237" t="s">
        <v>295</v>
      </c>
      <c r="B14" s="237"/>
      <c r="C14" s="129"/>
      <c r="D14" s="130"/>
      <c r="E14" s="130"/>
      <c r="F14" s="131">
        <f>F19+F25+F26</f>
        <v>0</v>
      </c>
      <c r="G14" s="129"/>
      <c r="H14" s="131"/>
      <c r="I14" s="131">
        <f>I19+I25+I26+I30+I31</f>
        <v>100000</v>
      </c>
      <c r="J14" s="220"/>
      <c r="K14" s="221"/>
      <c r="L14" s="10"/>
      <c r="M14" s="7">
        <f>13013/90</f>
        <v>144.5888888888889</v>
      </c>
    </row>
    <row r="15" spans="1:13" ht="24.95" customHeight="1">
      <c r="A15" s="239" t="s">
        <v>276</v>
      </c>
      <c r="B15" s="141" t="s">
        <v>281</v>
      </c>
      <c r="C15" s="195" t="s">
        <v>283</v>
      </c>
      <c r="D15" s="116"/>
      <c r="E15" s="116"/>
      <c r="F15" s="116">
        <f>D15*E15</f>
        <v>0</v>
      </c>
      <c r="G15" s="118" t="s">
        <v>9</v>
      </c>
      <c r="H15" s="117"/>
      <c r="I15" s="117">
        <f>D15*H15</f>
        <v>0</v>
      </c>
      <c r="J15" s="224"/>
      <c r="K15" s="225"/>
      <c r="L15" s="10"/>
      <c r="M15" s="7"/>
    </row>
    <row r="16" spans="1:13" ht="24.95" customHeight="1">
      <c r="A16" s="240"/>
      <c r="B16" s="141" t="s">
        <v>282</v>
      </c>
      <c r="C16" s="195" t="s">
        <v>119</v>
      </c>
      <c r="D16" s="116"/>
      <c r="E16" s="116"/>
      <c r="F16" s="116">
        <f t="shared" ref="F16:F24" si="0">D16*E16</f>
        <v>0</v>
      </c>
      <c r="G16" s="118" t="s">
        <v>10</v>
      </c>
      <c r="H16" s="117"/>
      <c r="I16" s="117">
        <f t="shared" ref="I16:I18" si="1">F16*H16</f>
        <v>0</v>
      </c>
      <c r="J16" s="224"/>
      <c r="K16" s="225"/>
      <c r="M16" s="7"/>
    </row>
    <row r="17" spans="1:13" ht="24.95" customHeight="1">
      <c r="A17" s="240"/>
      <c r="B17" s="142" t="s">
        <v>284</v>
      </c>
      <c r="C17" s="195" t="s">
        <v>287</v>
      </c>
      <c r="D17" s="116"/>
      <c r="E17" s="116"/>
      <c r="F17" s="116">
        <f t="shared" si="0"/>
        <v>0</v>
      </c>
      <c r="G17" s="118" t="s">
        <v>10</v>
      </c>
      <c r="H17" s="117"/>
      <c r="I17" s="117">
        <f t="shared" si="1"/>
        <v>0</v>
      </c>
      <c r="J17" s="179"/>
      <c r="K17" s="180"/>
      <c r="M17" s="7"/>
    </row>
    <row r="18" spans="1:13" ht="24.95" customHeight="1">
      <c r="A18" s="240"/>
      <c r="B18" s="142" t="s">
        <v>285</v>
      </c>
      <c r="C18" s="196" t="s">
        <v>286</v>
      </c>
      <c r="D18" s="113"/>
      <c r="E18" s="113"/>
      <c r="F18" s="116">
        <f t="shared" si="0"/>
        <v>0</v>
      </c>
      <c r="G18" s="118" t="s">
        <v>10</v>
      </c>
      <c r="H18" s="117"/>
      <c r="I18" s="117">
        <f t="shared" si="1"/>
        <v>0</v>
      </c>
      <c r="J18" s="224"/>
      <c r="K18" s="225"/>
      <c r="M18" s="7"/>
    </row>
    <row r="19" spans="1:13" ht="24.95" customHeight="1">
      <c r="A19" s="241"/>
      <c r="B19" s="143" t="s">
        <v>14</v>
      </c>
      <c r="C19" s="197"/>
      <c r="D19" s="144">
        <f>SUM(D15:D18)</f>
        <v>0</v>
      </c>
      <c r="E19" s="144"/>
      <c r="F19" s="144">
        <f>SUM(F15:F18)</f>
        <v>0</v>
      </c>
      <c r="G19" s="145" t="s">
        <v>10</v>
      </c>
      <c r="H19" s="144"/>
      <c r="I19" s="171">
        <f>SUM(I15:I18)</f>
        <v>0</v>
      </c>
      <c r="J19" s="230"/>
      <c r="K19" s="231"/>
    </row>
    <row r="20" spans="1:13" ht="24.95" customHeight="1">
      <c r="A20" s="239" t="s">
        <v>277</v>
      </c>
      <c r="B20" s="141" t="s">
        <v>288</v>
      </c>
      <c r="C20" s="195"/>
      <c r="D20" s="116"/>
      <c r="E20" s="116"/>
      <c r="F20" s="116">
        <f t="shared" si="0"/>
        <v>0</v>
      </c>
      <c r="G20" s="138" t="s">
        <v>10</v>
      </c>
      <c r="H20" s="117"/>
      <c r="I20" s="117">
        <f>SUM(F20*H20)</f>
        <v>0</v>
      </c>
      <c r="J20" s="224"/>
      <c r="K20" s="225"/>
    </row>
    <row r="21" spans="1:13" ht="24.95" customHeight="1">
      <c r="A21" s="240"/>
      <c r="B21" s="149" t="s">
        <v>290</v>
      </c>
      <c r="C21" s="198"/>
      <c r="D21" s="150"/>
      <c r="E21" s="150"/>
      <c r="F21" s="139">
        <f t="shared" si="0"/>
        <v>0</v>
      </c>
      <c r="G21" s="140" t="s">
        <v>10</v>
      </c>
      <c r="H21" s="150"/>
      <c r="I21" s="117">
        <f t="shared" ref="I21:I23" si="2">SUM(F21*H21)</f>
        <v>0</v>
      </c>
      <c r="J21" s="224"/>
      <c r="K21" s="225"/>
    </row>
    <row r="22" spans="1:13" ht="24.95" customHeight="1">
      <c r="A22" s="240"/>
      <c r="B22" s="142" t="s">
        <v>289</v>
      </c>
      <c r="C22" s="196"/>
      <c r="D22" s="113"/>
      <c r="E22" s="113"/>
      <c r="F22" s="116">
        <f t="shared" si="0"/>
        <v>0</v>
      </c>
      <c r="G22" s="138" t="s">
        <v>10</v>
      </c>
      <c r="H22" s="114"/>
      <c r="I22" s="117">
        <f t="shared" si="2"/>
        <v>0</v>
      </c>
      <c r="J22" s="224"/>
      <c r="K22" s="225"/>
    </row>
    <row r="23" spans="1:13" ht="24.95" customHeight="1">
      <c r="A23" s="240"/>
      <c r="B23" s="142" t="s">
        <v>291</v>
      </c>
      <c r="C23" s="196"/>
      <c r="D23" s="113"/>
      <c r="E23" s="113"/>
      <c r="F23" s="116">
        <f t="shared" si="0"/>
        <v>0</v>
      </c>
      <c r="G23" s="118" t="s">
        <v>10</v>
      </c>
      <c r="H23" s="114"/>
      <c r="I23" s="117">
        <f t="shared" si="2"/>
        <v>0</v>
      </c>
      <c r="J23" s="224"/>
      <c r="K23" s="225"/>
    </row>
    <row r="24" spans="1:13" ht="24.95" customHeight="1">
      <c r="A24" s="240"/>
      <c r="B24" s="206" t="s">
        <v>294</v>
      </c>
      <c r="C24" s="309" t="s">
        <v>228</v>
      </c>
      <c r="D24" s="207"/>
      <c r="E24" s="207"/>
      <c r="F24" s="208">
        <f t="shared" si="0"/>
        <v>0</v>
      </c>
      <c r="G24" s="209" t="s">
        <v>10</v>
      </c>
      <c r="H24" s="210">
        <v>767</v>
      </c>
      <c r="I24" s="211">
        <f>SUM(F24*H24)</f>
        <v>0</v>
      </c>
      <c r="J24" s="277" t="s">
        <v>296</v>
      </c>
      <c r="K24" s="278"/>
    </row>
    <row r="25" spans="1:13" ht="24.95" customHeight="1">
      <c r="A25" s="241"/>
      <c r="B25" s="152" t="s">
        <v>14</v>
      </c>
      <c r="C25" s="199"/>
      <c r="D25" s="144">
        <f>SUM(D20:D24)</f>
        <v>0</v>
      </c>
      <c r="E25" s="153"/>
      <c r="F25" s="144">
        <f>SUM(F20:F24)</f>
        <v>0</v>
      </c>
      <c r="G25" s="145" t="s">
        <v>10</v>
      </c>
      <c r="H25" s="153"/>
      <c r="I25" s="171">
        <f>SUM(I20:I24)</f>
        <v>0</v>
      </c>
      <c r="J25" s="230"/>
      <c r="K25" s="231"/>
    </row>
    <row r="26" spans="1:13" ht="24.95" customHeight="1">
      <c r="A26" s="118" t="s">
        <v>245</v>
      </c>
      <c r="B26" s="201" t="s">
        <v>292</v>
      </c>
      <c r="C26" s="202"/>
      <c r="D26" s="203"/>
      <c r="E26" s="203"/>
      <c r="F26" s="203">
        <f t="shared" ref="F26" si="3">D26*E26</f>
        <v>0</v>
      </c>
      <c r="G26" s="145" t="s">
        <v>9</v>
      </c>
      <c r="H26" s="171"/>
      <c r="I26" s="171">
        <f>SUM(D26*H26)</f>
        <v>0</v>
      </c>
      <c r="J26" s="280"/>
      <c r="K26" s="280"/>
    </row>
    <row r="27" spans="1:13" ht="24.95" customHeight="1">
      <c r="A27" s="239" t="s">
        <v>278</v>
      </c>
      <c r="B27" s="142" t="s">
        <v>23</v>
      </c>
      <c r="C27" s="196"/>
      <c r="D27" s="113"/>
      <c r="E27" s="113"/>
      <c r="F27" s="113">
        <f t="shared" ref="F27:F29" si="4">D27*E27</f>
        <v>0</v>
      </c>
      <c r="G27" s="118" t="s">
        <v>10</v>
      </c>
      <c r="H27" s="114"/>
      <c r="I27" s="114">
        <f>SUM(F27*H27)</f>
        <v>0</v>
      </c>
      <c r="J27" s="281"/>
      <c r="K27" s="281"/>
    </row>
    <row r="28" spans="1:13" ht="24.95" customHeight="1">
      <c r="A28" s="240"/>
      <c r="B28" s="142" t="s">
        <v>293</v>
      </c>
      <c r="C28" s="196"/>
      <c r="D28" s="113"/>
      <c r="E28" s="113"/>
      <c r="F28" s="113">
        <f t="shared" si="4"/>
        <v>0</v>
      </c>
      <c r="G28" s="118" t="s">
        <v>0</v>
      </c>
      <c r="H28" s="114"/>
      <c r="I28" s="114">
        <f t="shared" ref="I28:I29" si="5">SUM(F28*H28)</f>
        <v>0</v>
      </c>
      <c r="J28" s="281"/>
      <c r="K28" s="281"/>
    </row>
    <row r="29" spans="1:13" ht="24.95" customHeight="1">
      <c r="A29" s="240"/>
      <c r="B29" s="142" t="s">
        <v>42</v>
      </c>
      <c r="C29" s="196"/>
      <c r="D29" s="113"/>
      <c r="E29" s="113"/>
      <c r="F29" s="113">
        <f t="shared" si="4"/>
        <v>0</v>
      </c>
      <c r="G29" s="118" t="s">
        <v>0</v>
      </c>
      <c r="H29" s="114"/>
      <c r="I29" s="114">
        <f t="shared" si="5"/>
        <v>0</v>
      </c>
      <c r="J29" s="281"/>
      <c r="K29" s="281"/>
    </row>
    <row r="30" spans="1:13" ht="24.95" customHeight="1">
      <c r="A30" s="241"/>
      <c r="B30" s="152" t="s">
        <v>14</v>
      </c>
      <c r="C30" s="199"/>
      <c r="D30" s="144">
        <f>SUM(D26:D29)</f>
        <v>0</v>
      </c>
      <c r="E30" s="153"/>
      <c r="F30" s="144">
        <f>SUM(F27:F29)</f>
        <v>0</v>
      </c>
      <c r="G30" s="145"/>
      <c r="H30" s="153"/>
      <c r="I30" s="171">
        <f>SUM(I27:I29)</f>
        <v>0</v>
      </c>
      <c r="J30" s="230"/>
      <c r="K30" s="231"/>
    </row>
    <row r="31" spans="1:13" ht="24.95" customHeight="1">
      <c r="A31" s="279" t="s">
        <v>266</v>
      </c>
      <c r="B31" s="279"/>
      <c r="C31" s="204"/>
      <c r="D31" s="205"/>
      <c r="E31" s="205">
        <v>1</v>
      </c>
      <c r="F31" s="205"/>
      <c r="G31" s="204" t="s">
        <v>11</v>
      </c>
      <c r="H31" s="171">
        <v>100000</v>
      </c>
      <c r="I31" s="171">
        <f t="shared" ref="I31" si="6">SUM(E31*H31)</f>
        <v>100000</v>
      </c>
      <c r="J31" s="230" t="s">
        <v>297</v>
      </c>
      <c r="K31" s="231"/>
    </row>
    <row r="32" spans="1:13" ht="24.95" customHeight="1">
      <c r="A32" s="237" t="s">
        <v>298</v>
      </c>
      <c r="B32" s="237"/>
      <c r="C32" s="129"/>
      <c r="D32" s="130"/>
      <c r="E32" s="130"/>
      <c r="F32" s="130"/>
      <c r="G32" s="129"/>
      <c r="H32" s="131"/>
      <c r="I32" s="131">
        <f>SUM(I33:I34)</f>
        <v>152270</v>
      </c>
      <c r="J32" s="220"/>
      <c r="K32" s="221"/>
    </row>
    <row r="33" spans="1:11" ht="24.95" customHeight="1">
      <c r="A33" s="213" t="s">
        <v>310</v>
      </c>
      <c r="B33" s="213"/>
      <c r="C33" s="160"/>
      <c r="D33" s="161"/>
      <c r="E33" s="161">
        <v>10</v>
      </c>
      <c r="F33" s="161"/>
      <c r="G33" s="160" t="s">
        <v>12</v>
      </c>
      <c r="H33" s="12">
        <v>6627</v>
      </c>
      <c r="I33" s="9">
        <f t="shared" ref="I33" si="7">SUM(E33*H33)</f>
        <v>66270</v>
      </c>
      <c r="J33" s="222"/>
      <c r="K33" s="223"/>
    </row>
    <row r="34" spans="1:11" ht="24.95" customHeight="1">
      <c r="A34" s="246" t="s">
        <v>30</v>
      </c>
      <c r="B34" s="246"/>
      <c r="C34" s="162"/>
      <c r="D34" s="163"/>
      <c r="E34" s="163">
        <v>500</v>
      </c>
      <c r="F34" s="163"/>
      <c r="G34" s="162" t="s">
        <v>10</v>
      </c>
      <c r="H34" s="114">
        <v>172</v>
      </c>
      <c r="I34" s="114">
        <f t="shared" ref="I34" si="8">SUM(E34*H34)</f>
        <v>86000</v>
      </c>
      <c r="J34" s="224"/>
      <c r="K34" s="225"/>
    </row>
    <row r="35" spans="1:11" ht="24.95" customHeight="1">
      <c r="A35" s="236" t="s">
        <v>299</v>
      </c>
      <c r="B35" s="236"/>
      <c r="C35" s="164"/>
      <c r="D35" s="132"/>
      <c r="E35" s="132"/>
      <c r="F35" s="132"/>
      <c r="G35" s="164"/>
      <c r="H35" s="131"/>
      <c r="I35" s="131">
        <f>SUM(I36:I38)</f>
        <v>0</v>
      </c>
      <c r="J35" s="220"/>
      <c r="K35" s="221"/>
    </row>
    <row r="36" spans="1:11" ht="24.95" customHeight="1">
      <c r="A36" s="213" t="s">
        <v>300</v>
      </c>
      <c r="B36" s="213"/>
      <c r="C36" s="160"/>
      <c r="D36" s="161"/>
      <c r="E36" s="161"/>
      <c r="F36" s="161"/>
      <c r="G36" s="160" t="s">
        <v>10</v>
      </c>
      <c r="H36" s="12"/>
      <c r="I36" s="9">
        <f t="shared" ref="I36:I37" si="9">SUM(E36*H36)</f>
        <v>0</v>
      </c>
      <c r="J36" s="214" t="s">
        <v>304</v>
      </c>
      <c r="K36" s="215"/>
    </row>
    <row r="37" spans="1:11" ht="24.95" customHeight="1">
      <c r="A37" s="213" t="s">
        <v>301</v>
      </c>
      <c r="B37" s="213"/>
      <c r="C37" s="160"/>
      <c r="D37" s="161"/>
      <c r="E37" s="161"/>
      <c r="F37" s="161"/>
      <c r="G37" s="160" t="s">
        <v>10</v>
      </c>
      <c r="H37" s="12"/>
      <c r="I37" s="9">
        <f t="shared" si="9"/>
        <v>0</v>
      </c>
      <c r="J37" s="214" t="s">
        <v>302</v>
      </c>
      <c r="K37" s="215"/>
    </row>
    <row r="38" spans="1:11" ht="24.95" customHeight="1">
      <c r="A38" s="213" t="s">
        <v>28</v>
      </c>
      <c r="B38" s="213"/>
      <c r="C38" s="160"/>
      <c r="D38" s="161"/>
      <c r="E38" s="161"/>
      <c r="F38" s="161"/>
      <c r="G38" s="160" t="s">
        <v>10</v>
      </c>
      <c r="H38" s="9"/>
      <c r="I38" s="9">
        <f t="shared" ref="I38" si="10">SUM(E38*H38)</f>
        <v>0</v>
      </c>
      <c r="J38" s="214"/>
      <c r="K38" s="215"/>
    </row>
    <row r="39" spans="1:11" ht="24.95" customHeight="1">
      <c r="A39" s="236" t="s">
        <v>305</v>
      </c>
      <c r="B39" s="236"/>
      <c r="C39" s="164"/>
      <c r="D39" s="132"/>
      <c r="E39" s="132"/>
      <c r="F39" s="132"/>
      <c r="G39" s="164"/>
      <c r="H39" s="131"/>
      <c r="I39" s="131">
        <f>SUM(I40:I42)</f>
        <v>660000</v>
      </c>
      <c r="J39" s="220"/>
      <c r="K39" s="221"/>
    </row>
    <row r="40" spans="1:11" ht="24.95" customHeight="1">
      <c r="A40" s="213" t="s">
        <v>238</v>
      </c>
      <c r="B40" s="213"/>
      <c r="C40" s="160"/>
      <c r="D40" s="161"/>
      <c r="E40" s="161">
        <v>1</v>
      </c>
      <c r="F40" s="161"/>
      <c r="G40" s="160" t="s">
        <v>11</v>
      </c>
      <c r="H40" s="12">
        <v>20000</v>
      </c>
      <c r="I40" s="9">
        <f>SUM(E40*H40)</f>
        <v>20000</v>
      </c>
      <c r="J40" s="218" t="s">
        <v>254</v>
      </c>
      <c r="K40" s="219"/>
    </row>
    <row r="41" spans="1:11" ht="24.95" customHeight="1">
      <c r="A41" s="213" t="s">
        <v>239</v>
      </c>
      <c r="B41" s="213"/>
      <c r="C41" s="160"/>
      <c r="D41" s="161"/>
      <c r="E41" s="161">
        <v>1</v>
      </c>
      <c r="F41" s="161"/>
      <c r="G41" s="160" t="s">
        <v>11</v>
      </c>
      <c r="H41" s="12">
        <v>100000</v>
      </c>
      <c r="I41" s="9">
        <f t="shared" ref="I41:I42" si="11">SUM(E41*H41)</f>
        <v>100000</v>
      </c>
      <c r="J41" s="218" t="s">
        <v>255</v>
      </c>
      <c r="K41" s="219"/>
    </row>
    <row r="42" spans="1:11" ht="24.95" customHeight="1">
      <c r="A42" s="213" t="s">
        <v>240</v>
      </c>
      <c r="B42" s="213"/>
      <c r="C42" s="160"/>
      <c r="D42" s="161"/>
      <c r="E42" s="161">
        <v>6</v>
      </c>
      <c r="F42" s="161"/>
      <c r="G42" s="160" t="s">
        <v>9</v>
      </c>
      <c r="H42" s="12">
        <v>90000</v>
      </c>
      <c r="I42" s="9">
        <f t="shared" si="11"/>
        <v>540000</v>
      </c>
      <c r="J42" s="218" t="s">
        <v>241</v>
      </c>
      <c r="K42" s="219"/>
    </row>
    <row r="43" spans="1:11" ht="24.95" customHeight="1">
      <c r="A43" s="236" t="s">
        <v>318</v>
      </c>
      <c r="B43" s="236"/>
      <c r="C43" s="164"/>
      <c r="D43" s="132"/>
      <c r="E43" s="132"/>
      <c r="F43" s="132"/>
      <c r="G43" s="164"/>
      <c r="H43" s="131"/>
      <c r="I43" s="131">
        <f>SUM(I44:I46)</f>
        <v>660000</v>
      </c>
      <c r="J43" s="220" t="s">
        <v>319</v>
      </c>
      <c r="K43" s="221"/>
    </row>
    <row r="44" spans="1:11" ht="24.95" customHeight="1">
      <c r="A44" s="213" t="s">
        <v>238</v>
      </c>
      <c r="B44" s="213"/>
      <c r="C44" s="160"/>
      <c r="D44" s="161"/>
      <c r="E44" s="161">
        <v>1</v>
      </c>
      <c r="F44" s="161"/>
      <c r="G44" s="160" t="s">
        <v>11</v>
      </c>
      <c r="H44" s="12">
        <v>20000</v>
      </c>
      <c r="I44" s="9">
        <f>SUM(E44*H44)</f>
        <v>20000</v>
      </c>
      <c r="J44" s="218" t="s">
        <v>254</v>
      </c>
      <c r="K44" s="219"/>
    </row>
    <row r="45" spans="1:11" ht="24.95" customHeight="1">
      <c r="A45" s="213" t="s">
        <v>239</v>
      </c>
      <c r="B45" s="213"/>
      <c r="C45" s="160"/>
      <c r="D45" s="161"/>
      <c r="E45" s="161">
        <v>1</v>
      </c>
      <c r="F45" s="161"/>
      <c r="G45" s="160" t="s">
        <v>11</v>
      </c>
      <c r="H45" s="12">
        <v>100000</v>
      </c>
      <c r="I45" s="9">
        <f t="shared" ref="I45:I46" si="12">SUM(E45*H45)</f>
        <v>100000</v>
      </c>
      <c r="J45" s="218" t="s">
        <v>255</v>
      </c>
      <c r="K45" s="219"/>
    </row>
    <row r="46" spans="1:11" ht="24.95" customHeight="1">
      <c r="A46" s="213" t="s">
        <v>240</v>
      </c>
      <c r="B46" s="213"/>
      <c r="C46" s="160"/>
      <c r="D46" s="161"/>
      <c r="E46" s="161">
        <v>6</v>
      </c>
      <c r="F46" s="161"/>
      <c r="G46" s="160" t="s">
        <v>9</v>
      </c>
      <c r="H46" s="12">
        <v>90000</v>
      </c>
      <c r="I46" s="9">
        <f t="shared" si="12"/>
        <v>540000</v>
      </c>
      <c r="J46" s="218" t="s">
        <v>241</v>
      </c>
      <c r="K46" s="219"/>
    </row>
    <row r="47" spans="1:11" ht="24.95" customHeight="1">
      <c r="A47" s="236" t="s">
        <v>242</v>
      </c>
      <c r="B47" s="236"/>
      <c r="C47" s="164"/>
      <c r="D47" s="132"/>
      <c r="E47" s="132"/>
      <c r="F47" s="132"/>
      <c r="G47" s="164"/>
      <c r="H47" s="131"/>
      <c r="I47" s="131">
        <f>SUM(I48:I57)</f>
        <v>413508</v>
      </c>
      <c r="J47" s="220"/>
      <c r="K47" s="221"/>
    </row>
    <row r="48" spans="1:11" ht="24.95" customHeight="1">
      <c r="A48" s="268" t="s">
        <v>274</v>
      </c>
      <c r="B48" s="191" t="s">
        <v>231</v>
      </c>
      <c r="C48" s="160"/>
      <c r="D48" s="161"/>
      <c r="E48" s="161">
        <v>1</v>
      </c>
      <c r="F48" s="161"/>
      <c r="G48" s="160" t="s">
        <v>11</v>
      </c>
      <c r="H48" s="12">
        <v>165697</v>
      </c>
      <c r="I48" s="9">
        <f>SUM(E48*H48)</f>
        <v>165697</v>
      </c>
      <c r="J48" s="218" t="s">
        <v>265</v>
      </c>
      <c r="K48" s="219"/>
    </row>
    <row r="49" spans="1:11" ht="24.95" customHeight="1">
      <c r="A49" s="269"/>
      <c r="B49" s="191" t="s">
        <v>33</v>
      </c>
      <c r="C49" s="160"/>
      <c r="D49" s="161"/>
      <c r="E49" s="161">
        <v>1</v>
      </c>
      <c r="F49" s="161"/>
      <c r="G49" s="160" t="s">
        <v>11</v>
      </c>
      <c r="H49" s="12">
        <f>INT((H48)*10%)</f>
        <v>16569</v>
      </c>
      <c r="I49" s="9">
        <f t="shared" ref="I49:I56" si="13">SUM(E49*H49)</f>
        <v>16569</v>
      </c>
      <c r="J49" s="218" t="s">
        <v>264</v>
      </c>
      <c r="K49" s="219"/>
    </row>
    <row r="50" spans="1:11" ht="24.95" customHeight="1">
      <c r="A50" s="269"/>
      <c r="B50" s="191" t="s">
        <v>34</v>
      </c>
      <c r="C50" s="160"/>
      <c r="D50" s="161"/>
      <c r="E50" s="161">
        <v>1</v>
      </c>
      <c r="F50" s="161"/>
      <c r="G50" s="160" t="s">
        <v>11</v>
      </c>
      <c r="H50" s="12">
        <f>INT((H48)*9%)</f>
        <v>14912</v>
      </c>
      <c r="I50" s="9">
        <f t="shared" si="13"/>
        <v>14912</v>
      </c>
      <c r="J50" s="218" t="s">
        <v>256</v>
      </c>
      <c r="K50" s="219"/>
    </row>
    <row r="51" spans="1:11" ht="24.95" customHeight="1">
      <c r="A51" s="270"/>
      <c r="B51" s="191" t="s">
        <v>257</v>
      </c>
      <c r="C51" s="177"/>
      <c r="D51" s="161"/>
      <c r="E51" s="161">
        <v>1</v>
      </c>
      <c r="F51" s="161"/>
      <c r="G51" s="160" t="s">
        <v>11</v>
      </c>
      <c r="H51" s="12">
        <v>20000</v>
      </c>
      <c r="I51" s="9">
        <f t="shared" si="13"/>
        <v>20000</v>
      </c>
      <c r="J51" s="218" t="s">
        <v>256</v>
      </c>
      <c r="K51" s="219"/>
    </row>
    <row r="52" spans="1:11" ht="24.95" customHeight="1">
      <c r="A52" s="268" t="s">
        <v>275</v>
      </c>
      <c r="B52" s="191" t="s">
        <v>24</v>
      </c>
      <c r="C52" s="160"/>
      <c r="D52" s="161"/>
      <c r="E52" s="161">
        <v>1</v>
      </c>
      <c r="F52" s="161"/>
      <c r="G52" s="160" t="s">
        <v>11</v>
      </c>
      <c r="H52" s="12">
        <v>50000</v>
      </c>
      <c r="I52" s="9">
        <f>SUM(E52*H52)</f>
        <v>50000</v>
      </c>
      <c r="J52" s="218" t="s">
        <v>265</v>
      </c>
      <c r="K52" s="219"/>
    </row>
    <row r="53" spans="1:11" ht="24.95" customHeight="1">
      <c r="A53" s="269"/>
      <c r="B53" s="191" t="s">
        <v>39</v>
      </c>
      <c r="C53" s="160"/>
      <c r="D53" s="161"/>
      <c r="E53" s="161">
        <v>1</v>
      </c>
      <c r="F53" s="161"/>
      <c r="G53" s="160" t="s">
        <v>11</v>
      </c>
      <c r="H53" s="12">
        <v>40000</v>
      </c>
      <c r="I53" s="9">
        <f>SUM(E53*H53)</f>
        <v>40000</v>
      </c>
      <c r="J53" s="218" t="s">
        <v>265</v>
      </c>
      <c r="K53" s="219"/>
    </row>
    <row r="54" spans="1:11" ht="24.95" customHeight="1">
      <c r="A54" s="269"/>
      <c r="B54" s="191" t="s">
        <v>25</v>
      </c>
      <c r="C54" s="160"/>
      <c r="D54" s="161"/>
      <c r="E54" s="161">
        <v>1</v>
      </c>
      <c r="F54" s="161"/>
      <c r="G54" s="160" t="s">
        <v>11</v>
      </c>
      <c r="H54" s="12">
        <v>42720</v>
      </c>
      <c r="I54" s="9">
        <f>SUM(E54*H54)</f>
        <v>42720</v>
      </c>
      <c r="J54" s="218" t="s">
        <v>265</v>
      </c>
      <c r="K54" s="219"/>
    </row>
    <row r="55" spans="1:11" ht="24.95" customHeight="1">
      <c r="A55" s="269"/>
      <c r="B55" s="191" t="s">
        <v>44</v>
      </c>
      <c r="C55" s="160"/>
      <c r="D55" s="161"/>
      <c r="E55" s="161">
        <v>1</v>
      </c>
      <c r="F55" s="161"/>
      <c r="G55" s="160" t="s">
        <v>11</v>
      </c>
      <c r="H55" s="12">
        <v>29164</v>
      </c>
      <c r="I55" s="9">
        <f t="shared" ref="I55" si="14">SUM(E55*H55)</f>
        <v>29164</v>
      </c>
      <c r="J55" s="218" t="s">
        <v>265</v>
      </c>
      <c r="K55" s="219"/>
    </row>
    <row r="56" spans="1:11" ht="24.95" customHeight="1">
      <c r="A56" s="269"/>
      <c r="B56" s="192" t="s">
        <v>45</v>
      </c>
      <c r="C56" s="162"/>
      <c r="D56" s="163"/>
      <c r="E56" s="163">
        <v>1</v>
      </c>
      <c r="F56" s="163"/>
      <c r="G56" s="162" t="s">
        <v>11</v>
      </c>
      <c r="H56" s="114">
        <v>27446</v>
      </c>
      <c r="I56" s="114">
        <f t="shared" si="13"/>
        <v>27446</v>
      </c>
      <c r="J56" s="218" t="s">
        <v>265</v>
      </c>
      <c r="K56" s="219"/>
    </row>
    <row r="57" spans="1:11" ht="24.95" customHeight="1">
      <c r="A57" s="270"/>
      <c r="B57" s="192" t="s">
        <v>31</v>
      </c>
      <c r="C57" s="162"/>
      <c r="D57" s="163"/>
      <c r="E57" s="163">
        <v>1</v>
      </c>
      <c r="F57" s="163"/>
      <c r="G57" s="162" t="s">
        <v>11</v>
      </c>
      <c r="H57" s="114">
        <v>7000</v>
      </c>
      <c r="I57" s="114">
        <f t="shared" ref="I57:I58" si="15">SUM(E57*H57)</f>
        <v>7000</v>
      </c>
      <c r="J57" s="218" t="s">
        <v>265</v>
      </c>
      <c r="K57" s="219"/>
    </row>
    <row r="58" spans="1:11" ht="24.95" customHeight="1">
      <c r="A58" s="236" t="s">
        <v>243</v>
      </c>
      <c r="B58" s="236"/>
      <c r="C58" s="164"/>
      <c r="D58" s="132"/>
      <c r="E58" s="132">
        <v>1</v>
      </c>
      <c r="F58" s="132"/>
      <c r="G58" s="164" t="s">
        <v>11</v>
      </c>
      <c r="H58" s="131"/>
      <c r="I58" s="131">
        <f t="shared" si="15"/>
        <v>0</v>
      </c>
      <c r="J58" s="220"/>
      <c r="K58" s="221"/>
    </row>
    <row r="59" spans="1:11" ht="21" customHeight="1">
      <c r="A59" s="25"/>
      <c r="B59" s="25"/>
      <c r="C59" s="25"/>
      <c r="D59" s="26"/>
      <c r="E59" s="26"/>
      <c r="F59" s="26"/>
      <c r="G59" s="25"/>
      <c r="H59" s="27"/>
      <c r="I59" s="174"/>
      <c r="J59" s="174"/>
      <c r="K59" s="24"/>
    </row>
    <row r="60" spans="1:11" ht="21" customHeight="1">
      <c r="A60" s="119" t="s">
        <v>32</v>
      </c>
      <c r="B60" s="120"/>
      <c r="C60" s="120"/>
      <c r="D60" s="121"/>
      <c r="E60" s="121"/>
      <c r="F60" s="121"/>
      <c r="G60" s="120"/>
      <c r="H60" s="122"/>
      <c r="I60" s="175"/>
      <c r="J60" s="175"/>
      <c r="K60" s="123"/>
    </row>
    <row r="61" spans="1:11" ht="21" customHeight="1">
      <c r="A61" s="119" t="s">
        <v>258</v>
      </c>
      <c r="B61" s="120"/>
      <c r="C61" s="120"/>
      <c r="D61" s="121"/>
      <c r="E61" s="121"/>
      <c r="F61" s="121"/>
      <c r="G61" s="120"/>
      <c r="H61" s="122"/>
      <c r="I61" s="175"/>
      <c r="J61" s="175"/>
      <c r="K61" s="123"/>
    </row>
    <row r="62" spans="1:11" ht="21" customHeight="1">
      <c r="A62" s="266" t="s">
        <v>303</v>
      </c>
      <c r="B62" s="266"/>
      <c r="C62" s="266"/>
      <c r="D62" s="266"/>
      <c r="E62" s="266"/>
      <c r="F62" s="266"/>
      <c r="G62" s="266"/>
      <c r="H62" s="266"/>
      <c r="I62" s="266"/>
      <c r="J62" s="266"/>
      <c r="K62" s="266"/>
    </row>
    <row r="63" spans="1:11" ht="21" customHeight="1">
      <c r="A63" s="124"/>
      <c r="B63" s="125"/>
      <c r="C63" s="200"/>
      <c r="D63" s="125"/>
      <c r="E63" s="125"/>
      <c r="F63" s="125"/>
      <c r="G63" s="125"/>
      <c r="H63" s="125"/>
      <c r="I63" s="176"/>
      <c r="J63" s="176"/>
      <c r="K63" s="125"/>
    </row>
    <row r="64" spans="1:11" ht="24.95" customHeight="1">
      <c r="D64" s="15"/>
      <c r="E64" s="15"/>
      <c r="F64" s="15"/>
      <c r="G64" s="14"/>
    </row>
    <row r="65" spans="1:11" ht="24.95" customHeight="1">
      <c r="D65" s="15"/>
      <c r="E65" s="15"/>
      <c r="F65" s="15"/>
      <c r="G65" s="14"/>
    </row>
    <row r="66" spans="1:11" ht="24.95" customHeight="1">
      <c r="D66" s="15"/>
      <c r="E66" s="15"/>
      <c r="F66" s="15"/>
      <c r="G66" s="14"/>
    </row>
    <row r="67" spans="1:11" ht="24.95" customHeight="1">
      <c r="D67" s="15"/>
      <c r="E67" s="15"/>
      <c r="F67" s="15"/>
      <c r="G67" s="14"/>
    </row>
    <row r="68" spans="1:11" ht="24.95" customHeight="1">
      <c r="D68" s="15"/>
      <c r="E68" s="15"/>
      <c r="F68" s="15"/>
      <c r="G68" s="14"/>
    </row>
    <row r="69" spans="1:11" ht="24.95" customHeight="1">
      <c r="D69" s="15"/>
      <c r="E69" s="15"/>
      <c r="F69" s="15"/>
      <c r="G69" s="14"/>
    </row>
    <row r="70" spans="1:11" ht="24.95" customHeight="1">
      <c r="B70" s="16"/>
      <c r="C70" s="16"/>
      <c r="D70" s="15"/>
      <c r="E70" s="15"/>
      <c r="F70" s="15"/>
      <c r="G70" s="14"/>
    </row>
    <row r="71" spans="1:11" ht="24.95" customHeight="1">
      <c r="B71" s="17"/>
      <c r="C71" s="16"/>
      <c r="D71" s="15"/>
      <c r="E71" s="15"/>
      <c r="F71" s="15"/>
      <c r="G71" s="14"/>
    </row>
    <row r="72" spans="1:11" ht="24.95" customHeight="1">
      <c r="D72" s="15"/>
      <c r="E72" s="15"/>
      <c r="F72" s="15"/>
      <c r="G72" s="14"/>
      <c r="K72" s="4" t="s">
        <v>20</v>
      </c>
    </row>
    <row r="73" spans="1:11" ht="24.95" customHeight="1">
      <c r="B73" s="14"/>
      <c r="D73" s="15"/>
      <c r="E73" s="15"/>
      <c r="F73" s="15"/>
      <c r="G73" s="14"/>
      <c r="K73" s="18"/>
    </row>
    <row r="74" spans="1:11" ht="24.95" customHeight="1">
      <c r="B74" s="7"/>
      <c r="C74" s="3"/>
      <c r="D74" s="15"/>
      <c r="E74" s="15"/>
      <c r="F74" s="15"/>
      <c r="G74" s="14"/>
    </row>
    <row r="75" spans="1:11" ht="24.95" customHeight="1">
      <c r="A75" s="4"/>
      <c r="B75" s="17"/>
      <c r="C75" s="16"/>
      <c r="D75" s="15"/>
      <c r="E75" s="15"/>
      <c r="F75" s="15"/>
      <c r="G75" s="14"/>
    </row>
    <row r="76" spans="1:11" ht="24.95" customHeight="1">
      <c r="A76" s="4"/>
      <c r="B76" s="17"/>
      <c r="C76" s="16"/>
      <c r="D76" s="15"/>
      <c r="E76" s="15"/>
      <c r="F76" s="15"/>
      <c r="G76" s="14"/>
    </row>
    <row r="77" spans="1:11" ht="24.95" customHeight="1">
      <c r="D77" s="15"/>
      <c r="E77" s="15"/>
      <c r="F77" s="15"/>
      <c r="G77" s="14"/>
    </row>
    <row r="78" spans="1:11" ht="20.100000000000001" customHeight="1">
      <c r="B78" s="14"/>
      <c r="D78" s="19"/>
      <c r="E78" s="6"/>
      <c r="F78" s="6"/>
      <c r="G78" s="15"/>
      <c r="H78" s="6"/>
      <c r="K78"/>
    </row>
    <row r="79" spans="1:11" ht="20.100000000000001" customHeight="1">
      <c r="B79" s="14"/>
      <c r="D79" s="19"/>
      <c r="E79" s="6"/>
      <c r="F79" s="6"/>
      <c r="G79" s="15"/>
      <c r="H79" s="6"/>
      <c r="K79"/>
    </row>
    <row r="80" spans="1:11" ht="20.100000000000001" customHeight="1">
      <c r="D80" s="15"/>
      <c r="E80" s="15"/>
      <c r="F80" s="15"/>
      <c r="G80" s="14"/>
      <c r="H80" s="19"/>
      <c r="I80" s="19"/>
      <c r="J80" s="19"/>
    </row>
    <row r="81" spans="1:11" ht="20.100000000000001" customHeight="1">
      <c r="D81" s="15"/>
      <c r="E81" s="15"/>
      <c r="F81" s="15"/>
      <c r="G81" s="14"/>
      <c r="H81" s="19"/>
      <c r="I81" s="19"/>
      <c r="J81" s="19"/>
    </row>
    <row r="82" spans="1:11" ht="20.100000000000001" customHeight="1">
      <c r="D82" s="15"/>
      <c r="E82" s="15"/>
      <c r="F82" s="15"/>
      <c r="G82" s="14"/>
      <c r="H82" s="19"/>
      <c r="I82" s="19"/>
      <c r="J82" s="19"/>
    </row>
    <row r="83" spans="1:11" ht="20.100000000000001" customHeight="1">
      <c r="D83" s="15"/>
      <c r="E83" s="15"/>
      <c r="F83" s="15"/>
      <c r="G83" s="14"/>
      <c r="H83" s="19"/>
      <c r="I83" s="19"/>
      <c r="J83" s="19"/>
    </row>
    <row r="84" spans="1:11" ht="20.100000000000001" customHeight="1">
      <c r="D84" s="15"/>
      <c r="E84" s="15"/>
      <c r="F84" s="15"/>
      <c r="G84" s="14"/>
      <c r="H84" s="19"/>
      <c r="I84" s="19"/>
      <c r="J84" s="19"/>
    </row>
    <row r="85" spans="1:11" ht="20.100000000000001" customHeight="1">
      <c r="D85" s="15"/>
      <c r="E85" s="15"/>
      <c r="F85" s="15"/>
      <c r="G85" s="14"/>
      <c r="H85" s="19"/>
      <c r="I85" s="19"/>
      <c r="J85" s="19"/>
    </row>
    <row r="86" spans="1:11" ht="20.100000000000001" customHeight="1">
      <c r="D86" s="15"/>
      <c r="E86" s="15"/>
      <c r="F86" s="15"/>
      <c r="G86" s="14"/>
      <c r="H86" s="19"/>
      <c r="I86" s="19"/>
      <c r="J86" s="19"/>
    </row>
    <row r="87" spans="1:11" ht="20.100000000000001" customHeight="1">
      <c r="D87" s="15"/>
      <c r="E87" s="15"/>
      <c r="F87" s="15"/>
      <c r="G87" s="14"/>
      <c r="H87" s="19"/>
      <c r="I87" s="19"/>
      <c r="J87" s="19"/>
    </row>
    <row r="88" spans="1:11" ht="20.100000000000001" customHeight="1">
      <c r="D88" s="15"/>
      <c r="E88" s="15"/>
      <c r="F88" s="15"/>
      <c r="G88" s="14"/>
      <c r="H88" s="19"/>
      <c r="I88" s="19"/>
      <c r="J88" s="19"/>
    </row>
    <row r="89" spans="1:11" ht="20.100000000000001" customHeight="1">
      <c r="D89" s="15"/>
      <c r="E89" s="15"/>
      <c r="F89" s="15"/>
      <c r="G89" s="14"/>
      <c r="H89" s="19"/>
      <c r="I89" s="19"/>
      <c r="J89" s="19"/>
    </row>
    <row r="90" spans="1:11" ht="20.100000000000001" customHeight="1">
      <c r="D90" s="15"/>
      <c r="E90" s="15"/>
      <c r="F90" s="15"/>
      <c r="G90" s="14"/>
      <c r="H90" s="19"/>
      <c r="I90" s="19"/>
      <c r="J90" s="19"/>
    </row>
    <row r="91" spans="1:11" ht="20.100000000000001" customHeight="1">
      <c r="D91" s="15"/>
      <c r="E91" s="15"/>
      <c r="F91" s="15"/>
      <c r="G91" s="14"/>
      <c r="H91" s="19"/>
      <c r="I91" s="19"/>
      <c r="J91" s="19"/>
    </row>
    <row r="92" spans="1:11" s="1" customFormat="1">
      <c r="A92"/>
      <c r="B92"/>
      <c r="C92" s="14"/>
      <c r="D92" s="15"/>
      <c r="E92" s="15"/>
      <c r="F92" s="15"/>
      <c r="G92" s="14"/>
      <c r="H92" s="19"/>
      <c r="I92" s="19"/>
      <c r="J92" s="19"/>
      <c r="K92" s="4"/>
    </row>
    <row r="93" spans="1:11" s="1" customFormat="1">
      <c r="A93"/>
      <c r="B93"/>
      <c r="C93" s="14"/>
      <c r="D93" s="15"/>
      <c r="E93" s="15"/>
      <c r="F93" s="15"/>
      <c r="G93" s="14"/>
      <c r="H93" s="19"/>
      <c r="I93" s="19"/>
      <c r="J93" s="19"/>
      <c r="K93" s="4"/>
    </row>
    <row r="94" spans="1:11" s="1" customFormat="1">
      <c r="A94"/>
      <c r="B94"/>
      <c r="C94" s="14"/>
      <c r="D94" s="15"/>
      <c r="E94" s="15"/>
      <c r="F94" s="15"/>
      <c r="G94" s="14"/>
      <c r="H94" s="19"/>
      <c r="I94" s="19"/>
      <c r="J94" s="19"/>
      <c r="K94" s="4"/>
    </row>
    <row r="95" spans="1:11" s="1" customFormat="1">
      <c r="A95"/>
      <c r="B95"/>
      <c r="C95" s="14"/>
      <c r="D95" s="15"/>
      <c r="E95" s="15"/>
      <c r="F95" s="15"/>
      <c r="G95" s="14"/>
      <c r="H95" s="19"/>
      <c r="I95" s="19"/>
      <c r="J95" s="19"/>
      <c r="K95" s="4"/>
    </row>
    <row r="96" spans="1:11" s="1" customFormat="1">
      <c r="A96"/>
      <c r="B96"/>
      <c r="C96" s="14"/>
      <c r="D96" s="15"/>
      <c r="E96" s="15"/>
      <c r="F96" s="15"/>
      <c r="G96" s="14"/>
      <c r="H96" s="19"/>
      <c r="I96" s="19"/>
      <c r="J96" s="19"/>
      <c r="K96" s="4"/>
    </row>
    <row r="97" spans="1:11" s="1" customFormat="1">
      <c r="A97"/>
      <c r="B97"/>
      <c r="C97" s="14"/>
      <c r="D97" s="15"/>
      <c r="E97" s="15"/>
      <c r="F97" s="15"/>
      <c r="G97" s="14"/>
      <c r="H97" s="6"/>
      <c r="I97" s="19"/>
      <c r="J97" s="19"/>
      <c r="K97" s="4"/>
    </row>
    <row r="98" spans="1:11" s="1" customFormat="1">
      <c r="A98"/>
      <c r="B98"/>
      <c r="C98" s="14"/>
      <c r="D98" s="15"/>
      <c r="E98" s="15"/>
      <c r="F98" s="15"/>
      <c r="G98" s="14"/>
      <c r="H98" s="6"/>
      <c r="I98" s="19"/>
      <c r="J98" s="19"/>
      <c r="K98" s="4"/>
    </row>
    <row r="99" spans="1:11" s="1" customFormat="1">
      <c r="A99"/>
      <c r="B99"/>
      <c r="C99" s="14"/>
      <c r="D99" s="15"/>
      <c r="E99" s="15"/>
      <c r="F99" s="15"/>
      <c r="G99" s="14"/>
      <c r="H99" s="6"/>
      <c r="I99" s="19"/>
      <c r="J99" s="19"/>
      <c r="K99" s="4"/>
    </row>
    <row r="100" spans="1:11" s="1" customFormat="1">
      <c r="A100"/>
      <c r="B100"/>
      <c r="C100" s="14"/>
      <c r="D100" s="15"/>
      <c r="E100" s="15"/>
      <c r="F100" s="15"/>
      <c r="G100" s="14"/>
      <c r="H100" s="6"/>
      <c r="I100" s="19"/>
      <c r="J100" s="19"/>
      <c r="K100" s="4"/>
    </row>
    <row r="101" spans="1:11" s="1" customFormat="1">
      <c r="A101"/>
      <c r="B101"/>
      <c r="C101" s="14"/>
      <c r="D101" s="15"/>
      <c r="E101" s="15"/>
      <c r="F101" s="15"/>
      <c r="G101" s="14"/>
      <c r="H101" s="6"/>
      <c r="I101" s="19"/>
      <c r="J101" s="19"/>
      <c r="K101" s="4"/>
    </row>
    <row r="102" spans="1:11" s="1" customFormat="1">
      <c r="A102"/>
      <c r="B102"/>
      <c r="C102" s="14"/>
      <c r="D102" s="15"/>
      <c r="E102" s="15"/>
      <c r="F102" s="15"/>
      <c r="G102" s="14"/>
      <c r="H102" s="6"/>
      <c r="I102" s="19"/>
      <c r="J102" s="19"/>
      <c r="K102" s="4"/>
    </row>
    <row r="103" spans="1:11" s="1" customFormat="1">
      <c r="A103"/>
      <c r="B103"/>
      <c r="C103" s="14"/>
      <c r="D103" s="15"/>
      <c r="E103" s="15"/>
      <c r="F103" s="15"/>
      <c r="G103" s="14"/>
      <c r="H103" s="6"/>
      <c r="I103" s="19"/>
      <c r="J103" s="19"/>
      <c r="K103" s="4"/>
    </row>
    <row r="104" spans="1:11" s="1" customFormat="1">
      <c r="A104"/>
      <c r="B104"/>
      <c r="C104" s="14"/>
      <c r="D104" s="15"/>
      <c r="E104" s="15"/>
      <c r="F104" s="15"/>
      <c r="G104" s="14"/>
      <c r="H104" s="6"/>
      <c r="I104" s="19"/>
      <c r="J104" s="19"/>
      <c r="K104" s="4"/>
    </row>
    <row r="105" spans="1:11" s="1" customFormat="1">
      <c r="A105"/>
      <c r="B105"/>
      <c r="C105" s="14"/>
      <c r="D105" s="15"/>
      <c r="E105" s="15"/>
      <c r="F105" s="15"/>
      <c r="G105" s="14"/>
      <c r="H105" s="6"/>
      <c r="I105" s="19"/>
      <c r="J105" s="19"/>
      <c r="K105" s="4"/>
    </row>
    <row r="106" spans="1:11" s="1" customFormat="1">
      <c r="A106"/>
      <c r="B106"/>
      <c r="C106" s="14"/>
      <c r="D106" s="15"/>
      <c r="E106" s="15"/>
      <c r="F106" s="15"/>
      <c r="G106" s="14"/>
      <c r="H106" s="6"/>
      <c r="I106" s="19"/>
      <c r="J106" s="19"/>
      <c r="K106" s="4"/>
    </row>
    <row r="107" spans="1:11" s="1" customFormat="1">
      <c r="A107"/>
      <c r="B107"/>
      <c r="C107" s="14"/>
      <c r="D107" s="15"/>
      <c r="E107" s="15"/>
      <c r="F107" s="15"/>
      <c r="G107" s="14"/>
      <c r="H107" s="6"/>
      <c r="I107" s="19"/>
      <c r="J107" s="19"/>
      <c r="K107" s="4"/>
    </row>
    <row r="108" spans="1:11" s="1" customFormat="1">
      <c r="A108"/>
      <c r="B108"/>
      <c r="C108" s="14"/>
      <c r="D108" s="15"/>
      <c r="E108" s="15"/>
      <c r="F108" s="15"/>
      <c r="G108" s="14"/>
      <c r="H108" s="6"/>
      <c r="I108" s="19"/>
      <c r="J108" s="19"/>
      <c r="K108" s="4"/>
    </row>
    <row r="109" spans="1:11" s="1" customFormat="1">
      <c r="A109"/>
      <c r="B109"/>
      <c r="C109" s="14"/>
      <c r="D109" s="15"/>
      <c r="E109" s="15"/>
      <c r="F109" s="15"/>
      <c r="G109" s="14"/>
      <c r="H109" s="6"/>
      <c r="I109" s="19"/>
      <c r="J109" s="19"/>
      <c r="K109" s="4"/>
    </row>
    <row r="110" spans="1:11" s="1" customFormat="1">
      <c r="A110"/>
      <c r="B110"/>
      <c r="C110" s="14"/>
      <c r="D110" s="15"/>
      <c r="E110" s="15"/>
      <c r="F110" s="15"/>
      <c r="G110" s="14"/>
      <c r="H110" s="6"/>
      <c r="I110" s="19"/>
      <c r="J110" s="19"/>
      <c r="K110" s="4"/>
    </row>
    <row r="111" spans="1:11" s="1" customFormat="1">
      <c r="A111"/>
      <c r="B111"/>
      <c r="C111" s="14"/>
      <c r="D111" s="15"/>
      <c r="E111" s="15"/>
      <c r="F111" s="15"/>
      <c r="G111" s="14"/>
      <c r="H111" s="6"/>
      <c r="I111" s="19"/>
      <c r="J111" s="19"/>
      <c r="K111" s="4"/>
    </row>
    <row r="112" spans="1:11" s="1" customFormat="1">
      <c r="A112"/>
      <c r="B112"/>
      <c r="C112" s="14"/>
      <c r="D112" s="15"/>
      <c r="E112" s="15"/>
      <c r="F112" s="15"/>
      <c r="G112" s="14"/>
      <c r="H112" s="6"/>
      <c r="I112" s="19"/>
      <c r="J112" s="19"/>
      <c r="K112" s="4"/>
    </row>
    <row r="113" spans="1:11" s="1" customFormat="1">
      <c r="A113"/>
      <c r="B113"/>
      <c r="C113" s="14"/>
      <c r="D113" s="15"/>
      <c r="E113" s="15"/>
      <c r="F113" s="15"/>
      <c r="G113" s="14"/>
      <c r="H113" s="6"/>
      <c r="I113" s="19"/>
      <c r="J113" s="19"/>
      <c r="K113" s="4"/>
    </row>
    <row r="114" spans="1:11" s="1" customFormat="1">
      <c r="A114"/>
      <c r="B114"/>
      <c r="C114" s="14"/>
      <c r="D114" s="15"/>
      <c r="E114" s="15"/>
      <c r="F114" s="15"/>
      <c r="G114" s="14"/>
      <c r="H114" s="6"/>
      <c r="I114" s="19"/>
      <c r="J114" s="19"/>
      <c r="K114" s="4"/>
    </row>
    <row r="115" spans="1:11" s="1" customFormat="1">
      <c r="A115"/>
      <c r="B115"/>
      <c r="C115" s="14"/>
      <c r="D115" s="15"/>
      <c r="E115" s="15"/>
      <c r="F115" s="15"/>
      <c r="G115" s="14"/>
      <c r="H115" s="6"/>
      <c r="I115" s="19"/>
      <c r="J115" s="19"/>
      <c r="K115" s="4"/>
    </row>
    <row r="116" spans="1:11" s="1" customFormat="1">
      <c r="A116"/>
      <c r="B116"/>
      <c r="C116" s="14"/>
      <c r="D116" s="15"/>
      <c r="E116" s="15"/>
      <c r="F116" s="15"/>
      <c r="G116" s="14"/>
      <c r="H116" s="6"/>
      <c r="I116" s="19"/>
      <c r="J116" s="19"/>
      <c r="K116" s="4"/>
    </row>
    <row r="117" spans="1:11" s="1" customFormat="1">
      <c r="A117"/>
      <c r="B117"/>
      <c r="C117" s="14"/>
      <c r="D117" s="15"/>
      <c r="E117" s="15"/>
      <c r="F117" s="15"/>
      <c r="G117" s="14"/>
      <c r="H117" s="6"/>
      <c r="I117" s="19"/>
      <c r="J117" s="19"/>
      <c r="K117" s="4"/>
    </row>
    <row r="118" spans="1:11" s="1" customFormat="1">
      <c r="A118"/>
      <c r="B118"/>
      <c r="C118" s="14"/>
      <c r="D118" s="15"/>
      <c r="E118" s="15"/>
      <c r="F118" s="15"/>
      <c r="G118" s="14"/>
      <c r="H118" s="6"/>
      <c r="I118" s="19"/>
      <c r="J118" s="19"/>
      <c r="K118" s="4"/>
    </row>
    <row r="119" spans="1:11" s="1" customFormat="1">
      <c r="A119"/>
      <c r="B119"/>
      <c r="C119" s="14"/>
      <c r="D119" s="15"/>
      <c r="E119" s="15"/>
      <c r="F119" s="15"/>
      <c r="G119" s="14"/>
      <c r="H119" s="6"/>
      <c r="I119" s="19"/>
      <c r="J119" s="19"/>
      <c r="K119" s="4"/>
    </row>
    <row r="120" spans="1:11" s="1" customFormat="1">
      <c r="A120"/>
      <c r="B120"/>
      <c r="C120" s="14"/>
      <c r="D120" s="15"/>
      <c r="E120" s="15"/>
      <c r="F120" s="15"/>
      <c r="G120" s="14"/>
      <c r="H120" s="6"/>
      <c r="I120" s="19"/>
      <c r="J120" s="19"/>
      <c r="K120" s="4"/>
    </row>
    <row r="121" spans="1:11" s="1" customFormat="1">
      <c r="A121"/>
      <c r="B121"/>
      <c r="C121" s="14"/>
      <c r="D121" s="15"/>
      <c r="E121" s="15"/>
      <c r="F121" s="15"/>
      <c r="G121" s="14"/>
      <c r="H121" s="6"/>
      <c r="I121" s="19"/>
      <c r="J121" s="19"/>
      <c r="K121" s="4"/>
    </row>
    <row r="122" spans="1:11" s="1" customFormat="1">
      <c r="A122"/>
      <c r="B122"/>
      <c r="C122" s="14"/>
      <c r="D122" s="15"/>
      <c r="E122" s="15"/>
      <c r="F122" s="15"/>
      <c r="G122" s="14"/>
      <c r="H122" s="6"/>
      <c r="I122" s="19"/>
      <c r="J122" s="19"/>
      <c r="K122" s="4"/>
    </row>
    <row r="123" spans="1:11" s="1" customFormat="1">
      <c r="A123"/>
      <c r="B123"/>
      <c r="C123" s="14"/>
      <c r="D123" s="15"/>
      <c r="E123" s="15"/>
      <c r="F123" s="15"/>
      <c r="G123" s="14"/>
      <c r="H123" s="6"/>
      <c r="I123" s="19"/>
      <c r="J123" s="19"/>
      <c r="K123" s="4"/>
    </row>
    <row r="124" spans="1:11" s="1" customFormat="1">
      <c r="A124"/>
      <c r="B124"/>
      <c r="C124" s="14"/>
      <c r="D124" s="15"/>
      <c r="E124" s="15"/>
      <c r="F124" s="15"/>
      <c r="G124" s="14"/>
      <c r="H124" s="6"/>
      <c r="I124" s="19"/>
      <c r="J124" s="19"/>
      <c r="K124" s="4"/>
    </row>
    <row r="125" spans="1:11" s="1" customFormat="1">
      <c r="A125"/>
      <c r="B125"/>
      <c r="C125" s="14"/>
      <c r="D125" s="15"/>
      <c r="E125" s="15"/>
      <c r="F125" s="15"/>
      <c r="G125" s="14"/>
      <c r="H125" s="6"/>
      <c r="I125" s="19"/>
      <c r="J125" s="19"/>
      <c r="K125" s="4"/>
    </row>
    <row r="126" spans="1:11" s="1" customFormat="1">
      <c r="A126"/>
      <c r="B126"/>
      <c r="C126" s="14"/>
      <c r="D126" s="15"/>
      <c r="E126" s="15"/>
      <c r="F126" s="15"/>
      <c r="G126" s="14"/>
      <c r="H126" s="6"/>
      <c r="I126" s="19"/>
      <c r="J126" s="19"/>
      <c r="K126" s="4"/>
    </row>
    <row r="127" spans="1:11" s="1" customFormat="1">
      <c r="A127"/>
      <c r="B127"/>
      <c r="C127" s="14"/>
      <c r="D127" s="15"/>
      <c r="E127" s="15"/>
      <c r="F127" s="15"/>
      <c r="G127" s="14"/>
      <c r="H127" s="6"/>
      <c r="I127" s="19"/>
      <c r="J127" s="19"/>
      <c r="K127" s="4"/>
    </row>
    <row r="128" spans="1:11" s="1" customFormat="1">
      <c r="A128"/>
      <c r="B128"/>
      <c r="C128" s="14"/>
      <c r="D128" s="15"/>
      <c r="E128" s="15"/>
      <c r="F128" s="15"/>
      <c r="G128" s="14"/>
      <c r="H128" s="6"/>
      <c r="I128" s="19"/>
      <c r="J128" s="19"/>
      <c r="K128" s="4"/>
    </row>
    <row r="129" spans="1:11" s="1" customFormat="1">
      <c r="A129"/>
      <c r="B129"/>
      <c r="C129" s="14"/>
      <c r="D129" s="15"/>
      <c r="E129" s="15"/>
      <c r="F129" s="15"/>
      <c r="G129" s="14"/>
      <c r="H129" s="6"/>
      <c r="I129" s="19"/>
      <c r="J129" s="19"/>
      <c r="K129" s="4"/>
    </row>
    <row r="130" spans="1:11" s="1" customFormat="1">
      <c r="A130"/>
      <c r="B130"/>
      <c r="C130" s="14"/>
      <c r="D130" s="15"/>
      <c r="E130" s="15"/>
      <c r="F130" s="15"/>
      <c r="G130" s="14"/>
      <c r="H130" s="6"/>
      <c r="I130" s="19"/>
      <c r="J130" s="19"/>
      <c r="K130" s="4"/>
    </row>
    <row r="131" spans="1:11" s="1" customFormat="1">
      <c r="A131"/>
      <c r="B131"/>
      <c r="C131" s="14"/>
      <c r="D131" s="15"/>
      <c r="E131" s="15"/>
      <c r="F131" s="15"/>
      <c r="G131" s="14"/>
      <c r="H131" s="6"/>
      <c r="I131" s="19"/>
      <c r="J131" s="19"/>
      <c r="K131" s="4"/>
    </row>
    <row r="132" spans="1:11" s="1" customFormat="1">
      <c r="A132"/>
      <c r="B132"/>
      <c r="C132" s="14"/>
      <c r="D132" s="15"/>
      <c r="E132" s="15"/>
      <c r="F132" s="15"/>
      <c r="G132" s="14"/>
      <c r="H132" s="6"/>
      <c r="I132" s="19"/>
      <c r="J132" s="19"/>
      <c r="K132" s="4"/>
    </row>
    <row r="133" spans="1:11" s="1" customFormat="1">
      <c r="A133"/>
      <c r="B133"/>
      <c r="C133" s="14"/>
      <c r="D133" s="15"/>
      <c r="E133" s="15"/>
      <c r="F133" s="15"/>
      <c r="G133" s="14"/>
      <c r="H133" s="6"/>
      <c r="I133" s="19"/>
      <c r="J133" s="19"/>
      <c r="K133" s="4"/>
    </row>
    <row r="134" spans="1:11" s="1" customFormat="1">
      <c r="A134"/>
      <c r="B134"/>
      <c r="C134" s="14"/>
      <c r="D134" s="20"/>
      <c r="E134" s="20"/>
      <c r="F134" s="20"/>
      <c r="G134" s="14"/>
      <c r="H134"/>
      <c r="K134" s="4"/>
    </row>
    <row r="135" spans="1:11" s="1" customFormat="1">
      <c r="A135"/>
      <c r="B135"/>
      <c r="C135" s="14"/>
      <c r="D135" s="20"/>
      <c r="E135" s="20"/>
      <c r="F135" s="20"/>
      <c r="G135" s="14"/>
      <c r="H135"/>
      <c r="K135" s="4"/>
    </row>
    <row r="136" spans="1:11" s="1" customFormat="1">
      <c r="A136"/>
      <c r="B136"/>
      <c r="C136" s="14"/>
      <c r="D136" s="20"/>
      <c r="E136" s="20"/>
      <c r="F136" s="20"/>
      <c r="G136" s="14"/>
      <c r="H136"/>
      <c r="K136" s="4"/>
    </row>
    <row r="137" spans="1:11" s="1" customFormat="1">
      <c r="A137"/>
      <c r="B137"/>
      <c r="C137" s="14"/>
      <c r="D137" s="20"/>
      <c r="E137" s="20"/>
      <c r="F137" s="20"/>
      <c r="G137" s="14"/>
      <c r="H137"/>
      <c r="K137" s="4"/>
    </row>
    <row r="138" spans="1:11" s="1" customFormat="1">
      <c r="A138"/>
      <c r="B138"/>
      <c r="C138" s="14"/>
      <c r="D138" s="20"/>
      <c r="E138" s="20"/>
      <c r="F138" s="20"/>
      <c r="G138" s="14"/>
      <c r="H138"/>
      <c r="K138" s="4"/>
    </row>
    <row r="139" spans="1:11" s="1" customFormat="1">
      <c r="A139"/>
      <c r="B139"/>
      <c r="C139" s="14"/>
      <c r="D139" s="20"/>
      <c r="E139" s="20"/>
      <c r="F139" s="20"/>
      <c r="G139" s="14"/>
      <c r="H139"/>
      <c r="K139" s="4"/>
    </row>
    <row r="140" spans="1:11">
      <c r="D140" s="20"/>
      <c r="E140" s="20"/>
      <c r="F140" s="20"/>
      <c r="G140" s="14"/>
    </row>
    <row r="141" spans="1:11">
      <c r="D141" s="20"/>
      <c r="E141" s="20"/>
      <c r="F141" s="20"/>
      <c r="G141" s="14"/>
    </row>
    <row r="142" spans="1:11">
      <c r="D142" s="20"/>
      <c r="E142" s="20"/>
      <c r="F142" s="20"/>
      <c r="G142" s="14"/>
    </row>
    <row r="143" spans="1:11">
      <c r="D143" s="20"/>
      <c r="E143" s="20"/>
      <c r="F143" s="20"/>
      <c r="G143" s="14"/>
    </row>
    <row r="144" spans="1:11">
      <c r="D144" s="20"/>
      <c r="E144" s="20"/>
      <c r="F144" s="20"/>
      <c r="G144" s="14"/>
    </row>
    <row r="145" spans="4:7">
      <c r="D145" s="20"/>
      <c r="E145" s="20"/>
      <c r="F145" s="20"/>
      <c r="G145" s="14"/>
    </row>
    <row r="146" spans="4:7">
      <c r="G146" s="14"/>
    </row>
    <row r="147" spans="4:7">
      <c r="G147" s="14"/>
    </row>
    <row r="148" spans="4:7">
      <c r="G148" s="14"/>
    </row>
    <row r="149" spans="4:7">
      <c r="G149" s="14"/>
    </row>
    <row r="150" spans="4:7">
      <c r="G150" s="14"/>
    </row>
    <row r="151" spans="4:7">
      <c r="G151" s="14"/>
    </row>
    <row r="152" spans="4:7">
      <c r="G152" s="14"/>
    </row>
    <row r="153" spans="4:7">
      <c r="G153" s="14"/>
    </row>
    <row r="154" spans="4:7">
      <c r="G154" s="14"/>
    </row>
    <row r="155" spans="4:7">
      <c r="G155" s="14"/>
    </row>
    <row r="156" spans="4:7">
      <c r="G156" s="14"/>
    </row>
    <row r="157" spans="4:7">
      <c r="G157" s="14"/>
    </row>
    <row r="158" spans="4:7">
      <c r="G158" s="14"/>
    </row>
    <row r="159" spans="4:7">
      <c r="G159" s="14"/>
    </row>
    <row r="160" spans="4:7">
      <c r="G160" s="14"/>
    </row>
    <row r="161" spans="7:7">
      <c r="G161" s="14"/>
    </row>
    <row r="162" spans="7:7">
      <c r="G162" s="14"/>
    </row>
    <row r="163" spans="7:7">
      <c r="G163" s="14"/>
    </row>
    <row r="164" spans="7:7">
      <c r="G164" s="14"/>
    </row>
    <row r="165" spans="7:7">
      <c r="G165" s="14"/>
    </row>
  </sheetData>
  <mergeCells count="85">
    <mergeCell ref="A2:K2"/>
    <mergeCell ref="D7:F7"/>
    <mergeCell ref="G7:I7"/>
    <mergeCell ref="J7:K8"/>
    <mergeCell ref="A9:B9"/>
    <mergeCell ref="J9:K9"/>
    <mergeCell ref="C7:C8"/>
    <mergeCell ref="B7:B8"/>
    <mergeCell ref="J16:K16"/>
    <mergeCell ref="J18:K18"/>
    <mergeCell ref="A10:B10"/>
    <mergeCell ref="J10:K10"/>
    <mergeCell ref="A11:B11"/>
    <mergeCell ref="J11:K11"/>
    <mergeCell ref="A12:B12"/>
    <mergeCell ref="J12:K12"/>
    <mergeCell ref="A13:B13"/>
    <mergeCell ref="J13:K13"/>
    <mergeCell ref="A14:B14"/>
    <mergeCell ref="J14:K14"/>
    <mergeCell ref="A15:A19"/>
    <mergeCell ref="J15:K15"/>
    <mergeCell ref="A31:B31"/>
    <mergeCell ref="J31:K31"/>
    <mergeCell ref="J25:K25"/>
    <mergeCell ref="J26:K26"/>
    <mergeCell ref="J27:K27"/>
    <mergeCell ref="J29:K29"/>
    <mergeCell ref="J28:K28"/>
    <mergeCell ref="A27:A30"/>
    <mergeCell ref="A34:B34"/>
    <mergeCell ref="J34:K34"/>
    <mergeCell ref="A33:B33"/>
    <mergeCell ref="J33:K33"/>
    <mergeCell ref="A32:B32"/>
    <mergeCell ref="J32:K32"/>
    <mergeCell ref="A35:B35"/>
    <mergeCell ref="J35:K35"/>
    <mergeCell ref="A36:B36"/>
    <mergeCell ref="J36:K36"/>
    <mergeCell ref="A37:B37"/>
    <mergeCell ref="J37:K37"/>
    <mergeCell ref="A39:B39"/>
    <mergeCell ref="J39:K39"/>
    <mergeCell ref="A40:B40"/>
    <mergeCell ref="J40:K40"/>
    <mergeCell ref="A41:B41"/>
    <mergeCell ref="J41:K41"/>
    <mergeCell ref="A48:A51"/>
    <mergeCell ref="A52:A57"/>
    <mergeCell ref="A42:B42"/>
    <mergeCell ref="J42:K42"/>
    <mergeCell ref="A47:B47"/>
    <mergeCell ref="J47:K47"/>
    <mergeCell ref="J48:K48"/>
    <mergeCell ref="A43:B43"/>
    <mergeCell ref="J43:K43"/>
    <mergeCell ref="A44:B44"/>
    <mergeCell ref="J44:K44"/>
    <mergeCell ref="A45:B45"/>
    <mergeCell ref="J45:K45"/>
    <mergeCell ref="A46:B46"/>
    <mergeCell ref="J46:K46"/>
    <mergeCell ref="A62:K62"/>
    <mergeCell ref="A20:A25"/>
    <mergeCell ref="A38:B38"/>
    <mergeCell ref="J38:K38"/>
    <mergeCell ref="A58:B58"/>
    <mergeCell ref="J58:K58"/>
    <mergeCell ref="J55:K55"/>
    <mergeCell ref="J56:K56"/>
    <mergeCell ref="J57:K57"/>
    <mergeCell ref="J52:K52"/>
    <mergeCell ref="J30:K30"/>
    <mergeCell ref="J53:K53"/>
    <mergeCell ref="J54:K54"/>
    <mergeCell ref="J49:K49"/>
    <mergeCell ref="J50:K50"/>
    <mergeCell ref="J51:K51"/>
    <mergeCell ref="J24:K24"/>
    <mergeCell ref="J19:K19"/>
    <mergeCell ref="J20:K20"/>
    <mergeCell ref="J21:K21"/>
    <mergeCell ref="J22:K22"/>
    <mergeCell ref="J23:K23"/>
  </mergeCells>
  <phoneticPr fontId="4" type="noConversion"/>
  <pageMargins left="0.39370078740157483" right="0.39370078740157483" top="0.6692913385826772" bottom="0.39370078740157483" header="0.51181102362204722" footer="0.27559055118110237"/>
  <pageSetup paperSize="9" scale="50" fitToHeight="0" orientation="portrait" r:id="rId1"/>
  <headerFooter>
    <oddFooter>&amp;C- &amp;P -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32"/>
  <sheetViews>
    <sheetView view="pageBreakPreview" zoomScale="70" zoomScaleNormal="90" zoomScaleSheetLayoutView="70" workbookViewId="0">
      <selection activeCell="C21" sqref="C21"/>
    </sheetView>
  </sheetViews>
  <sheetFormatPr defaultColWidth="7.88671875" defaultRowHeight="14.25"/>
  <cols>
    <col min="1" max="1" width="36.109375" style="87" customWidth="1"/>
    <col min="2" max="2" width="45.88671875" style="87" customWidth="1"/>
    <col min="3" max="3" width="11.6640625" style="87" customWidth="1"/>
    <col min="4" max="4" width="36.109375" style="87" customWidth="1"/>
    <col min="5" max="5" width="45.88671875" style="87" customWidth="1"/>
    <col min="6" max="6" width="11.6640625" style="87" customWidth="1"/>
    <col min="7" max="7" width="36.109375" style="87" customWidth="1"/>
    <col min="8" max="8" width="45.88671875" style="87" customWidth="1"/>
    <col min="9" max="9" width="14.6640625" style="87" customWidth="1"/>
    <col min="10" max="16384" width="7.88671875" style="28"/>
  </cols>
  <sheetData>
    <row r="1" spans="1:9" ht="39.950000000000003" customHeight="1">
      <c r="A1" s="298" t="s">
        <v>51</v>
      </c>
      <c r="B1" s="298"/>
      <c r="C1" s="298"/>
      <c r="D1" s="298"/>
      <c r="E1" s="298"/>
      <c r="F1" s="298"/>
      <c r="G1" s="298"/>
      <c r="H1" s="298"/>
      <c r="I1" s="298"/>
    </row>
    <row r="2" spans="1:9" ht="15" thickBot="1">
      <c r="A2" s="299" t="s">
        <v>52</v>
      </c>
      <c r="B2" s="299"/>
      <c r="C2" s="299"/>
      <c r="D2" s="299"/>
      <c r="E2" s="299"/>
      <c r="F2" s="299"/>
      <c r="G2" s="299"/>
      <c r="H2" s="299"/>
      <c r="I2" s="299"/>
    </row>
    <row r="3" spans="1:9" s="34" customFormat="1" ht="36" customHeight="1" thickBot="1">
      <c r="A3" s="29" t="s">
        <v>53</v>
      </c>
      <c r="B3" s="30" t="s">
        <v>54</v>
      </c>
      <c r="C3" s="31" t="s">
        <v>55</v>
      </c>
      <c r="D3" s="29" t="s">
        <v>53</v>
      </c>
      <c r="E3" s="30" t="s">
        <v>54</v>
      </c>
      <c r="F3" s="32" t="s">
        <v>55</v>
      </c>
      <c r="G3" s="33" t="s">
        <v>53</v>
      </c>
      <c r="H3" s="30" t="s">
        <v>54</v>
      </c>
      <c r="I3" s="32" t="s">
        <v>55</v>
      </c>
    </row>
    <row r="4" spans="1:9" ht="39" customHeight="1" thickTop="1" thickBot="1">
      <c r="A4" s="300" t="s">
        <v>56</v>
      </c>
      <c r="B4" s="301"/>
      <c r="C4" s="302"/>
      <c r="D4" s="35" t="s">
        <v>57</v>
      </c>
      <c r="E4" s="36" t="s">
        <v>58</v>
      </c>
      <c r="F4" s="37">
        <v>409</v>
      </c>
      <c r="G4" s="38" t="s">
        <v>59</v>
      </c>
      <c r="H4" s="39"/>
      <c r="I4" s="40"/>
    </row>
    <row r="5" spans="1:9" ht="39" customHeight="1">
      <c r="A5" s="41" t="s">
        <v>60</v>
      </c>
      <c r="B5" s="42" t="s">
        <v>61</v>
      </c>
      <c r="C5" s="43">
        <v>171152</v>
      </c>
      <c r="D5" s="35" t="s">
        <v>62</v>
      </c>
      <c r="E5" s="36" t="s">
        <v>63</v>
      </c>
      <c r="F5" s="44" t="s">
        <v>64</v>
      </c>
      <c r="G5" s="45" t="s">
        <v>65</v>
      </c>
      <c r="H5" s="46" t="s">
        <v>66</v>
      </c>
      <c r="I5" s="47">
        <v>151390</v>
      </c>
    </row>
    <row r="6" spans="1:9" ht="46.5" customHeight="1">
      <c r="A6" s="35" t="s">
        <v>67</v>
      </c>
      <c r="B6" s="36" t="s">
        <v>68</v>
      </c>
      <c r="C6" s="48" t="s">
        <v>69</v>
      </c>
      <c r="D6" s="49" t="s">
        <v>70</v>
      </c>
      <c r="E6" s="36" t="s">
        <v>71</v>
      </c>
      <c r="F6" s="50" t="s">
        <v>72</v>
      </c>
      <c r="G6" s="51" t="s">
        <v>73</v>
      </c>
      <c r="H6" s="36" t="s">
        <v>74</v>
      </c>
      <c r="I6" s="50" t="s">
        <v>75</v>
      </c>
    </row>
    <row r="7" spans="1:9" ht="31.5" customHeight="1" thickBot="1">
      <c r="A7" s="52" t="s">
        <v>76</v>
      </c>
      <c r="B7" s="36" t="s">
        <v>77</v>
      </c>
      <c r="C7" s="53">
        <v>47206</v>
      </c>
      <c r="D7" s="49" t="s">
        <v>78</v>
      </c>
      <c r="E7" s="36" t="s">
        <v>79</v>
      </c>
      <c r="F7" s="54">
        <v>23775</v>
      </c>
      <c r="G7" s="55" t="s">
        <v>80</v>
      </c>
      <c r="H7" s="56" t="s">
        <v>81</v>
      </c>
      <c r="I7" s="57">
        <v>149</v>
      </c>
    </row>
    <row r="8" spans="1:9" ht="46.5" customHeight="1" thickBot="1">
      <c r="A8" s="52" t="s">
        <v>82</v>
      </c>
      <c r="B8" s="36" t="s">
        <v>83</v>
      </c>
      <c r="C8" s="53">
        <v>89955</v>
      </c>
      <c r="D8" s="58" t="s">
        <v>84</v>
      </c>
      <c r="E8" s="59" t="s">
        <v>85</v>
      </c>
      <c r="F8" s="54">
        <v>6246</v>
      </c>
      <c r="G8" s="38" t="s">
        <v>86</v>
      </c>
      <c r="H8" s="39"/>
      <c r="I8" s="40"/>
    </row>
    <row r="9" spans="1:9" ht="33" customHeight="1">
      <c r="A9" s="52" t="s">
        <v>87</v>
      </c>
      <c r="B9" s="36" t="s">
        <v>88</v>
      </c>
      <c r="C9" s="53">
        <v>51711</v>
      </c>
      <c r="D9" s="60"/>
      <c r="E9" s="59" t="s">
        <v>89</v>
      </c>
      <c r="F9" s="54">
        <v>6627</v>
      </c>
      <c r="G9" s="61" t="s">
        <v>90</v>
      </c>
      <c r="H9" s="62" t="s">
        <v>91</v>
      </c>
      <c r="I9" s="63">
        <v>2099</v>
      </c>
    </row>
    <row r="10" spans="1:9" ht="35.25" customHeight="1">
      <c r="A10" s="52" t="s">
        <v>92</v>
      </c>
      <c r="B10" s="36" t="s">
        <v>93</v>
      </c>
      <c r="C10" s="48" t="s">
        <v>94</v>
      </c>
      <c r="D10" s="60"/>
      <c r="E10" s="59" t="s">
        <v>95</v>
      </c>
      <c r="F10" s="54">
        <v>6627</v>
      </c>
      <c r="G10" s="64" t="s">
        <v>96</v>
      </c>
      <c r="H10" s="36" t="s">
        <v>91</v>
      </c>
      <c r="I10" s="65">
        <v>2390</v>
      </c>
    </row>
    <row r="11" spans="1:9" ht="35.25" customHeight="1" thickBot="1">
      <c r="A11" s="52" t="s">
        <v>97</v>
      </c>
      <c r="B11" s="36" t="s">
        <v>98</v>
      </c>
      <c r="C11" s="48" t="s">
        <v>99</v>
      </c>
      <c r="D11" s="66"/>
      <c r="E11" s="59" t="s">
        <v>100</v>
      </c>
      <c r="F11" s="54">
        <v>7009</v>
      </c>
      <c r="G11" s="55" t="s">
        <v>101</v>
      </c>
      <c r="H11" s="67" t="s">
        <v>102</v>
      </c>
      <c r="I11" s="68">
        <v>494277</v>
      </c>
    </row>
    <row r="12" spans="1:9" ht="35.25" customHeight="1" thickBot="1">
      <c r="A12" s="52" t="s">
        <v>103</v>
      </c>
      <c r="B12" s="69" t="s">
        <v>104</v>
      </c>
      <c r="C12" s="70">
        <v>8924</v>
      </c>
      <c r="D12" s="58" t="s">
        <v>105</v>
      </c>
      <c r="E12" s="59" t="s">
        <v>106</v>
      </c>
      <c r="F12" s="54">
        <v>6508</v>
      </c>
      <c r="G12" s="38" t="s">
        <v>107</v>
      </c>
      <c r="H12" s="39"/>
      <c r="I12" s="40"/>
    </row>
    <row r="13" spans="1:9" ht="51" customHeight="1">
      <c r="A13" s="52" t="s">
        <v>108</v>
      </c>
      <c r="B13" s="69" t="s">
        <v>104</v>
      </c>
      <c r="C13" s="70">
        <v>18614</v>
      </c>
      <c r="D13" s="60"/>
      <c r="E13" s="59" t="s">
        <v>109</v>
      </c>
      <c r="F13" s="54">
        <v>6889</v>
      </c>
      <c r="G13" s="71" t="s">
        <v>110</v>
      </c>
      <c r="H13" s="72" t="s">
        <v>111</v>
      </c>
      <c r="I13" s="73" t="s">
        <v>112</v>
      </c>
    </row>
    <row r="14" spans="1:9" ht="36.75" customHeight="1" thickBot="1">
      <c r="A14" s="296" t="s">
        <v>113</v>
      </c>
      <c r="B14" s="36" t="s">
        <v>114</v>
      </c>
      <c r="C14" s="74" t="s">
        <v>115</v>
      </c>
      <c r="D14" s="60"/>
      <c r="E14" s="75" t="s">
        <v>116</v>
      </c>
      <c r="F14" s="54">
        <v>6889</v>
      </c>
      <c r="G14" s="64" t="s">
        <v>117</v>
      </c>
      <c r="H14" s="36" t="s">
        <v>118</v>
      </c>
      <c r="I14" s="65">
        <v>2805</v>
      </c>
    </row>
    <row r="15" spans="1:9" ht="35.25" customHeight="1" thickBot="1">
      <c r="A15" s="296"/>
      <c r="B15" s="36" t="s">
        <v>119</v>
      </c>
      <c r="C15" s="76">
        <v>24141</v>
      </c>
      <c r="D15" s="66"/>
      <c r="E15" s="77" t="s">
        <v>120</v>
      </c>
      <c r="F15" s="54">
        <v>7270</v>
      </c>
      <c r="G15" s="38" t="s">
        <v>121</v>
      </c>
      <c r="H15" s="39"/>
      <c r="I15" s="40"/>
    </row>
    <row r="16" spans="1:9" ht="47.25" customHeight="1">
      <c r="A16" s="296"/>
      <c r="B16" s="36" t="s">
        <v>122</v>
      </c>
      <c r="C16" s="76">
        <v>30764</v>
      </c>
      <c r="D16" s="35" t="s">
        <v>123</v>
      </c>
      <c r="E16" s="36" t="s">
        <v>124</v>
      </c>
      <c r="F16" s="50" t="s">
        <v>125</v>
      </c>
      <c r="G16" s="78" t="s">
        <v>126</v>
      </c>
      <c r="H16" s="56" t="s">
        <v>127</v>
      </c>
      <c r="I16" s="79" t="s">
        <v>128</v>
      </c>
    </row>
    <row r="17" spans="1:15" ht="36" customHeight="1">
      <c r="A17" s="35" t="s">
        <v>129</v>
      </c>
      <c r="B17" s="36" t="s">
        <v>130</v>
      </c>
      <c r="C17" s="74" t="s">
        <v>131</v>
      </c>
      <c r="D17" s="35" t="s">
        <v>132</v>
      </c>
      <c r="E17" s="36" t="s">
        <v>133</v>
      </c>
      <c r="F17" s="50" t="s">
        <v>134</v>
      </c>
      <c r="G17" s="58" t="s">
        <v>135</v>
      </c>
      <c r="H17" s="56" t="s">
        <v>136</v>
      </c>
      <c r="I17" s="79">
        <v>162</v>
      </c>
    </row>
    <row r="18" spans="1:15" ht="45" customHeight="1" thickBot="1">
      <c r="A18" s="35" t="s">
        <v>137</v>
      </c>
      <c r="B18" s="36" t="s">
        <v>138</v>
      </c>
      <c r="C18" s="48" t="s">
        <v>139</v>
      </c>
      <c r="D18" s="52" t="s">
        <v>140</v>
      </c>
      <c r="E18" s="69" t="s">
        <v>141</v>
      </c>
      <c r="F18" s="54">
        <v>3672</v>
      </c>
      <c r="G18" s="80" t="s">
        <v>142</v>
      </c>
      <c r="H18" s="81" t="s">
        <v>143</v>
      </c>
      <c r="I18" s="82" t="s">
        <v>144</v>
      </c>
    </row>
    <row r="19" spans="1:15" ht="39" customHeight="1" thickBot="1">
      <c r="A19" s="35" t="s">
        <v>145</v>
      </c>
      <c r="B19" s="36" t="s">
        <v>146</v>
      </c>
      <c r="C19" s="48" t="s">
        <v>147</v>
      </c>
      <c r="D19" s="83" t="s">
        <v>148</v>
      </c>
      <c r="E19" s="36" t="s">
        <v>149</v>
      </c>
      <c r="F19" s="50" t="s">
        <v>150</v>
      </c>
      <c r="G19" s="38" t="s">
        <v>151</v>
      </c>
      <c r="H19" s="39"/>
      <c r="I19" s="40"/>
    </row>
    <row r="20" spans="1:15" s="87" customFormat="1" ht="46.5" customHeight="1">
      <c r="A20" s="35" t="s">
        <v>152</v>
      </c>
      <c r="B20" s="36" t="s">
        <v>153</v>
      </c>
      <c r="C20" s="70">
        <v>18060</v>
      </c>
      <c r="D20" s="41"/>
      <c r="E20" s="36" t="s">
        <v>154</v>
      </c>
      <c r="F20" s="50" t="s">
        <v>155</v>
      </c>
      <c r="G20" s="84" t="s">
        <v>156</v>
      </c>
      <c r="H20" s="85" t="s">
        <v>157</v>
      </c>
      <c r="I20" s="86">
        <v>1350</v>
      </c>
    </row>
    <row r="21" spans="1:15" s="87" customFormat="1" ht="39" customHeight="1">
      <c r="A21" s="296" t="s">
        <v>158</v>
      </c>
      <c r="B21" s="36" t="s">
        <v>159</v>
      </c>
      <c r="C21" s="74" t="s">
        <v>160</v>
      </c>
      <c r="D21" s="52" t="s">
        <v>161</v>
      </c>
      <c r="E21" s="36" t="s">
        <v>162</v>
      </c>
      <c r="F21" s="50" t="s">
        <v>163</v>
      </c>
      <c r="G21" s="88" t="s">
        <v>164</v>
      </c>
      <c r="H21" s="89" t="s">
        <v>165</v>
      </c>
      <c r="I21" s="90">
        <v>26760</v>
      </c>
    </row>
    <row r="22" spans="1:15" s="87" customFormat="1" ht="39" customHeight="1" thickBot="1">
      <c r="A22" s="296"/>
      <c r="B22" s="36" t="s">
        <v>166</v>
      </c>
      <c r="C22" s="76" t="s">
        <v>167</v>
      </c>
      <c r="D22" s="83" t="s">
        <v>168</v>
      </c>
      <c r="E22" s="67" t="s">
        <v>169</v>
      </c>
      <c r="F22" s="68">
        <v>26022</v>
      </c>
      <c r="G22" s="91"/>
      <c r="H22" s="89" t="s">
        <v>170</v>
      </c>
      <c r="I22" s="90">
        <v>41350</v>
      </c>
    </row>
    <row r="23" spans="1:15" s="87" customFormat="1" ht="39" customHeight="1" thickBot="1">
      <c r="A23" s="296"/>
      <c r="B23" s="36" t="s">
        <v>171</v>
      </c>
      <c r="C23" s="74" t="s">
        <v>172</v>
      </c>
      <c r="D23" s="38" t="s">
        <v>173</v>
      </c>
      <c r="E23" s="39"/>
      <c r="F23" s="40"/>
      <c r="G23" s="91"/>
      <c r="H23" s="89" t="s">
        <v>174</v>
      </c>
      <c r="I23" s="90">
        <v>50450</v>
      </c>
    </row>
    <row r="24" spans="1:15" s="87" customFormat="1" ht="39" customHeight="1">
      <c r="A24" s="296" t="s">
        <v>175</v>
      </c>
      <c r="B24" s="92" t="s">
        <v>176</v>
      </c>
      <c r="C24" s="74" t="s">
        <v>177</v>
      </c>
      <c r="D24" s="93" t="s">
        <v>178</v>
      </c>
      <c r="E24" s="94" t="s">
        <v>179</v>
      </c>
      <c r="F24" s="95">
        <v>94045</v>
      </c>
      <c r="G24" s="91"/>
      <c r="H24" s="89" t="s">
        <v>180</v>
      </c>
      <c r="I24" s="90">
        <v>63250</v>
      </c>
    </row>
    <row r="25" spans="1:15" s="87" customFormat="1" ht="39" customHeight="1" thickBot="1">
      <c r="A25" s="297"/>
      <c r="B25" s="96" t="s">
        <v>181</v>
      </c>
      <c r="C25" s="97" t="s">
        <v>182</v>
      </c>
      <c r="D25" s="58" t="s">
        <v>183</v>
      </c>
      <c r="E25" s="36" t="s">
        <v>184</v>
      </c>
      <c r="F25" s="50" t="s">
        <v>185</v>
      </c>
      <c r="G25" s="91"/>
      <c r="H25" s="89" t="s">
        <v>186</v>
      </c>
      <c r="I25" s="90">
        <v>73700</v>
      </c>
    </row>
    <row r="26" spans="1:15" s="87" customFormat="1" ht="39" customHeight="1" thickTop="1" thickBot="1">
      <c r="A26" s="284" t="s">
        <v>187</v>
      </c>
      <c r="B26" s="285"/>
      <c r="C26" s="286"/>
      <c r="D26" s="98"/>
      <c r="E26" s="36" t="s">
        <v>188</v>
      </c>
      <c r="F26" s="50" t="s">
        <v>189</v>
      </c>
      <c r="G26" s="91"/>
      <c r="H26" s="89" t="s">
        <v>190</v>
      </c>
      <c r="I26" s="90">
        <v>90990</v>
      </c>
    </row>
    <row r="27" spans="1:15" s="87" customFormat="1" ht="46.5" customHeight="1" thickBot="1">
      <c r="A27" s="41" t="s">
        <v>191</v>
      </c>
      <c r="B27" s="62" t="s">
        <v>192</v>
      </c>
      <c r="C27" s="99" t="s">
        <v>193</v>
      </c>
      <c r="D27" s="35" t="s">
        <v>194</v>
      </c>
      <c r="E27" s="36" t="s">
        <v>195</v>
      </c>
      <c r="F27" s="54">
        <v>146801</v>
      </c>
      <c r="G27" s="100"/>
      <c r="H27" s="101" t="s">
        <v>196</v>
      </c>
      <c r="I27" s="102">
        <v>97390</v>
      </c>
    </row>
    <row r="28" spans="1:15" s="87" customFormat="1" ht="43.5" customHeight="1">
      <c r="A28" s="52" t="s">
        <v>197</v>
      </c>
      <c r="B28" s="36" t="s">
        <v>198</v>
      </c>
      <c r="C28" s="50" t="s">
        <v>199</v>
      </c>
      <c r="D28" s="52" t="s">
        <v>200</v>
      </c>
      <c r="E28" s="36" t="s">
        <v>201</v>
      </c>
      <c r="F28" s="50" t="s">
        <v>202</v>
      </c>
      <c r="G28" s="287" t="s">
        <v>203</v>
      </c>
      <c r="H28" s="288"/>
      <c r="I28" s="289"/>
    </row>
    <row r="29" spans="1:15" s="87" customFormat="1" ht="43.5" customHeight="1">
      <c r="A29" s="296" t="s">
        <v>204</v>
      </c>
      <c r="B29" s="36" t="s">
        <v>205</v>
      </c>
      <c r="C29" s="50" t="s">
        <v>206</v>
      </c>
      <c r="D29" s="103" t="s">
        <v>207</v>
      </c>
      <c r="E29" s="104" t="s">
        <v>208</v>
      </c>
      <c r="F29" s="44" t="s">
        <v>209</v>
      </c>
      <c r="G29" s="290"/>
      <c r="H29" s="291"/>
      <c r="I29" s="292"/>
    </row>
    <row r="30" spans="1:15" s="87" customFormat="1" ht="35.25" customHeight="1">
      <c r="A30" s="296"/>
      <c r="B30" s="36" t="s">
        <v>210</v>
      </c>
      <c r="C30" s="50" t="s">
        <v>211</v>
      </c>
      <c r="D30" s="106" t="s">
        <v>212</v>
      </c>
      <c r="E30" s="104" t="s">
        <v>146</v>
      </c>
      <c r="F30" s="44" t="s">
        <v>213</v>
      </c>
      <c r="G30" s="290"/>
      <c r="H30" s="291"/>
      <c r="I30" s="292"/>
      <c r="J30" s="105"/>
      <c r="K30" s="107"/>
      <c r="L30" s="107"/>
      <c r="M30" s="107"/>
      <c r="N30" s="107"/>
      <c r="O30" s="107"/>
    </row>
    <row r="31" spans="1:15" s="87" customFormat="1" ht="35.25" customHeight="1">
      <c r="A31" s="296" t="s">
        <v>214</v>
      </c>
      <c r="B31" s="36" t="s">
        <v>215</v>
      </c>
      <c r="C31" s="50" t="s">
        <v>216</v>
      </c>
      <c r="D31" s="58" t="s">
        <v>217</v>
      </c>
      <c r="E31" s="108" t="s">
        <v>218</v>
      </c>
      <c r="F31" s="50" t="s">
        <v>219</v>
      </c>
      <c r="G31" s="290"/>
      <c r="H31" s="291"/>
      <c r="I31" s="292"/>
      <c r="J31" s="105"/>
    </row>
    <row r="32" spans="1:15" ht="35.25" customHeight="1" thickBot="1">
      <c r="A32" s="297"/>
      <c r="B32" s="81" t="s">
        <v>220</v>
      </c>
      <c r="C32" s="109" t="s">
        <v>221</v>
      </c>
      <c r="D32" s="110"/>
      <c r="E32" s="111" t="s">
        <v>222</v>
      </c>
      <c r="F32" s="112" t="s">
        <v>223</v>
      </c>
      <c r="G32" s="293"/>
      <c r="H32" s="294"/>
      <c r="I32" s="295"/>
    </row>
  </sheetData>
  <mergeCells count="10">
    <mergeCell ref="A26:C26"/>
    <mergeCell ref="G28:I32"/>
    <mergeCell ref="A29:A30"/>
    <mergeCell ref="A31:A32"/>
    <mergeCell ref="A1:I1"/>
    <mergeCell ref="A2:I2"/>
    <mergeCell ref="A4:C4"/>
    <mergeCell ref="A14:A16"/>
    <mergeCell ref="A21:A23"/>
    <mergeCell ref="A24:A25"/>
  </mergeCells>
  <phoneticPr fontId="4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16" sqref="E16"/>
    </sheetView>
  </sheetViews>
  <sheetFormatPr defaultRowHeight="13.5"/>
  <cols>
    <col min="1" max="4" width="19.44140625" customWidth="1"/>
  </cols>
  <sheetData>
    <row r="1" spans="1:4" ht="24.95" customHeight="1" thickTop="1" thickBot="1">
      <c r="A1" s="181" t="s">
        <v>267</v>
      </c>
      <c r="B1" s="182" t="s">
        <v>268</v>
      </c>
      <c r="C1" s="182" t="s">
        <v>269</v>
      </c>
      <c r="D1" s="183" t="s">
        <v>270</v>
      </c>
    </row>
    <row r="2" spans="1:4" ht="24.95" customHeight="1" thickTop="1">
      <c r="A2" s="303" t="s">
        <v>339</v>
      </c>
      <c r="B2" s="184" t="s">
        <v>271</v>
      </c>
      <c r="C2" s="306" t="s">
        <v>337</v>
      </c>
      <c r="D2" s="187">
        <v>90000000</v>
      </c>
    </row>
    <row r="3" spans="1:4" ht="24.95" customHeight="1">
      <c r="A3" s="304"/>
      <c r="B3" s="185" t="s">
        <v>272</v>
      </c>
      <c r="C3" s="307"/>
      <c r="D3" s="188">
        <v>150000000</v>
      </c>
    </row>
    <row r="4" spans="1:4" ht="24.95" customHeight="1" thickBot="1">
      <c r="A4" s="305"/>
      <c r="B4" s="186" t="s">
        <v>273</v>
      </c>
      <c r="C4" s="308"/>
      <c r="D4" s="189">
        <v>200000000</v>
      </c>
    </row>
    <row r="5" spans="1:4" ht="24.95" customHeight="1" thickTop="1" thickBot="1">
      <c r="A5" s="181" t="s">
        <v>267</v>
      </c>
      <c r="B5" s="182" t="s">
        <v>268</v>
      </c>
      <c r="C5" s="182" t="s">
        <v>269</v>
      </c>
      <c r="D5" s="183" t="s">
        <v>270</v>
      </c>
    </row>
    <row r="6" spans="1:4" ht="24.95" customHeight="1" thickTop="1">
      <c r="A6" s="303" t="s">
        <v>340</v>
      </c>
      <c r="B6" s="184" t="s">
        <v>271</v>
      </c>
      <c r="C6" s="306" t="s">
        <v>338</v>
      </c>
      <c r="D6" s="187">
        <v>90000000</v>
      </c>
    </row>
    <row r="7" spans="1:4" ht="24.95" customHeight="1">
      <c r="A7" s="304"/>
      <c r="B7" s="185" t="s">
        <v>272</v>
      </c>
      <c r="C7" s="307"/>
      <c r="D7" s="188">
        <v>150000000</v>
      </c>
    </row>
    <row r="8" spans="1:4" ht="24.95" customHeight="1" thickBot="1">
      <c r="A8" s="305"/>
      <c r="B8" s="186" t="s">
        <v>273</v>
      </c>
      <c r="C8" s="308"/>
      <c r="D8" s="189">
        <v>200000000</v>
      </c>
    </row>
    <row r="9" spans="1:4" ht="14.25" thickTop="1"/>
  </sheetData>
  <mergeCells count="4">
    <mergeCell ref="A2:A4"/>
    <mergeCell ref="C2:C4"/>
    <mergeCell ref="A6:A8"/>
    <mergeCell ref="C6:C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7</vt:i4>
      </vt:variant>
    </vt:vector>
  </HeadingPairs>
  <TitlesOfParts>
    <vt:vector size="11" baseType="lpstr">
      <vt:lpstr>(개축)시설사업비 소요예산</vt:lpstr>
      <vt:lpstr>(리모델링)시설사업비 소요예산</vt:lpstr>
      <vt:lpstr>2023 시설단가표</vt:lpstr>
      <vt:lpstr>모듈러교실 단가표</vt:lpstr>
      <vt:lpstr>'(개축)시설사업비 소요예산'!ExternalData_1</vt:lpstr>
      <vt:lpstr>'(리모델링)시설사업비 소요예산'!ExternalData_1</vt:lpstr>
      <vt:lpstr>'(개축)시설사업비 소요예산'!Print_Area</vt:lpstr>
      <vt:lpstr>'(리모델링)시설사업비 소요예산'!Print_Area</vt:lpstr>
      <vt:lpstr>'2023 시설단가표'!Print_Area</vt:lpstr>
      <vt:lpstr>'(개축)시설사업비 소요예산'!Print_Titles</vt:lpstr>
      <vt:lpstr>'(리모델링)시설사업비 소요예산'!Print_Titles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박창현</dc:creator>
  <cp:lastModifiedBy>user</cp:lastModifiedBy>
  <cp:lastPrinted>2023-05-22T02:09:27Z</cp:lastPrinted>
  <dcterms:created xsi:type="dcterms:W3CDTF">2010-12-28T08:45:35Z</dcterms:created>
  <dcterms:modified xsi:type="dcterms:W3CDTF">2023-06-13T00:28:46Z</dcterms:modified>
</cp:coreProperties>
</file>